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Dev\timesheet-app\public\data\"/>
    </mc:Choice>
  </mc:AlternateContent>
  <xr:revisionPtr revIDLastSave="0" documentId="13_ncr:1_{7D26E902-3FCA-4E9C-8725-E8819756D3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dor Entry Sheet" sheetId="5" r:id="rId1"/>
    <sheet name="Bulk Upload Tool (NML USE ONLY)" sheetId="1" r:id="rId2"/>
    <sheet name="Approval Box (OFFICE ONLY)" sheetId="6" r:id="rId3"/>
    <sheet name="Names" sheetId="7" r:id="rId4"/>
    <sheet name="Work Orders" sheetId="8" r:id="rId5"/>
  </sheets>
  <definedNames>
    <definedName name="_xlnm._FilterDatabase" localSheetId="0" hidden="1">'Vendor Entry Sheet'!$A$3:$K$3</definedName>
    <definedName name="_xlnm._FilterDatabase" localSheetId="4" hidden="1">'Work Orders'!$A$1:$F$397</definedName>
    <definedName name="_xlnm.Print_Area" localSheetId="0">'Vendor Entry Sheet'!$A$1:$J$50</definedName>
    <definedName name="SMS">Names!#REF!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2" i="1"/>
  <c r="K29" i="5"/>
  <c r="K24" i="5"/>
  <c r="A2" i="1"/>
  <c r="F2" i="1"/>
  <c r="L2" i="1"/>
  <c r="A3" i="1"/>
  <c r="F3" i="1"/>
  <c r="L3" i="1"/>
  <c r="A4" i="1"/>
  <c r="F4" i="1"/>
  <c r="L4" i="1"/>
  <c r="A5" i="1"/>
  <c r="F5" i="1"/>
  <c r="L5" i="1"/>
  <c r="A6" i="1"/>
  <c r="F6" i="1"/>
  <c r="L6" i="1"/>
  <c r="A7" i="1"/>
  <c r="F7" i="1"/>
  <c r="L7" i="1"/>
  <c r="A8" i="1"/>
  <c r="F8" i="1"/>
  <c r="L8" i="1"/>
  <c r="A9" i="1"/>
  <c r="F9" i="1"/>
  <c r="L9" i="1"/>
  <c r="A10" i="1"/>
  <c r="F10" i="1"/>
  <c r="L10" i="1"/>
  <c r="A11" i="1"/>
  <c r="F11" i="1"/>
  <c r="L11" i="1"/>
  <c r="K37" i="5"/>
  <c r="K43" i="5"/>
  <c r="K48" i="5"/>
  <c r="K51" i="5"/>
  <c r="K55" i="5"/>
  <c r="K61" i="5"/>
  <c r="K65" i="5"/>
  <c r="K68" i="5"/>
  <c r="K73" i="5"/>
  <c r="K79" i="5"/>
  <c r="K84" i="5"/>
  <c r="K87" i="5"/>
  <c r="K91" i="5"/>
  <c r="K97" i="5"/>
  <c r="K101" i="5"/>
  <c r="K104" i="5"/>
  <c r="K109" i="5"/>
  <c r="C2" i="1"/>
  <c r="D2" i="1"/>
  <c r="I5" i="5"/>
  <c r="C3" i="1" s="1"/>
  <c r="J5" i="5"/>
  <c r="D3" i="1" s="1"/>
  <c r="I6" i="5"/>
  <c r="C4" i="1" s="1"/>
  <c r="J6" i="5"/>
  <c r="D4" i="1" s="1"/>
  <c r="I7" i="5"/>
  <c r="C5" i="1" s="1"/>
  <c r="J7" i="5"/>
  <c r="D5" i="1" s="1"/>
  <c r="I8" i="5"/>
  <c r="C6" i="1" s="1"/>
  <c r="J8" i="5"/>
  <c r="D6" i="1" s="1"/>
  <c r="I9" i="5"/>
  <c r="C7" i="1" s="1"/>
  <c r="J9" i="5"/>
  <c r="D7" i="1" s="1"/>
  <c r="I10" i="5"/>
  <c r="C8" i="1" s="1"/>
  <c r="J10" i="5"/>
  <c r="D8" i="1" s="1"/>
  <c r="I11" i="5"/>
  <c r="C9" i="1" s="1"/>
  <c r="J11" i="5"/>
  <c r="D9" i="1" s="1"/>
  <c r="I12" i="5"/>
  <c r="C10" i="1" s="1"/>
  <c r="J12" i="5"/>
  <c r="D10" i="1" s="1"/>
  <c r="I13" i="5"/>
  <c r="C11" i="1" s="1"/>
  <c r="J13" i="5"/>
  <c r="D11" i="1" s="1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2" i="1"/>
  <c r="I3" i="1"/>
  <c r="I4" i="1"/>
  <c r="I5" i="1"/>
  <c r="I6" i="1"/>
  <c r="I7" i="1"/>
  <c r="I8" i="1"/>
  <c r="I9" i="1"/>
  <c r="I10" i="1"/>
  <c r="I11" i="1"/>
  <c r="I12" i="1"/>
  <c r="I14" i="1"/>
  <c r="I16" i="1"/>
  <c r="I17" i="1"/>
  <c r="I18" i="1"/>
  <c r="I22" i="1"/>
  <c r="I23" i="1"/>
  <c r="I24" i="1"/>
  <c r="I25" i="1"/>
  <c r="I26" i="1"/>
  <c r="I28" i="1"/>
  <c r="I30" i="1"/>
  <c r="I32" i="1"/>
  <c r="I33" i="1"/>
  <c r="I34" i="1"/>
  <c r="I35" i="1"/>
  <c r="I36" i="1"/>
  <c r="I38" i="1"/>
  <c r="I40" i="1"/>
  <c r="I41" i="1"/>
  <c r="I42" i="1"/>
  <c r="I44" i="1"/>
  <c r="I46" i="1"/>
  <c r="I47" i="1"/>
  <c r="I48" i="1"/>
  <c r="I49" i="1"/>
  <c r="I50" i="1"/>
  <c r="I52" i="1"/>
  <c r="I54" i="1"/>
  <c r="I56" i="1"/>
  <c r="I57" i="1"/>
  <c r="I58" i="1"/>
  <c r="I59" i="1"/>
  <c r="I60" i="1"/>
  <c r="I61" i="1"/>
  <c r="I62" i="1"/>
  <c r="I64" i="1"/>
  <c r="I65" i="1"/>
  <c r="I66" i="1"/>
  <c r="I70" i="1"/>
  <c r="I71" i="1"/>
  <c r="I72" i="1"/>
  <c r="I73" i="1"/>
  <c r="I74" i="1"/>
  <c r="I76" i="1"/>
  <c r="I77" i="1"/>
  <c r="I78" i="1"/>
  <c r="I79" i="1"/>
  <c r="I80" i="1"/>
  <c r="I81" i="1"/>
  <c r="I82" i="1"/>
  <c r="I83" i="1"/>
  <c r="I84" i="1"/>
  <c r="I85" i="1"/>
  <c r="I86" i="1"/>
  <c r="I88" i="1"/>
  <c r="I89" i="1"/>
  <c r="I90" i="1"/>
  <c r="I91" i="1"/>
  <c r="I92" i="1"/>
  <c r="I93" i="1"/>
  <c r="I94" i="1"/>
  <c r="I95" i="1"/>
  <c r="I96" i="1"/>
  <c r="I97" i="1"/>
  <c r="I98" i="1"/>
  <c r="I100" i="1"/>
  <c r="I102" i="1"/>
  <c r="I103" i="1"/>
  <c r="I104" i="1"/>
  <c r="I105" i="1"/>
  <c r="I106" i="1"/>
  <c r="I107" i="1"/>
  <c r="I108" i="1"/>
  <c r="B2" i="1"/>
  <c r="E2" i="1"/>
  <c r="C8" i="5"/>
  <c r="B6" i="1" s="1"/>
  <c r="D10" i="5"/>
  <c r="E8" i="1" s="1"/>
  <c r="C12" i="5"/>
  <c r="B10" i="1" s="1"/>
  <c r="C14" i="5"/>
  <c r="C17" i="5"/>
  <c r="C19" i="5"/>
  <c r="D20" i="5"/>
  <c r="C23" i="5"/>
  <c r="C26" i="5"/>
  <c r="C28" i="5"/>
  <c r="C29" i="5"/>
  <c r="C31" i="5"/>
  <c r="C33" i="5"/>
  <c r="D34" i="5"/>
  <c r="D35" i="5"/>
  <c r="C37" i="5"/>
  <c r="C39" i="5"/>
  <c r="D40" i="5"/>
  <c r="D41" i="5"/>
  <c r="C43" i="5"/>
  <c r="C45" i="5"/>
  <c r="D46" i="5"/>
  <c r="D47" i="5"/>
  <c r="C49" i="5"/>
  <c r="C51" i="5"/>
  <c r="D52" i="5"/>
  <c r="D53" i="5"/>
  <c r="C55" i="5"/>
  <c r="C57" i="5"/>
  <c r="D58" i="5"/>
  <c r="D59" i="5"/>
  <c r="C61" i="5"/>
  <c r="C63" i="5"/>
  <c r="D64" i="5"/>
  <c r="D65" i="5"/>
  <c r="C67" i="5"/>
  <c r="C69" i="5"/>
  <c r="D70" i="5"/>
  <c r="D71" i="5"/>
  <c r="C73" i="5"/>
  <c r="C74" i="5"/>
  <c r="C75" i="5"/>
  <c r="D76" i="5"/>
  <c r="D77" i="5"/>
  <c r="C79" i="5"/>
  <c r="C80" i="5"/>
  <c r="C81" i="5"/>
  <c r="C82" i="5"/>
  <c r="D82" i="5"/>
  <c r="D83" i="5"/>
  <c r="C85" i="5"/>
  <c r="C86" i="5"/>
  <c r="C87" i="5"/>
  <c r="C88" i="5"/>
  <c r="D88" i="5"/>
  <c r="D89" i="5"/>
  <c r="C91" i="5"/>
  <c r="C92" i="5"/>
  <c r="C93" i="5"/>
  <c r="C94" i="5"/>
  <c r="D94" i="5"/>
  <c r="D95" i="5"/>
  <c r="C97" i="5"/>
  <c r="C98" i="5"/>
  <c r="C99" i="5"/>
  <c r="C100" i="5"/>
  <c r="D100" i="5"/>
  <c r="D101" i="5"/>
  <c r="C103" i="5"/>
  <c r="C104" i="5"/>
  <c r="C105" i="5"/>
  <c r="C106" i="5"/>
  <c r="D106" i="5"/>
  <c r="D107" i="5"/>
  <c r="C109" i="5"/>
  <c r="C110" i="5"/>
  <c r="A12" i="1"/>
  <c r="F12" i="1"/>
  <c r="L12" i="1"/>
  <c r="A13" i="1"/>
  <c r="F13" i="1"/>
  <c r="L13" i="1"/>
  <c r="A14" i="1"/>
  <c r="F14" i="1"/>
  <c r="L14" i="1"/>
  <c r="A15" i="1"/>
  <c r="F15" i="1"/>
  <c r="L15" i="1"/>
  <c r="A16" i="1"/>
  <c r="F16" i="1"/>
  <c r="L16" i="1"/>
  <c r="A17" i="1"/>
  <c r="F17" i="1"/>
  <c r="L17" i="1"/>
  <c r="A18" i="1"/>
  <c r="F18" i="1"/>
  <c r="L18" i="1"/>
  <c r="A19" i="1"/>
  <c r="F19" i="1"/>
  <c r="L19" i="1"/>
  <c r="A20" i="1"/>
  <c r="F20" i="1"/>
  <c r="L20" i="1"/>
  <c r="A21" i="1"/>
  <c r="F21" i="1"/>
  <c r="L21" i="1"/>
  <c r="A22" i="1"/>
  <c r="F22" i="1"/>
  <c r="L22" i="1"/>
  <c r="A23" i="1"/>
  <c r="F23" i="1"/>
  <c r="L23" i="1"/>
  <c r="A24" i="1"/>
  <c r="F24" i="1"/>
  <c r="L24" i="1"/>
  <c r="A25" i="1"/>
  <c r="F25" i="1"/>
  <c r="L25" i="1"/>
  <c r="A26" i="1"/>
  <c r="F26" i="1"/>
  <c r="L26" i="1"/>
  <c r="A27" i="1"/>
  <c r="F27" i="1"/>
  <c r="L27" i="1"/>
  <c r="A28" i="1"/>
  <c r="F28" i="1"/>
  <c r="L28" i="1"/>
  <c r="A29" i="1"/>
  <c r="F29" i="1"/>
  <c r="L29" i="1"/>
  <c r="A30" i="1"/>
  <c r="F30" i="1"/>
  <c r="L30" i="1"/>
  <c r="A31" i="1"/>
  <c r="F31" i="1"/>
  <c r="L31" i="1"/>
  <c r="A32" i="1"/>
  <c r="F32" i="1"/>
  <c r="L32" i="1"/>
  <c r="A33" i="1"/>
  <c r="F33" i="1"/>
  <c r="L33" i="1"/>
  <c r="A34" i="1"/>
  <c r="F34" i="1"/>
  <c r="L34" i="1"/>
  <c r="A35" i="1"/>
  <c r="F35" i="1"/>
  <c r="L35" i="1"/>
  <c r="A36" i="1"/>
  <c r="F36" i="1"/>
  <c r="L36" i="1"/>
  <c r="A37" i="1"/>
  <c r="F37" i="1"/>
  <c r="L37" i="1"/>
  <c r="A38" i="1"/>
  <c r="F38" i="1"/>
  <c r="L38" i="1"/>
  <c r="A39" i="1"/>
  <c r="F39" i="1"/>
  <c r="L39" i="1"/>
  <c r="A40" i="1"/>
  <c r="F40" i="1"/>
  <c r="L40" i="1"/>
  <c r="A41" i="1"/>
  <c r="F41" i="1"/>
  <c r="L41" i="1"/>
  <c r="A42" i="1"/>
  <c r="F42" i="1"/>
  <c r="L42" i="1"/>
  <c r="A43" i="1"/>
  <c r="F43" i="1"/>
  <c r="L43" i="1"/>
  <c r="A44" i="1"/>
  <c r="F44" i="1"/>
  <c r="L44" i="1"/>
  <c r="A45" i="1"/>
  <c r="F45" i="1"/>
  <c r="L45" i="1"/>
  <c r="A46" i="1"/>
  <c r="F46" i="1"/>
  <c r="L46" i="1"/>
  <c r="A47" i="1"/>
  <c r="F47" i="1"/>
  <c r="L47" i="1"/>
  <c r="A48" i="1"/>
  <c r="F48" i="1"/>
  <c r="L48" i="1"/>
  <c r="A49" i="1"/>
  <c r="F49" i="1"/>
  <c r="L49" i="1"/>
  <c r="A50" i="1"/>
  <c r="F50" i="1"/>
  <c r="L50" i="1"/>
  <c r="A51" i="1"/>
  <c r="F51" i="1"/>
  <c r="L51" i="1"/>
  <c r="A52" i="1"/>
  <c r="F52" i="1"/>
  <c r="L52" i="1"/>
  <c r="A53" i="1"/>
  <c r="F53" i="1"/>
  <c r="L53" i="1"/>
  <c r="A54" i="1"/>
  <c r="F54" i="1"/>
  <c r="L54" i="1"/>
  <c r="A55" i="1"/>
  <c r="F55" i="1"/>
  <c r="L55" i="1"/>
  <c r="A56" i="1"/>
  <c r="F56" i="1"/>
  <c r="L56" i="1"/>
  <c r="A57" i="1"/>
  <c r="F57" i="1"/>
  <c r="L57" i="1"/>
  <c r="A58" i="1"/>
  <c r="F58" i="1"/>
  <c r="L58" i="1"/>
  <c r="A59" i="1"/>
  <c r="F59" i="1"/>
  <c r="L59" i="1"/>
  <c r="A60" i="1"/>
  <c r="F60" i="1"/>
  <c r="L60" i="1"/>
  <c r="A61" i="1"/>
  <c r="F61" i="1"/>
  <c r="L61" i="1"/>
  <c r="A62" i="1"/>
  <c r="F62" i="1"/>
  <c r="L62" i="1"/>
  <c r="A63" i="1"/>
  <c r="F63" i="1"/>
  <c r="L63" i="1"/>
  <c r="A64" i="1"/>
  <c r="F64" i="1"/>
  <c r="L64" i="1"/>
  <c r="A65" i="1"/>
  <c r="F65" i="1"/>
  <c r="L65" i="1"/>
  <c r="A66" i="1"/>
  <c r="F66" i="1"/>
  <c r="L66" i="1"/>
  <c r="A67" i="1"/>
  <c r="F67" i="1"/>
  <c r="L67" i="1"/>
  <c r="A68" i="1"/>
  <c r="F68" i="1"/>
  <c r="L68" i="1"/>
  <c r="A69" i="1"/>
  <c r="F69" i="1"/>
  <c r="L69" i="1"/>
  <c r="A70" i="1"/>
  <c r="F70" i="1"/>
  <c r="L70" i="1"/>
  <c r="A71" i="1"/>
  <c r="F71" i="1"/>
  <c r="L71" i="1"/>
  <c r="A72" i="1"/>
  <c r="F72" i="1"/>
  <c r="L72" i="1"/>
  <c r="A73" i="1"/>
  <c r="F73" i="1"/>
  <c r="L73" i="1"/>
  <c r="A74" i="1"/>
  <c r="F74" i="1"/>
  <c r="L74" i="1"/>
  <c r="A75" i="1"/>
  <c r="F75" i="1"/>
  <c r="L75" i="1"/>
  <c r="A76" i="1"/>
  <c r="F76" i="1"/>
  <c r="L76" i="1"/>
  <c r="A77" i="1"/>
  <c r="F77" i="1"/>
  <c r="L77" i="1"/>
  <c r="A78" i="1"/>
  <c r="F78" i="1"/>
  <c r="L78" i="1"/>
  <c r="A79" i="1"/>
  <c r="F79" i="1"/>
  <c r="L79" i="1"/>
  <c r="A80" i="1"/>
  <c r="F80" i="1"/>
  <c r="L80" i="1"/>
  <c r="A81" i="1"/>
  <c r="F81" i="1"/>
  <c r="L81" i="1"/>
  <c r="A82" i="1"/>
  <c r="F82" i="1"/>
  <c r="L82" i="1"/>
  <c r="A83" i="1"/>
  <c r="F83" i="1"/>
  <c r="L83" i="1"/>
  <c r="A84" i="1"/>
  <c r="F84" i="1"/>
  <c r="L84" i="1"/>
  <c r="A85" i="1"/>
  <c r="F85" i="1"/>
  <c r="L85" i="1"/>
  <c r="A86" i="1"/>
  <c r="F86" i="1"/>
  <c r="L86" i="1"/>
  <c r="A87" i="1"/>
  <c r="F87" i="1"/>
  <c r="L87" i="1"/>
  <c r="A88" i="1"/>
  <c r="F88" i="1"/>
  <c r="L88" i="1"/>
  <c r="A89" i="1"/>
  <c r="F89" i="1"/>
  <c r="L89" i="1"/>
  <c r="A90" i="1"/>
  <c r="F90" i="1"/>
  <c r="L90" i="1"/>
  <c r="A91" i="1"/>
  <c r="F91" i="1"/>
  <c r="L91" i="1"/>
  <c r="A92" i="1"/>
  <c r="F92" i="1"/>
  <c r="L92" i="1"/>
  <c r="A93" i="1"/>
  <c r="F93" i="1"/>
  <c r="L93" i="1"/>
  <c r="A94" i="1"/>
  <c r="F94" i="1"/>
  <c r="L94" i="1"/>
  <c r="A95" i="1"/>
  <c r="F95" i="1"/>
  <c r="L95" i="1"/>
  <c r="A96" i="1"/>
  <c r="F96" i="1"/>
  <c r="L96" i="1"/>
  <c r="A97" i="1"/>
  <c r="F97" i="1"/>
  <c r="L97" i="1"/>
  <c r="A98" i="1"/>
  <c r="F98" i="1"/>
  <c r="L98" i="1"/>
  <c r="A99" i="1"/>
  <c r="F99" i="1"/>
  <c r="L99" i="1"/>
  <c r="A100" i="1"/>
  <c r="F100" i="1"/>
  <c r="L100" i="1"/>
  <c r="A101" i="1"/>
  <c r="F101" i="1"/>
  <c r="L101" i="1"/>
  <c r="A102" i="1"/>
  <c r="F102" i="1"/>
  <c r="L102" i="1"/>
  <c r="A103" i="1"/>
  <c r="F103" i="1"/>
  <c r="L103" i="1"/>
  <c r="A104" i="1"/>
  <c r="F104" i="1"/>
  <c r="L104" i="1"/>
  <c r="A105" i="1"/>
  <c r="F105" i="1"/>
  <c r="L105" i="1"/>
  <c r="A106" i="1"/>
  <c r="F106" i="1"/>
  <c r="L106" i="1"/>
  <c r="A107" i="1"/>
  <c r="F107" i="1"/>
  <c r="L107" i="1"/>
  <c r="A108" i="1"/>
  <c r="F108" i="1"/>
  <c r="L108" i="1"/>
  <c r="A109" i="1"/>
  <c r="F109" i="1"/>
  <c r="L109" i="1"/>
  <c r="A110" i="1"/>
  <c r="F110" i="1"/>
  <c r="L110" i="1"/>
  <c r="A111" i="1"/>
  <c r="F111" i="1"/>
  <c r="L111" i="1"/>
  <c r="A112" i="1"/>
  <c r="F112" i="1"/>
  <c r="L112" i="1"/>
  <c r="A113" i="1"/>
  <c r="F113" i="1"/>
  <c r="L113" i="1"/>
  <c r="A114" i="1"/>
  <c r="F114" i="1"/>
  <c r="L114" i="1"/>
  <c r="A115" i="1"/>
  <c r="F115" i="1"/>
  <c r="L115" i="1"/>
  <c r="A116" i="1"/>
  <c r="F116" i="1"/>
  <c r="L116" i="1"/>
  <c r="A117" i="1"/>
  <c r="F117" i="1"/>
  <c r="L117" i="1"/>
  <c r="A118" i="1"/>
  <c r="F118" i="1"/>
  <c r="L118" i="1"/>
  <c r="A119" i="1"/>
  <c r="F119" i="1"/>
  <c r="L119" i="1"/>
  <c r="A120" i="1"/>
  <c r="F120" i="1"/>
  <c r="L120" i="1"/>
  <c r="A121" i="1"/>
  <c r="F121" i="1"/>
  <c r="L121" i="1"/>
  <c r="A122" i="1"/>
  <c r="F122" i="1"/>
  <c r="L122" i="1"/>
  <c r="A123" i="1"/>
  <c r="F123" i="1"/>
  <c r="L123" i="1"/>
  <c r="A124" i="1"/>
  <c r="F124" i="1"/>
  <c r="L124" i="1"/>
  <c r="A125" i="1"/>
  <c r="F125" i="1"/>
  <c r="L125" i="1"/>
  <c r="A126" i="1"/>
  <c r="F126" i="1"/>
  <c r="L126" i="1"/>
  <c r="A127" i="1"/>
  <c r="F127" i="1"/>
  <c r="L127" i="1"/>
  <c r="A128" i="1"/>
  <c r="F128" i="1"/>
  <c r="L128" i="1"/>
  <c r="A129" i="1"/>
  <c r="F129" i="1"/>
  <c r="L129" i="1"/>
  <c r="A130" i="1"/>
  <c r="F130" i="1"/>
  <c r="L130" i="1"/>
  <c r="A131" i="1"/>
  <c r="F131" i="1"/>
  <c r="L131" i="1"/>
  <c r="A132" i="1"/>
  <c r="F132" i="1"/>
  <c r="L132" i="1"/>
  <c r="A133" i="1"/>
  <c r="F133" i="1"/>
  <c r="L133" i="1"/>
  <c r="A134" i="1"/>
  <c r="F134" i="1"/>
  <c r="L134" i="1"/>
  <c r="A135" i="1"/>
  <c r="B135" i="1"/>
  <c r="C135" i="1"/>
  <c r="D135" i="1"/>
  <c r="E135" i="1"/>
  <c r="F135" i="1"/>
  <c r="I135" i="1"/>
  <c r="L135" i="1"/>
  <c r="A136" i="1"/>
  <c r="B136" i="1"/>
  <c r="C136" i="1"/>
  <c r="D136" i="1"/>
  <c r="E136" i="1"/>
  <c r="F136" i="1"/>
  <c r="I136" i="1"/>
  <c r="L136" i="1"/>
  <c r="A137" i="1"/>
  <c r="B137" i="1"/>
  <c r="C137" i="1"/>
  <c r="D137" i="1"/>
  <c r="E137" i="1"/>
  <c r="F137" i="1"/>
  <c r="I137" i="1"/>
  <c r="L137" i="1"/>
  <c r="A138" i="1"/>
  <c r="B138" i="1"/>
  <c r="C138" i="1"/>
  <c r="D138" i="1"/>
  <c r="E138" i="1"/>
  <c r="F138" i="1"/>
  <c r="I138" i="1"/>
  <c r="L138" i="1"/>
  <c r="A139" i="1"/>
  <c r="B139" i="1"/>
  <c r="C139" i="1"/>
  <c r="D139" i="1"/>
  <c r="E139" i="1"/>
  <c r="F139" i="1"/>
  <c r="I139" i="1"/>
  <c r="L139" i="1"/>
  <c r="A140" i="1"/>
  <c r="B140" i="1"/>
  <c r="C140" i="1"/>
  <c r="D140" i="1"/>
  <c r="E140" i="1"/>
  <c r="F140" i="1"/>
  <c r="I140" i="1"/>
  <c r="L140" i="1"/>
  <c r="A141" i="1"/>
  <c r="B141" i="1"/>
  <c r="C141" i="1"/>
  <c r="D141" i="1"/>
  <c r="E141" i="1"/>
  <c r="F141" i="1"/>
  <c r="I141" i="1"/>
  <c r="L141" i="1"/>
  <c r="A142" i="1"/>
  <c r="B142" i="1"/>
  <c r="C142" i="1"/>
  <c r="D142" i="1"/>
  <c r="E142" i="1"/>
  <c r="F142" i="1"/>
  <c r="I142" i="1"/>
  <c r="L142" i="1"/>
  <c r="A143" i="1"/>
  <c r="B143" i="1"/>
  <c r="C143" i="1"/>
  <c r="D143" i="1"/>
  <c r="E143" i="1"/>
  <c r="F143" i="1"/>
  <c r="I143" i="1"/>
  <c r="L143" i="1"/>
  <c r="A144" i="1"/>
  <c r="B144" i="1"/>
  <c r="C144" i="1"/>
  <c r="D144" i="1"/>
  <c r="E144" i="1"/>
  <c r="F144" i="1"/>
  <c r="I144" i="1"/>
  <c r="L144" i="1"/>
  <c r="A145" i="1"/>
  <c r="B145" i="1"/>
  <c r="C145" i="1"/>
  <c r="D145" i="1"/>
  <c r="E145" i="1"/>
  <c r="F145" i="1"/>
  <c r="I145" i="1"/>
  <c r="L145" i="1"/>
  <c r="A146" i="1"/>
  <c r="B146" i="1"/>
  <c r="C146" i="1"/>
  <c r="D146" i="1"/>
  <c r="E146" i="1"/>
  <c r="F146" i="1"/>
  <c r="I146" i="1"/>
  <c r="L146" i="1"/>
  <c r="A147" i="1"/>
  <c r="B147" i="1"/>
  <c r="C147" i="1"/>
  <c r="D147" i="1"/>
  <c r="E147" i="1"/>
  <c r="F147" i="1"/>
  <c r="I147" i="1"/>
  <c r="L147" i="1"/>
  <c r="A148" i="1"/>
  <c r="B148" i="1"/>
  <c r="C148" i="1"/>
  <c r="D148" i="1"/>
  <c r="E148" i="1"/>
  <c r="F148" i="1"/>
  <c r="I148" i="1"/>
  <c r="L148" i="1"/>
  <c r="A149" i="1"/>
  <c r="B149" i="1"/>
  <c r="C149" i="1"/>
  <c r="D149" i="1"/>
  <c r="E149" i="1"/>
  <c r="F149" i="1"/>
  <c r="I149" i="1"/>
  <c r="L149" i="1"/>
  <c r="A150" i="1"/>
  <c r="B150" i="1"/>
  <c r="C150" i="1"/>
  <c r="D150" i="1"/>
  <c r="E150" i="1"/>
  <c r="F150" i="1"/>
  <c r="I150" i="1"/>
  <c r="L150" i="1"/>
  <c r="A151" i="1"/>
  <c r="B151" i="1"/>
  <c r="C151" i="1"/>
  <c r="D151" i="1"/>
  <c r="E151" i="1"/>
  <c r="F151" i="1"/>
  <c r="I151" i="1"/>
  <c r="L151" i="1"/>
  <c r="A152" i="1"/>
  <c r="B152" i="1"/>
  <c r="C152" i="1"/>
  <c r="D152" i="1"/>
  <c r="E152" i="1"/>
  <c r="F152" i="1"/>
  <c r="I152" i="1"/>
  <c r="L152" i="1"/>
  <c r="A153" i="1"/>
  <c r="B153" i="1"/>
  <c r="C153" i="1"/>
  <c r="D153" i="1"/>
  <c r="E153" i="1"/>
  <c r="F153" i="1"/>
  <c r="I153" i="1"/>
  <c r="L153" i="1"/>
  <c r="A154" i="1"/>
  <c r="B154" i="1"/>
  <c r="C154" i="1"/>
  <c r="D154" i="1"/>
  <c r="E154" i="1"/>
  <c r="F154" i="1"/>
  <c r="I154" i="1"/>
  <c r="L154" i="1"/>
  <c r="A155" i="1"/>
  <c r="B155" i="1"/>
  <c r="C155" i="1"/>
  <c r="D155" i="1"/>
  <c r="E155" i="1"/>
  <c r="F155" i="1"/>
  <c r="I155" i="1"/>
  <c r="L155" i="1"/>
  <c r="A156" i="1"/>
  <c r="B156" i="1"/>
  <c r="C156" i="1"/>
  <c r="D156" i="1"/>
  <c r="E156" i="1"/>
  <c r="F156" i="1"/>
  <c r="I156" i="1"/>
  <c r="L156" i="1"/>
  <c r="A157" i="1"/>
  <c r="B157" i="1"/>
  <c r="C157" i="1"/>
  <c r="D157" i="1"/>
  <c r="E157" i="1"/>
  <c r="F157" i="1"/>
  <c r="I157" i="1"/>
  <c r="L157" i="1"/>
  <c r="A158" i="1"/>
  <c r="B158" i="1"/>
  <c r="C158" i="1"/>
  <c r="D158" i="1"/>
  <c r="E158" i="1"/>
  <c r="F158" i="1"/>
  <c r="I158" i="1"/>
  <c r="L158" i="1"/>
  <c r="A159" i="1"/>
  <c r="B159" i="1"/>
  <c r="C159" i="1"/>
  <c r="D159" i="1"/>
  <c r="E159" i="1"/>
  <c r="F159" i="1"/>
  <c r="I159" i="1"/>
  <c r="L159" i="1"/>
  <c r="A160" i="1"/>
  <c r="B160" i="1"/>
  <c r="C160" i="1"/>
  <c r="D160" i="1"/>
  <c r="E160" i="1"/>
  <c r="F160" i="1"/>
  <c r="I160" i="1"/>
  <c r="L160" i="1"/>
  <c r="A161" i="1"/>
  <c r="B161" i="1"/>
  <c r="C161" i="1"/>
  <c r="D161" i="1"/>
  <c r="E161" i="1"/>
  <c r="F161" i="1"/>
  <c r="I161" i="1"/>
  <c r="L161" i="1"/>
  <c r="A162" i="1"/>
  <c r="B162" i="1"/>
  <c r="C162" i="1"/>
  <c r="D162" i="1"/>
  <c r="E162" i="1"/>
  <c r="F162" i="1"/>
  <c r="I162" i="1"/>
  <c r="L162" i="1"/>
  <c r="A163" i="1"/>
  <c r="B163" i="1"/>
  <c r="C163" i="1"/>
  <c r="D163" i="1"/>
  <c r="E163" i="1"/>
  <c r="F163" i="1"/>
  <c r="I163" i="1"/>
  <c r="L163" i="1"/>
  <c r="A164" i="1"/>
  <c r="B164" i="1"/>
  <c r="C164" i="1"/>
  <c r="D164" i="1"/>
  <c r="E164" i="1"/>
  <c r="F164" i="1"/>
  <c r="I164" i="1"/>
  <c r="L164" i="1"/>
  <c r="A165" i="1"/>
  <c r="B165" i="1"/>
  <c r="C165" i="1"/>
  <c r="D165" i="1"/>
  <c r="E165" i="1"/>
  <c r="F165" i="1"/>
  <c r="I165" i="1"/>
  <c r="L165" i="1"/>
  <c r="A166" i="1"/>
  <c r="B166" i="1"/>
  <c r="C166" i="1"/>
  <c r="D166" i="1"/>
  <c r="E166" i="1"/>
  <c r="F166" i="1"/>
  <c r="I166" i="1"/>
  <c r="L166" i="1"/>
  <c r="A167" i="1"/>
  <c r="B167" i="1"/>
  <c r="C167" i="1"/>
  <c r="D167" i="1"/>
  <c r="E167" i="1"/>
  <c r="F167" i="1"/>
  <c r="I167" i="1"/>
  <c r="L167" i="1"/>
  <c r="A168" i="1"/>
  <c r="B168" i="1"/>
  <c r="C168" i="1"/>
  <c r="D168" i="1"/>
  <c r="E168" i="1"/>
  <c r="F168" i="1"/>
  <c r="I168" i="1"/>
  <c r="L168" i="1"/>
  <c r="A169" i="1"/>
  <c r="B169" i="1"/>
  <c r="C169" i="1"/>
  <c r="D169" i="1"/>
  <c r="E169" i="1"/>
  <c r="F169" i="1"/>
  <c r="I169" i="1"/>
  <c r="L169" i="1"/>
  <c r="A170" i="1"/>
  <c r="B170" i="1"/>
  <c r="C170" i="1"/>
  <c r="D170" i="1"/>
  <c r="E170" i="1"/>
  <c r="F170" i="1"/>
  <c r="I170" i="1"/>
  <c r="L170" i="1"/>
  <c r="A171" i="1"/>
  <c r="B171" i="1"/>
  <c r="C171" i="1"/>
  <c r="D171" i="1"/>
  <c r="E171" i="1"/>
  <c r="F171" i="1"/>
  <c r="I171" i="1"/>
  <c r="L171" i="1"/>
  <c r="A172" i="1"/>
  <c r="B172" i="1"/>
  <c r="C172" i="1"/>
  <c r="D172" i="1"/>
  <c r="E172" i="1"/>
  <c r="F172" i="1"/>
  <c r="I172" i="1"/>
  <c r="L172" i="1"/>
  <c r="A173" i="1"/>
  <c r="B173" i="1"/>
  <c r="C173" i="1"/>
  <c r="D173" i="1"/>
  <c r="E173" i="1"/>
  <c r="F173" i="1"/>
  <c r="I173" i="1"/>
  <c r="L173" i="1"/>
  <c r="A174" i="1"/>
  <c r="B174" i="1"/>
  <c r="C174" i="1"/>
  <c r="D174" i="1"/>
  <c r="E174" i="1"/>
  <c r="F174" i="1"/>
  <c r="I174" i="1"/>
  <c r="L174" i="1"/>
  <c r="A175" i="1"/>
  <c r="B175" i="1"/>
  <c r="C175" i="1"/>
  <c r="D175" i="1"/>
  <c r="E175" i="1"/>
  <c r="F175" i="1"/>
  <c r="I175" i="1"/>
  <c r="L175" i="1"/>
  <c r="A176" i="1"/>
  <c r="B176" i="1"/>
  <c r="C176" i="1"/>
  <c r="D176" i="1"/>
  <c r="E176" i="1"/>
  <c r="F176" i="1"/>
  <c r="I176" i="1"/>
  <c r="L176" i="1"/>
  <c r="A177" i="1"/>
  <c r="B177" i="1"/>
  <c r="C177" i="1"/>
  <c r="D177" i="1"/>
  <c r="E177" i="1"/>
  <c r="F177" i="1"/>
  <c r="I177" i="1"/>
  <c r="L177" i="1"/>
  <c r="A178" i="1"/>
  <c r="B178" i="1"/>
  <c r="C178" i="1"/>
  <c r="D178" i="1"/>
  <c r="E178" i="1"/>
  <c r="F178" i="1"/>
  <c r="I178" i="1"/>
  <c r="L178" i="1"/>
  <c r="A179" i="1"/>
  <c r="B179" i="1"/>
  <c r="C179" i="1"/>
  <c r="D179" i="1"/>
  <c r="E179" i="1"/>
  <c r="F179" i="1"/>
  <c r="I179" i="1"/>
  <c r="L179" i="1"/>
  <c r="A180" i="1"/>
  <c r="B180" i="1"/>
  <c r="C180" i="1"/>
  <c r="D180" i="1"/>
  <c r="E180" i="1"/>
  <c r="F180" i="1"/>
  <c r="I180" i="1"/>
  <c r="L180" i="1"/>
  <c r="A181" i="1"/>
  <c r="B181" i="1"/>
  <c r="C181" i="1"/>
  <c r="D181" i="1"/>
  <c r="E181" i="1"/>
  <c r="F181" i="1"/>
  <c r="I181" i="1"/>
  <c r="L181" i="1"/>
  <c r="A182" i="1"/>
  <c r="B182" i="1"/>
  <c r="C182" i="1"/>
  <c r="D182" i="1"/>
  <c r="E182" i="1"/>
  <c r="F182" i="1"/>
  <c r="I182" i="1"/>
  <c r="L182" i="1"/>
  <c r="A183" i="1"/>
  <c r="B183" i="1"/>
  <c r="C183" i="1"/>
  <c r="D183" i="1"/>
  <c r="E183" i="1"/>
  <c r="F183" i="1"/>
  <c r="I183" i="1"/>
  <c r="L183" i="1"/>
  <c r="A184" i="1"/>
  <c r="B184" i="1"/>
  <c r="C184" i="1"/>
  <c r="D184" i="1"/>
  <c r="E184" i="1"/>
  <c r="F184" i="1"/>
  <c r="I184" i="1"/>
  <c r="L184" i="1"/>
  <c r="A185" i="1"/>
  <c r="B185" i="1"/>
  <c r="C185" i="1"/>
  <c r="D185" i="1"/>
  <c r="E185" i="1"/>
  <c r="F185" i="1"/>
  <c r="I185" i="1"/>
  <c r="L185" i="1"/>
  <c r="A186" i="1"/>
  <c r="B186" i="1"/>
  <c r="C186" i="1"/>
  <c r="D186" i="1"/>
  <c r="E186" i="1"/>
  <c r="F186" i="1"/>
  <c r="I186" i="1"/>
  <c r="L186" i="1"/>
  <c r="A187" i="1"/>
  <c r="B187" i="1"/>
  <c r="C187" i="1"/>
  <c r="D187" i="1"/>
  <c r="E187" i="1"/>
  <c r="F187" i="1"/>
  <c r="I187" i="1"/>
  <c r="L187" i="1"/>
  <c r="A188" i="1"/>
  <c r="B188" i="1"/>
  <c r="C188" i="1"/>
  <c r="D188" i="1"/>
  <c r="E188" i="1"/>
  <c r="F188" i="1"/>
  <c r="I188" i="1"/>
  <c r="L188" i="1"/>
  <c r="A189" i="1"/>
  <c r="B189" i="1"/>
  <c r="C189" i="1"/>
  <c r="D189" i="1"/>
  <c r="E189" i="1"/>
  <c r="F189" i="1"/>
  <c r="I189" i="1"/>
  <c r="L189" i="1"/>
  <c r="A190" i="1"/>
  <c r="B190" i="1"/>
  <c r="C190" i="1"/>
  <c r="D190" i="1"/>
  <c r="E190" i="1"/>
  <c r="F190" i="1"/>
  <c r="I190" i="1"/>
  <c r="L190" i="1"/>
  <c r="A191" i="1"/>
  <c r="B191" i="1"/>
  <c r="C191" i="1"/>
  <c r="D191" i="1"/>
  <c r="E191" i="1"/>
  <c r="F191" i="1"/>
  <c r="I191" i="1"/>
  <c r="L191" i="1"/>
  <c r="A192" i="1"/>
  <c r="B192" i="1"/>
  <c r="C192" i="1"/>
  <c r="D192" i="1"/>
  <c r="E192" i="1"/>
  <c r="F192" i="1"/>
  <c r="I192" i="1"/>
  <c r="L192" i="1"/>
  <c r="A193" i="1"/>
  <c r="B193" i="1"/>
  <c r="C193" i="1"/>
  <c r="D193" i="1"/>
  <c r="E193" i="1"/>
  <c r="F193" i="1"/>
  <c r="I193" i="1"/>
  <c r="L193" i="1"/>
  <c r="A194" i="1"/>
  <c r="B194" i="1"/>
  <c r="C194" i="1"/>
  <c r="D194" i="1"/>
  <c r="E194" i="1"/>
  <c r="F194" i="1"/>
  <c r="I194" i="1"/>
  <c r="L194" i="1"/>
  <c r="A195" i="1"/>
  <c r="B195" i="1"/>
  <c r="C195" i="1"/>
  <c r="D195" i="1"/>
  <c r="E195" i="1"/>
  <c r="F195" i="1"/>
  <c r="I195" i="1"/>
  <c r="L195" i="1"/>
  <c r="A196" i="1"/>
  <c r="B196" i="1"/>
  <c r="C196" i="1"/>
  <c r="D196" i="1"/>
  <c r="E196" i="1"/>
  <c r="F196" i="1"/>
  <c r="I196" i="1"/>
  <c r="L196" i="1"/>
  <c r="A197" i="1"/>
  <c r="B197" i="1"/>
  <c r="C197" i="1"/>
  <c r="D197" i="1"/>
  <c r="E197" i="1"/>
  <c r="F197" i="1"/>
  <c r="I197" i="1"/>
  <c r="L197" i="1"/>
  <c r="A198" i="1"/>
  <c r="B198" i="1"/>
  <c r="C198" i="1"/>
  <c r="D198" i="1"/>
  <c r="E198" i="1"/>
  <c r="F198" i="1"/>
  <c r="I198" i="1"/>
  <c r="L198" i="1"/>
  <c r="A199" i="1"/>
  <c r="B199" i="1"/>
  <c r="C199" i="1"/>
  <c r="D199" i="1"/>
  <c r="E199" i="1"/>
  <c r="F199" i="1"/>
  <c r="I199" i="1"/>
  <c r="L199" i="1"/>
  <c r="A200" i="1"/>
  <c r="B200" i="1"/>
  <c r="C200" i="1"/>
  <c r="D200" i="1"/>
  <c r="E200" i="1"/>
  <c r="F200" i="1"/>
  <c r="I200" i="1"/>
  <c r="L200" i="1"/>
  <c r="A201" i="1"/>
  <c r="B201" i="1"/>
  <c r="C201" i="1"/>
  <c r="D201" i="1"/>
  <c r="E201" i="1"/>
  <c r="F201" i="1"/>
  <c r="I201" i="1"/>
  <c r="L201" i="1"/>
  <c r="A202" i="1"/>
  <c r="B202" i="1"/>
  <c r="C202" i="1"/>
  <c r="D202" i="1"/>
  <c r="E202" i="1"/>
  <c r="F202" i="1"/>
  <c r="I202" i="1"/>
  <c r="L202" i="1"/>
  <c r="A203" i="1"/>
  <c r="B203" i="1"/>
  <c r="C203" i="1"/>
  <c r="D203" i="1"/>
  <c r="E203" i="1"/>
  <c r="F203" i="1"/>
  <c r="I203" i="1"/>
  <c r="L203" i="1"/>
  <c r="A204" i="1"/>
  <c r="B204" i="1"/>
  <c r="C204" i="1"/>
  <c r="D204" i="1"/>
  <c r="E204" i="1"/>
  <c r="F204" i="1"/>
  <c r="I204" i="1"/>
  <c r="L204" i="1"/>
  <c r="A205" i="1"/>
  <c r="B205" i="1"/>
  <c r="C205" i="1"/>
  <c r="D205" i="1"/>
  <c r="E205" i="1"/>
  <c r="F205" i="1"/>
  <c r="I205" i="1"/>
  <c r="L205" i="1"/>
  <c r="A206" i="1"/>
  <c r="B206" i="1"/>
  <c r="C206" i="1"/>
  <c r="D206" i="1"/>
  <c r="E206" i="1"/>
  <c r="F206" i="1"/>
  <c r="I206" i="1"/>
  <c r="L206" i="1"/>
  <c r="A207" i="1"/>
  <c r="B207" i="1"/>
  <c r="C207" i="1"/>
  <c r="D207" i="1"/>
  <c r="E207" i="1"/>
  <c r="F207" i="1"/>
  <c r="I207" i="1"/>
  <c r="L207" i="1"/>
  <c r="A208" i="1"/>
  <c r="B208" i="1"/>
  <c r="C208" i="1"/>
  <c r="D208" i="1"/>
  <c r="E208" i="1"/>
  <c r="F208" i="1"/>
  <c r="I208" i="1"/>
  <c r="L208" i="1"/>
  <c r="A209" i="1"/>
  <c r="B209" i="1"/>
  <c r="C209" i="1"/>
  <c r="D209" i="1"/>
  <c r="E209" i="1"/>
  <c r="F209" i="1"/>
  <c r="I209" i="1"/>
  <c r="L209" i="1"/>
  <c r="A210" i="1"/>
  <c r="B210" i="1"/>
  <c r="C210" i="1"/>
  <c r="D210" i="1"/>
  <c r="E210" i="1"/>
  <c r="F210" i="1"/>
  <c r="I210" i="1"/>
  <c r="L210" i="1"/>
  <c r="A211" i="1"/>
  <c r="B211" i="1"/>
  <c r="C211" i="1"/>
  <c r="D211" i="1"/>
  <c r="E211" i="1"/>
  <c r="F211" i="1"/>
  <c r="I211" i="1"/>
  <c r="L211" i="1"/>
  <c r="A212" i="1"/>
  <c r="B212" i="1"/>
  <c r="C212" i="1"/>
  <c r="D212" i="1"/>
  <c r="E212" i="1"/>
  <c r="F212" i="1"/>
  <c r="I212" i="1"/>
  <c r="L212" i="1"/>
  <c r="A213" i="1"/>
  <c r="B213" i="1"/>
  <c r="C213" i="1"/>
  <c r="D213" i="1"/>
  <c r="E213" i="1"/>
  <c r="F213" i="1"/>
  <c r="I213" i="1"/>
  <c r="L213" i="1"/>
  <c r="A214" i="1"/>
  <c r="B214" i="1"/>
  <c r="C214" i="1"/>
  <c r="D214" i="1"/>
  <c r="E214" i="1"/>
  <c r="F214" i="1"/>
  <c r="I214" i="1"/>
  <c r="L214" i="1"/>
  <c r="A215" i="1"/>
  <c r="B215" i="1"/>
  <c r="C215" i="1"/>
  <c r="D215" i="1"/>
  <c r="E215" i="1"/>
  <c r="F215" i="1"/>
  <c r="I215" i="1"/>
  <c r="L215" i="1"/>
  <c r="A216" i="1"/>
  <c r="B216" i="1"/>
  <c r="C216" i="1"/>
  <c r="D216" i="1"/>
  <c r="E216" i="1"/>
  <c r="F216" i="1"/>
  <c r="I216" i="1"/>
  <c r="L216" i="1"/>
  <c r="A217" i="1"/>
  <c r="B217" i="1"/>
  <c r="C217" i="1"/>
  <c r="D217" i="1"/>
  <c r="E217" i="1"/>
  <c r="F217" i="1"/>
  <c r="I217" i="1"/>
  <c r="L217" i="1"/>
  <c r="A218" i="1"/>
  <c r="B218" i="1"/>
  <c r="C218" i="1"/>
  <c r="D218" i="1"/>
  <c r="E218" i="1"/>
  <c r="F218" i="1"/>
  <c r="I218" i="1"/>
  <c r="L218" i="1"/>
  <c r="A219" i="1"/>
  <c r="B219" i="1"/>
  <c r="C219" i="1"/>
  <c r="D219" i="1"/>
  <c r="E219" i="1"/>
  <c r="F219" i="1"/>
  <c r="I219" i="1"/>
  <c r="L219" i="1"/>
  <c r="A220" i="1"/>
  <c r="B220" i="1"/>
  <c r="C220" i="1"/>
  <c r="D220" i="1"/>
  <c r="E220" i="1"/>
  <c r="F220" i="1"/>
  <c r="I220" i="1"/>
  <c r="L220" i="1"/>
  <c r="A221" i="1"/>
  <c r="B221" i="1"/>
  <c r="C221" i="1"/>
  <c r="D221" i="1"/>
  <c r="E221" i="1"/>
  <c r="F221" i="1"/>
  <c r="I221" i="1"/>
  <c r="L221" i="1"/>
  <c r="A222" i="1"/>
  <c r="B222" i="1"/>
  <c r="C222" i="1"/>
  <c r="D222" i="1"/>
  <c r="E222" i="1"/>
  <c r="F222" i="1"/>
  <c r="I222" i="1"/>
  <c r="L222" i="1"/>
  <c r="A223" i="1"/>
  <c r="B223" i="1"/>
  <c r="C223" i="1"/>
  <c r="D223" i="1"/>
  <c r="E223" i="1"/>
  <c r="F223" i="1"/>
  <c r="I223" i="1"/>
  <c r="L223" i="1"/>
  <c r="A224" i="1"/>
  <c r="B224" i="1"/>
  <c r="C224" i="1"/>
  <c r="D224" i="1"/>
  <c r="E224" i="1"/>
  <c r="F224" i="1"/>
  <c r="I224" i="1"/>
  <c r="L224" i="1"/>
  <c r="A225" i="1"/>
  <c r="B225" i="1"/>
  <c r="C225" i="1"/>
  <c r="D225" i="1"/>
  <c r="E225" i="1"/>
  <c r="F225" i="1"/>
  <c r="I225" i="1"/>
  <c r="L225" i="1"/>
  <c r="A226" i="1"/>
  <c r="B226" i="1"/>
  <c r="C226" i="1"/>
  <c r="D226" i="1"/>
  <c r="E226" i="1"/>
  <c r="F226" i="1"/>
  <c r="I226" i="1"/>
  <c r="L226" i="1"/>
  <c r="A227" i="1"/>
  <c r="B227" i="1"/>
  <c r="C227" i="1"/>
  <c r="D227" i="1"/>
  <c r="E227" i="1"/>
  <c r="F227" i="1"/>
  <c r="I227" i="1"/>
  <c r="L227" i="1"/>
  <c r="A228" i="1"/>
  <c r="B228" i="1"/>
  <c r="C228" i="1"/>
  <c r="D228" i="1"/>
  <c r="E228" i="1"/>
  <c r="F228" i="1"/>
  <c r="I228" i="1"/>
  <c r="L228" i="1"/>
  <c r="A229" i="1"/>
  <c r="B229" i="1"/>
  <c r="C229" i="1"/>
  <c r="D229" i="1"/>
  <c r="E229" i="1"/>
  <c r="F229" i="1"/>
  <c r="I229" i="1"/>
  <c r="L229" i="1"/>
  <c r="A230" i="1"/>
  <c r="B230" i="1"/>
  <c r="C230" i="1"/>
  <c r="D230" i="1"/>
  <c r="E230" i="1"/>
  <c r="F230" i="1"/>
  <c r="I230" i="1"/>
  <c r="L230" i="1"/>
  <c r="A231" i="1"/>
  <c r="B231" i="1"/>
  <c r="C231" i="1"/>
  <c r="D231" i="1"/>
  <c r="E231" i="1"/>
  <c r="F231" i="1"/>
  <c r="I231" i="1"/>
  <c r="L231" i="1"/>
  <c r="A232" i="1"/>
  <c r="B232" i="1"/>
  <c r="C232" i="1"/>
  <c r="D232" i="1"/>
  <c r="E232" i="1"/>
  <c r="F232" i="1"/>
  <c r="I232" i="1"/>
  <c r="L232" i="1"/>
  <c r="A233" i="1"/>
  <c r="B233" i="1"/>
  <c r="C233" i="1"/>
  <c r="D233" i="1"/>
  <c r="E233" i="1"/>
  <c r="F233" i="1"/>
  <c r="I233" i="1"/>
  <c r="L233" i="1"/>
  <c r="A234" i="1"/>
  <c r="B234" i="1"/>
  <c r="C234" i="1"/>
  <c r="D234" i="1"/>
  <c r="E234" i="1"/>
  <c r="F234" i="1"/>
  <c r="I234" i="1"/>
  <c r="L234" i="1"/>
  <c r="A235" i="1"/>
  <c r="B235" i="1"/>
  <c r="C235" i="1"/>
  <c r="D235" i="1"/>
  <c r="E235" i="1"/>
  <c r="F235" i="1"/>
  <c r="I235" i="1"/>
  <c r="L235" i="1"/>
  <c r="A236" i="1"/>
  <c r="B236" i="1"/>
  <c r="C236" i="1"/>
  <c r="D236" i="1"/>
  <c r="E236" i="1"/>
  <c r="F236" i="1"/>
  <c r="I236" i="1"/>
  <c r="L236" i="1"/>
  <c r="A237" i="1"/>
  <c r="B237" i="1"/>
  <c r="C237" i="1"/>
  <c r="D237" i="1"/>
  <c r="E237" i="1"/>
  <c r="F237" i="1"/>
  <c r="I237" i="1"/>
  <c r="L237" i="1"/>
  <c r="A238" i="1"/>
  <c r="B238" i="1"/>
  <c r="C238" i="1"/>
  <c r="D238" i="1"/>
  <c r="E238" i="1"/>
  <c r="F238" i="1"/>
  <c r="I238" i="1"/>
  <c r="L238" i="1"/>
  <c r="A239" i="1"/>
  <c r="B239" i="1"/>
  <c r="C239" i="1"/>
  <c r="D239" i="1"/>
  <c r="E239" i="1"/>
  <c r="F239" i="1"/>
  <c r="I239" i="1"/>
  <c r="L239" i="1"/>
  <c r="A240" i="1"/>
  <c r="B240" i="1"/>
  <c r="C240" i="1"/>
  <c r="D240" i="1"/>
  <c r="E240" i="1"/>
  <c r="F240" i="1"/>
  <c r="I240" i="1"/>
  <c r="L240" i="1"/>
  <c r="A241" i="1"/>
  <c r="B241" i="1"/>
  <c r="C241" i="1"/>
  <c r="D241" i="1"/>
  <c r="E241" i="1"/>
  <c r="F241" i="1"/>
  <c r="I241" i="1"/>
  <c r="L241" i="1"/>
  <c r="A242" i="1"/>
  <c r="B242" i="1"/>
  <c r="C242" i="1"/>
  <c r="D242" i="1"/>
  <c r="E242" i="1"/>
  <c r="F242" i="1"/>
  <c r="I242" i="1"/>
  <c r="L242" i="1"/>
  <c r="A243" i="1"/>
  <c r="B243" i="1"/>
  <c r="C243" i="1"/>
  <c r="D243" i="1"/>
  <c r="E243" i="1"/>
  <c r="F243" i="1"/>
  <c r="I243" i="1"/>
  <c r="L243" i="1"/>
  <c r="A244" i="1"/>
  <c r="B244" i="1"/>
  <c r="C244" i="1"/>
  <c r="D244" i="1"/>
  <c r="E244" i="1"/>
  <c r="F244" i="1"/>
  <c r="I244" i="1"/>
  <c r="L244" i="1"/>
  <c r="A245" i="1"/>
  <c r="B245" i="1"/>
  <c r="C245" i="1"/>
  <c r="D245" i="1"/>
  <c r="E245" i="1"/>
  <c r="F245" i="1"/>
  <c r="I245" i="1"/>
  <c r="L245" i="1"/>
  <c r="A246" i="1"/>
  <c r="B246" i="1"/>
  <c r="C246" i="1"/>
  <c r="D246" i="1"/>
  <c r="E246" i="1"/>
  <c r="F246" i="1"/>
  <c r="I246" i="1"/>
  <c r="L246" i="1"/>
  <c r="A247" i="1"/>
  <c r="B247" i="1"/>
  <c r="C247" i="1"/>
  <c r="D247" i="1"/>
  <c r="E247" i="1"/>
  <c r="F247" i="1"/>
  <c r="I247" i="1"/>
  <c r="L247" i="1"/>
  <c r="A248" i="1"/>
  <c r="B248" i="1"/>
  <c r="C248" i="1"/>
  <c r="D248" i="1"/>
  <c r="E248" i="1"/>
  <c r="F248" i="1"/>
  <c r="I248" i="1"/>
  <c r="L248" i="1"/>
  <c r="A249" i="1"/>
  <c r="B249" i="1"/>
  <c r="C249" i="1"/>
  <c r="D249" i="1"/>
  <c r="E249" i="1"/>
  <c r="F249" i="1"/>
  <c r="I249" i="1"/>
  <c r="L249" i="1"/>
  <c r="A250" i="1"/>
  <c r="B250" i="1"/>
  <c r="C250" i="1"/>
  <c r="D250" i="1"/>
  <c r="E250" i="1"/>
  <c r="F250" i="1"/>
  <c r="I250" i="1"/>
  <c r="L250" i="1"/>
  <c r="A251" i="1"/>
  <c r="B251" i="1"/>
  <c r="C251" i="1"/>
  <c r="D251" i="1"/>
  <c r="E251" i="1"/>
  <c r="F251" i="1"/>
  <c r="I251" i="1"/>
  <c r="L251" i="1"/>
  <c r="A252" i="1"/>
  <c r="B252" i="1"/>
  <c r="C252" i="1"/>
  <c r="D252" i="1"/>
  <c r="E252" i="1"/>
  <c r="F252" i="1"/>
  <c r="I252" i="1"/>
  <c r="L252" i="1"/>
  <c r="A253" i="1"/>
  <c r="B253" i="1"/>
  <c r="C253" i="1"/>
  <c r="D253" i="1"/>
  <c r="E253" i="1"/>
  <c r="F253" i="1"/>
  <c r="I253" i="1"/>
  <c r="L253" i="1"/>
  <c r="A254" i="1"/>
  <c r="B254" i="1"/>
  <c r="C254" i="1"/>
  <c r="D254" i="1"/>
  <c r="E254" i="1"/>
  <c r="F254" i="1"/>
  <c r="I254" i="1"/>
  <c r="L254" i="1"/>
  <c r="A255" i="1"/>
  <c r="B255" i="1"/>
  <c r="C255" i="1"/>
  <c r="D255" i="1"/>
  <c r="E255" i="1"/>
  <c r="F255" i="1"/>
  <c r="I255" i="1"/>
  <c r="L255" i="1"/>
  <c r="A256" i="1"/>
  <c r="B256" i="1"/>
  <c r="C256" i="1"/>
  <c r="D256" i="1"/>
  <c r="E256" i="1"/>
  <c r="F256" i="1"/>
  <c r="I256" i="1"/>
  <c r="L256" i="1"/>
  <c r="A257" i="1"/>
  <c r="B257" i="1"/>
  <c r="C257" i="1"/>
  <c r="D257" i="1"/>
  <c r="E257" i="1"/>
  <c r="F257" i="1"/>
  <c r="I257" i="1"/>
  <c r="L257" i="1"/>
  <c r="A258" i="1"/>
  <c r="B258" i="1"/>
  <c r="C258" i="1"/>
  <c r="D258" i="1"/>
  <c r="E258" i="1"/>
  <c r="F258" i="1"/>
  <c r="I258" i="1"/>
  <c r="L258" i="1"/>
  <c r="A259" i="1"/>
  <c r="B259" i="1"/>
  <c r="C259" i="1"/>
  <c r="D259" i="1"/>
  <c r="E259" i="1"/>
  <c r="F259" i="1"/>
  <c r="I259" i="1"/>
  <c r="L259" i="1"/>
  <c r="A260" i="1"/>
  <c r="B260" i="1"/>
  <c r="C260" i="1"/>
  <c r="D260" i="1"/>
  <c r="E260" i="1"/>
  <c r="F260" i="1"/>
  <c r="I260" i="1"/>
  <c r="L260" i="1"/>
  <c r="A261" i="1"/>
  <c r="B261" i="1"/>
  <c r="C261" i="1"/>
  <c r="D261" i="1"/>
  <c r="E261" i="1"/>
  <c r="F261" i="1"/>
  <c r="I261" i="1"/>
  <c r="L261" i="1"/>
  <c r="A262" i="1"/>
  <c r="B262" i="1"/>
  <c r="C262" i="1"/>
  <c r="D262" i="1"/>
  <c r="E262" i="1"/>
  <c r="F262" i="1"/>
  <c r="I262" i="1"/>
  <c r="L262" i="1"/>
  <c r="A263" i="1"/>
  <c r="B263" i="1"/>
  <c r="C263" i="1"/>
  <c r="D263" i="1"/>
  <c r="E263" i="1"/>
  <c r="F263" i="1"/>
  <c r="I263" i="1"/>
  <c r="L263" i="1"/>
  <c r="A264" i="1"/>
  <c r="B264" i="1"/>
  <c r="C264" i="1"/>
  <c r="D264" i="1"/>
  <c r="E264" i="1"/>
  <c r="F264" i="1"/>
  <c r="I264" i="1"/>
  <c r="L264" i="1"/>
  <c r="A265" i="1"/>
  <c r="B265" i="1"/>
  <c r="C265" i="1"/>
  <c r="D265" i="1"/>
  <c r="E265" i="1"/>
  <c r="F265" i="1"/>
  <c r="I265" i="1"/>
  <c r="L265" i="1"/>
  <c r="A266" i="1"/>
  <c r="B266" i="1"/>
  <c r="C266" i="1"/>
  <c r="D266" i="1"/>
  <c r="E266" i="1"/>
  <c r="F266" i="1"/>
  <c r="I266" i="1"/>
  <c r="L266" i="1"/>
  <c r="A267" i="1"/>
  <c r="B267" i="1"/>
  <c r="C267" i="1"/>
  <c r="D267" i="1"/>
  <c r="E267" i="1"/>
  <c r="F267" i="1"/>
  <c r="I267" i="1"/>
  <c r="L267" i="1"/>
  <c r="A268" i="1"/>
  <c r="B268" i="1"/>
  <c r="C268" i="1"/>
  <c r="D268" i="1"/>
  <c r="E268" i="1"/>
  <c r="F268" i="1"/>
  <c r="I268" i="1"/>
  <c r="L268" i="1"/>
  <c r="A269" i="1"/>
  <c r="B269" i="1"/>
  <c r="C269" i="1"/>
  <c r="D269" i="1"/>
  <c r="E269" i="1"/>
  <c r="F269" i="1"/>
  <c r="I269" i="1"/>
  <c r="L269" i="1"/>
  <c r="A270" i="1"/>
  <c r="B270" i="1"/>
  <c r="C270" i="1"/>
  <c r="D270" i="1"/>
  <c r="E270" i="1"/>
  <c r="F270" i="1"/>
  <c r="I270" i="1"/>
  <c r="L270" i="1"/>
  <c r="A271" i="1"/>
  <c r="B271" i="1"/>
  <c r="C271" i="1"/>
  <c r="D271" i="1"/>
  <c r="E271" i="1"/>
  <c r="F271" i="1"/>
  <c r="I271" i="1"/>
  <c r="L271" i="1"/>
  <c r="A272" i="1"/>
  <c r="B272" i="1"/>
  <c r="C272" i="1"/>
  <c r="D272" i="1"/>
  <c r="E272" i="1"/>
  <c r="F272" i="1"/>
  <c r="I272" i="1"/>
  <c r="L272" i="1"/>
  <c r="A273" i="1"/>
  <c r="B273" i="1"/>
  <c r="C273" i="1"/>
  <c r="D273" i="1"/>
  <c r="E273" i="1"/>
  <c r="F273" i="1"/>
  <c r="I273" i="1"/>
  <c r="L273" i="1"/>
  <c r="A274" i="1"/>
  <c r="B274" i="1"/>
  <c r="C274" i="1"/>
  <c r="D274" i="1"/>
  <c r="E274" i="1"/>
  <c r="F274" i="1"/>
  <c r="I274" i="1"/>
  <c r="L274" i="1"/>
  <c r="A275" i="1"/>
  <c r="B275" i="1"/>
  <c r="C275" i="1"/>
  <c r="D275" i="1"/>
  <c r="E275" i="1"/>
  <c r="F275" i="1"/>
  <c r="I275" i="1"/>
  <c r="L275" i="1"/>
  <c r="A276" i="1"/>
  <c r="B276" i="1"/>
  <c r="C276" i="1"/>
  <c r="D276" i="1"/>
  <c r="E276" i="1"/>
  <c r="F276" i="1"/>
  <c r="I276" i="1"/>
  <c r="L276" i="1"/>
  <c r="A277" i="1"/>
  <c r="B277" i="1"/>
  <c r="C277" i="1"/>
  <c r="D277" i="1"/>
  <c r="E277" i="1"/>
  <c r="F277" i="1"/>
  <c r="I277" i="1"/>
  <c r="L277" i="1"/>
  <c r="A278" i="1"/>
  <c r="B278" i="1"/>
  <c r="C278" i="1"/>
  <c r="D278" i="1"/>
  <c r="E278" i="1"/>
  <c r="F278" i="1"/>
  <c r="I278" i="1"/>
  <c r="L278" i="1"/>
  <c r="A279" i="1"/>
  <c r="B279" i="1"/>
  <c r="C279" i="1"/>
  <c r="D279" i="1"/>
  <c r="E279" i="1"/>
  <c r="F279" i="1"/>
  <c r="I279" i="1"/>
  <c r="L279" i="1"/>
  <c r="A280" i="1"/>
  <c r="B280" i="1"/>
  <c r="C280" i="1"/>
  <c r="D280" i="1"/>
  <c r="E280" i="1"/>
  <c r="F280" i="1"/>
  <c r="I280" i="1"/>
  <c r="L280" i="1"/>
  <c r="A281" i="1"/>
  <c r="B281" i="1"/>
  <c r="C281" i="1"/>
  <c r="D281" i="1"/>
  <c r="E281" i="1"/>
  <c r="F281" i="1"/>
  <c r="I281" i="1"/>
  <c r="L281" i="1"/>
  <c r="A282" i="1"/>
  <c r="B282" i="1"/>
  <c r="C282" i="1"/>
  <c r="D282" i="1"/>
  <c r="E282" i="1"/>
  <c r="F282" i="1"/>
  <c r="I282" i="1"/>
  <c r="L282" i="1"/>
  <c r="A283" i="1"/>
  <c r="B283" i="1"/>
  <c r="C283" i="1"/>
  <c r="D283" i="1"/>
  <c r="E283" i="1"/>
  <c r="F283" i="1"/>
  <c r="I283" i="1"/>
  <c r="L283" i="1"/>
  <c r="A284" i="1"/>
  <c r="B284" i="1"/>
  <c r="C284" i="1"/>
  <c r="D284" i="1"/>
  <c r="E284" i="1"/>
  <c r="F284" i="1"/>
  <c r="I284" i="1"/>
  <c r="L284" i="1"/>
  <c r="A285" i="1"/>
  <c r="B285" i="1"/>
  <c r="C285" i="1"/>
  <c r="D285" i="1"/>
  <c r="E285" i="1"/>
  <c r="F285" i="1"/>
  <c r="I285" i="1"/>
  <c r="L285" i="1"/>
  <c r="A286" i="1"/>
  <c r="B286" i="1"/>
  <c r="C286" i="1"/>
  <c r="D286" i="1"/>
  <c r="E286" i="1"/>
  <c r="F286" i="1"/>
  <c r="I286" i="1"/>
  <c r="L286" i="1"/>
  <c r="A287" i="1"/>
  <c r="B287" i="1"/>
  <c r="C287" i="1"/>
  <c r="D287" i="1"/>
  <c r="E287" i="1"/>
  <c r="F287" i="1"/>
  <c r="I287" i="1"/>
  <c r="L287" i="1"/>
  <c r="A288" i="1"/>
  <c r="B288" i="1"/>
  <c r="C288" i="1"/>
  <c r="D288" i="1"/>
  <c r="E288" i="1"/>
  <c r="F288" i="1"/>
  <c r="I288" i="1"/>
  <c r="L288" i="1"/>
  <c r="A289" i="1"/>
  <c r="B289" i="1"/>
  <c r="C289" i="1"/>
  <c r="D289" i="1"/>
  <c r="E289" i="1"/>
  <c r="F289" i="1"/>
  <c r="I289" i="1"/>
  <c r="L289" i="1"/>
  <c r="A290" i="1"/>
  <c r="B290" i="1"/>
  <c r="C290" i="1"/>
  <c r="D290" i="1"/>
  <c r="E290" i="1"/>
  <c r="F290" i="1"/>
  <c r="I290" i="1"/>
  <c r="L290" i="1"/>
  <c r="A291" i="1"/>
  <c r="B291" i="1"/>
  <c r="C291" i="1"/>
  <c r="D291" i="1"/>
  <c r="E291" i="1"/>
  <c r="F291" i="1"/>
  <c r="I291" i="1"/>
  <c r="L291" i="1"/>
  <c r="A292" i="1"/>
  <c r="B292" i="1"/>
  <c r="C292" i="1"/>
  <c r="D292" i="1"/>
  <c r="E292" i="1"/>
  <c r="F292" i="1"/>
  <c r="I292" i="1"/>
  <c r="L292" i="1"/>
  <c r="A293" i="1"/>
  <c r="B293" i="1"/>
  <c r="C293" i="1"/>
  <c r="D293" i="1"/>
  <c r="E293" i="1"/>
  <c r="F293" i="1"/>
  <c r="I293" i="1"/>
  <c r="L293" i="1"/>
  <c r="A294" i="1"/>
  <c r="B294" i="1"/>
  <c r="C294" i="1"/>
  <c r="D294" i="1"/>
  <c r="E294" i="1"/>
  <c r="F294" i="1"/>
  <c r="I294" i="1"/>
  <c r="L294" i="1"/>
  <c r="A295" i="1"/>
  <c r="B295" i="1"/>
  <c r="C295" i="1"/>
  <c r="D295" i="1"/>
  <c r="E295" i="1"/>
  <c r="F295" i="1"/>
  <c r="I295" i="1"/>
  <c r="L295" i="1"/>
  <c r="A296" i="1"/>
  <c r="B296" i="1"/>
  <c r="C296" i="1"/>
  <c r="D296" i="1"/>
  <c r="E296" i="1"/>
  <c r="F296" i="1"/>
  <c r="I296" i="1"/>
  <c r="L296" i="1"/>
  <c r="A297" i="1"/>
  <c r="B297" i="1"/>
  <c r="C297" i="1"/>
  <c r="D297" i="1"/>
  <c r="E297" i="1"/>
  <c r="F297" i="1"/>
  <c r="I297" i="1"/>
  <c r="L297" i="1"/>
  <c r="A298" i="1"/>
  <c r="B298" i="1"/>
  <c r="C298" i="1"/>
  <c r="D298" i="1"/>
  <c r="E298" i="1"/>
  <c r="F298" i="1"/>
  <c r="I298" i="1"/>
  <c r="L298" i="1"/>
  <c r="A299" i="1"/>
  <c r="B299" i="1"/>
  <c r="C299" i="1"/>
  <c r="D299" i="1"/>
  <c r="E299" i="1"/>
  <c r="F299" i="1"/>
  <c r="I299" i="1"/>
  <c r="L299" i="1"/>
  <c r="A300" i="1"/>
  <c r="B300" i="1"/>
  <c r="C300" i="1"/>
  <c r="D300" i="1"/>
  <c r="E300" i="1"/>
  <c r="F300" i="1"/>
  <c r="I300" i="1"/>
  <c r="L300" i="1"/>
  <c r="A301" i="1"/>
  <c r="B301" i="1"/>
  <c r="C301" i="1"/>
  <c r="D301" i="1"/>
  <c r="E301" i="1"/>
  <c r="F301" i="1"/>
  <c r="I301" i="1"/>
  <c r="L301" i="1"/>
  <c r="A302" i="1"/>
  <c r="B302" i="1"/>
  <c r="C302" i="1"/>
  <c r="D302" i="1"/>
  <c r="E302" i="1"/>
  <c r="F302" i="1"/>
  <c r="I302" i="1"/>
  <c r="L302" i="1"/>
  <c r="A303" i="1"/>
  <c r="B303" i="1"/>
  <c r="C303" i="1"/>
  <c r="D303" i="1"/>
  <c r="E303" i="1"/>
  <c r="F303" i="1"/>
  <c r="I303" i="1"/>
  <c r="L303" i="1"/>
  <c r="A304" i="1"/>
  <c r="B304" i="1"/>
  <c r="C304" i="1"/>
  <c r="D304" i="1"/>
  <c r="E304" i="1"/>
  <c r="F304" i="1"/>
  <c r="I304" i="1"/>
  <c r="L304" i="1"/>
  <c r="A305" i="1"/>
  <c r="B305" i="1"/>
  <c r="C305" i="1"/>
  <c r="D305" i="1"/>
  <c r="E305" i="1"/>
  <c r="F305" i="1"/>
  <c r="I305" i="1"/>
  <c r="L305" i="1"/>
  <c r="A306" i="1"/>
  <c r="B306" i="1"/>
  <c r="C306" i="1"/>
  <c r="D306" i="1"/>
  <c r="E306" i="1"/>
  <c r="F306" i="1"/>
  <c r="I306" i="1"/>
  <c r="L306" i="1"/>
  <c r="A307" i="1"/>
  <c r="B307" i="1"/>
  <c r="C307" i="1"/>
  <c r="D307" i="1"/>
  <c r="E307" i="1"/>
  <c r="F307" i="1"/>
  <c r="I307" i="1"/>
  <c r="L307" i="1"/>
  <c r="A308" i="1"/>
  <c r="B308" i="1"/>
  <c r="C308" i="1"/>
  <c r="D308" i="1"/>
  <c r="E308" i="1"/>
  <c r="F308" i="1"/>
  <c r="I308" i="1"/>
  <c r="L308" i="1"/>
  <c r="A309" i="1"/>
  <c r="B309" i="1"/>
  <c r="C309" i="1"/>
  <c r="D309" i="1"/>
  <c r="E309" i="1"/>
  <c r="F309" i="1"/>
  <c r="I309" i="1"/>
  <c r="L309" i="1"/>
  <c r="A310" i="1"/>
  <c r="B310" i="1"/>
  <c r="C310" i="1"/>
  <c r="D310" i="1"/>
  <c r="E310" i="1"/>
  <c r="F310" i="1"/>
  <c r="I310" i="1"/>
  <c r="L310" i="1"/>
  <c r="A311" i="1"/>
  <c r="B311" i="1"/>
  <c r="C311" i="1"/>
  <c r="D311" i="1"/>
  <c r="E311" i="1"/>
  <c r="F311" i="1"/>
  <c r="I311" i="1"/>
  <c r="L311" i="1"/>
  <c r="A312" i="1"/>
  <c r="B312" i="1"/>
  <c r="C312" i="1"/>
  <c r="D312" i="1"/>
  <c r="E312" i="1"/>
  <c r="F312" i="1"/>
  <c r="I312" i="1"/>
  <c r="L312" i="1"/>
  <c r="A313" i="1"/>
  <c r="B313" i="1"/>
  <c r="C313" i="1"/>
  <c r="D313" i="1"/>
  <c r="E313" i="1"/>
  <c r="F313" i="1"/>
  <c r="I313" i="1"/>
  <c r="L313" i="1"/>
  <c r="A314" i="1"/>
  <c r="B314" i="1"/>
  <c r="C314" i="1"/>
  <c r="D314" i="1"/>
  <c r="E314" i="1"/>
  <c r="F314" i="1"/>
  <c r="I314" i="1"/>
  <c r="L314" i="1"/>
  <c r="A315" i="1"/>
  <c r="B315" i="1"/>
  <c r="C315" i="1"/>
  <c r="D315" i="1"/>
  <c r="E315" i="1"/>
  <c r="F315" i="1"/>
  <c r="I315" i="1"/>
  <c r="L315" i="1"/>
  <c r="A316" i="1"/>
  <c r="B316" i="1"/>
  <c r="C316" i="1"/>
  <c r="D316" i="1"/>
  <c r="E316" i="1"/>
  <c r="F316" i="1"/>
  <c r="I316" i="1"/>
  <c r="L316" i="1"/>
  <c r="A317" i="1"/>
  <c r="B317" i="1"/>
  <c r="C317" i="1"/>
  <c r="D317" i="1"/>
  <c r="E317" i="1"/>
  <c r="F317" i="1"/>
  <c r="I317" i="1"/>
  <c r="L317" i="1"/>
  <c r="A318" i="1"/>
  <c r="B318" i="1"/>
  <c r="C318" i="1"/>
  <c r="D318" i="1"/>
  <c r="E318" i="1"/>
  <c r="F318" i="1"/>
  <c r="I318" i="1"/>
  <c r="L318" i="1"/>
  <c r="A319" i="1"/>
  <c r="B319" i="1"/>
  <c r="C319" i="1"/>
  <c r="D319" i="1"/>
  <c r="E319" i="1"/>
  <c r="F319" i="1"/>
  <c r="I319" i="1"/>
  <c r="L319" i="1"/>
  <c r="A320" i="1"/>
  <c r="B320" i="1"/>
  <c r="C320" i="1"/>
  <c r="D320" i="1"/>
  <c r="E320" i="1"/>
  <c r="F320" i="1"/>
  <c r="I320" i="1"/>
  <c r="L320" i="1"/>
  <c r="A321" i="1"/>
  <c r="B321" i="1"/>
  <c r="C321" i="1"/>
  <c r="D321" i="1"/>
  <c r="E321" i="1"/>
  <c r="F321" i="1"/>
  <c r="I321" i="1"/>
  <c r="L321" i="1"/>
  <c r="A322" i="1"/>
  <c r="B322" i="1"/>
  <c r="C322" i="1"/>
  <c r="D322" i="1"/>
  <c r="E322" i="1"/>
  <c r="F322" i="1"/>
  <c r="I322" i="1"/>
  <c r="L322" i="1"/>
  <c r="A323" i="1"/>
  <c r="B323" i="1"/>
  <c r="C323" i="1"/>
  <c r="D323" i="1"/>
  <c r="E323" i="1"/>
  <c r="F323" i="1"/>
  <c r="I323" i="1"/>
  <c r="L323" i="1"/>
  <c r="A324" i="1"/>
  <c r="B324" i="1"/>
  <c r="C324" i="1"/>
  <c r="D324" i="1"/>
  <c r="E324" i="1"/>
  <c r="F324" i="1"/>
  <c r="I324" i="1"/>
  <c r="L324" i="1"/>
  <c r="A325" i="1"/>
  <c r="B325" i="1"/>
  <c r="C325" i="1"/>
  <c r="D325" i="1"/>
  <c r="E325" i="1"/>
  <c r="F325" i="1"/>
  <c r="I325" i="1"/>
  <c r="L325" i="1"/>
  <c r="A326" i="1"/>
  <c r="B326" i="1"/>
  <c r="C326" i="1"/>
  <c r="D326" i="1"/>
  <c r="E326" i="1"/>
  <c r="F326" i="1"/>
  <c r="I326" i="1"/>
  <c r="L326" i="1"/>
  <c r="A327" i="1"/>
  <c r="B327" i="1"/>
  <c r="C327" i="1"/>
  <c r="D327" i="1"/>
  <c r="E327" i="1"/>
  <c r="F327" i="1"/>
  <c r="I327" i="1"/>
  <c r="L327" i="1"/>
  <c r="A328" i="1"/>
  <c r="B328" i="1"/>
  <c r="C328" i="1"/>
  <c r="D328" i="1"/>
  <c r="E328" i="1"/>
  <c r="F328" i="1"/>
  <c r="I328" i="1"/>
  <c r="L328" i="1"/>
  <c r="A329" i="1"/>
  <c r="B329" i="1"/>
  <c r="C329" i="1"/>
  <c r="D329" i="1"/>
  <c r="E329" i="1"/>
  <c r="F329" i="1"/>
  <c r="I329" i="1"/>
  <c r="L329" i="1"/>
  <c r="A330" i="1"/>
  <c r="B330" i="1"/>
  <c r="C330" i="1"/>
  <c r="D330" i="1"/>
  <c r="E330" i="1"/>
  <c r="F330" i="1"/>
  <c r="I330" i="1"/>
  <c r="L330" i="1"/>
  <c r="A331" i="1"/>
  <c r="B331" i="1"/>
  <c r="C331" i="1"/>
  <c r="D331" i="1"/>
  <c r="E331" i="1"/>
  <c r="F331" i="1"/>
  <c r="I331" i="1"/>
  <c r="L331" i="1"/>
  <c r="A332" i="1"/>
  <c r="B332" i="1"/>
  <c r="C332" i="1"/>
  <c r="D332" i="1"/>
  <c r="E332" i="1"/>
  <c r="F332" i="1"/>
  <c r="I332" i="1"/>
  <c r="L332" i="1"/>
  <c r="A333" i="1"/>
  <c r="B333" i="1"/>
  <c r="C333" i="1"/>
  <c r="D333" i="1"/>
  <c r="E333" i="1"/>
  <c r="F333" i="1"/>
  <c r="I333" i="1"/>
  <c r="L333" i="1"/>
  <c r="A334" i="1"/>
  <c r="B334" i="1"/>
  <c r="C334" i="1"/>
  <c r="D334" i="1"/>
  <c r="E334" i="1"/>
  <c r="F334" i="1"/>
  <c r="I334" i="1"/>
  <c r="L334" i="1"/>
  <c r="A335" i="1"/>
  <c r="B335" i="1"/>
  <c r="C335" i="1"/>
  <c r="D335" i="1"/>
  <c r="E335" i="1"/>
  <c r="F335" i="1"/>
  <c r="I335" i="1"/>
  <c r="L335" i="1"/>
  <c r="A336" i="1"/>
  <c r="B336" i="1"/>
  <c r="C336" i="1"/>
  <c r="D336" i="1"/>
  <c r="E336" i="1"/>
  <c r="F336" i="1"/>
  <c r="I336" i="1"/>
  <c r="L336" i="1"/>
  <c r="A337" i="1"/>
  <c r="B337" i="1"/>
  <c r="C337" i="1"/>
  <c r="D337" i="1"/>
  <c r="E337" i="1"/>
  <c r="F337" i="1"/>
  <c r="I337" i="1"/>
  <c r="L337" i="1"/>
  <c r="A338" i="1"/>
  <c r="B338" i="1"/>
  <c r="C338" i="1"/>
  <c r="D338" i="1"/>
  <c r="E338" i="1"/>
  <c r="F338" i="1"/>
  <c r="I338" i="1"/>
  <c r="L338" i="1"/>
  <c r="A339" i="1"/>
  <c r="B339" i="1"/>
  <c r="C339" i="1"/>
  <c r="D339" i="1"/>
  <c r="E339" i="1"/>
  <c r="F339" i="1"/>
  <c r="I339" i="1"/>
  <c r="L339" i="1"/>
  <c r="I13" i="1"/>
  <c r="I15" i="1"/>
  <c r="I19" i="1"/>
  <c r="I20" i="1"/>
  <c r="I21" i="1"/>
  <c r="I27" i="1"/>
  <c r="I29" i="1"/>
  <c r="I31" i="1"/>
  <c r="I37" i="1"/>
  <c r="I39" i="1"/>
  <c r="I43" i="1"/>
  <c r="I45" i="1"/>
  <c r="I51" i="1"/>
  <c r="I53" i="1"/>
  <c r="I55" i="1"/>
  <c r="I63" i="1"/>
  <c r="I67" i="1"/>
  <c r="I68" i="1"/>
  <c r="I69" i="1"/>
  <c r="I75" i="1"/>
  <c r="I87" i="1"/>
  <c r="I99" i="1"/>
  <c r="I101" i="1"/>
  <c r="K23" i="5" l="1"/>
  <c r="C76" i="5"/>
  <c r="B74" i="1" s="1"/>
  <c r="C70" i="5"/>
  <c r="B68" i="1" s="1"/>
  <c r="C64" i="5"/>
  <c r="B62" i="1" s="1"/>
  <c r="C58" i="5"/>
  <c r="B56" i="1" s="1"/>
  <c r="C52" i="5"/>
  <c r="B50" i="1" s="1"/>
  <c r="C46" i="5"/>
  <c r="B44" i="1" s="1"/>
  <c r="C40" i="5"/>
  <c r="B38" i="1" s="1"/>
  <c r="C34" i="5"/>
  <c r="B32" i="1" s="1"/>
  <c r="D27" i="5"/>
  <c r="E25" i="1" s="1"/>
  <c r="D18" i="5"/>
  <c r="E16" i="1" s="1"/>
  <c r="C10" i="5"/>
  <c r="B8" i="1" s="1"/>
  <c r="K100" i="5"/>
  <c r="K83" i="5"/>
  <c r="K64" i="5"/>
  <c r="K47" i="5"/>
  <c r="D105" i="5"/>
  <c r="E103" i="1" s="1"/>
  <c r="D99" i="5"/>
  <c r="E97" i="1" s="1"/>
  <c r="D93" i="5"/>
  <c r="E91" i="1" s="1"/>
  <c r="D87" i="5"/>
  <c r="E85" i="1" s="1"/>
  <c r="D81" i="5"/>
  <c r="E79" i="1" s="1"/>
  <c r="D75" i="5"/>
  <c r="E73" i="1" s="1"/>
  <c r="D69" i="5"/>
  <c r="E67" i="1" s="1"/>
  <c r="D63" i="5"/>
  <c r="E61" i="1" s="1"/>
  <c r="D57" i="5"/>
  <c r="E55" i="1" s="1"/>
  <c r="D51" i="5"/>
  <c r="E49" i="1" s="1"/>
  <c r="D45" i="5"/>
  <c r="E43" i="1" s="1"/>
  <c r="D39" i="5"/>
  <c r="E37" i="1" s="1"/>
  <c r="D33" i="5"/>
  <c r="E31" i="1" s="1"/>
  <c r="D26" i="5"/>
  <c r="E24" i="1" s="1"/>
  <c r="C18" i="5"/>
  <c r="D8" i="5"/>
  <c r="E6" i="1" s="1"/>
  <c r="K99" i="5"/>
  <c r="K80" i="5"/>
  <c r="K63" i="5"/>
  <c r="K44" i="5"/>
  <c r="D110" i="5"/>
  <c r="E108" i="1" s="1"/>
  <c r="D104" i="5"/>
  <c r="E102" i="1" s="1"/>
  <c r="D98" i="5"/>
  <c r="E96" i="1" s="1"/>
  <c r="D92" i="5"/>
  <c r="E90" i="1" s="1"/>
  <c r="D86" i="5"/>
  <c r="E84" i="1" s="1"/>
  <c r="D80" i="5"/>
  <c r="E78" i="1" s="1"/>
  <c r="D74" i="5"/>
  <c r="E72" i="1" s="1"/>
  <c r="D68" i="5"/>
  <c r="E66" i="1" s="1"/>
  <c r="D62" i="5"/>
  <c r="E60" i="1" s="1"/>
  <c r="D56" i="5"/>
  <c r="E54" i="1" s="1"/>
  <c r="D50" i="5"/>
  <c r="E48" i="1" s="1"/>
  <c r="D44" i="5"/>
  <c r="E42" i="1" s="1"/>
  <c r="D38" i="5"/>
  <c r="E36" i="1" s="1"/>
  <c r="D32" i="5"/>
  <c r="E30" i="1" s="1"/>
  <c r="C25" i="5"/>
  <c r="B23" i="1" s="1"/>
  <c r="D16" i="5"/>
  <c r="E14" i="1" s="1"/>
  <c r="C7" i="5"/>
  <c r="B5" i="1" s="1"/>
  <c r="K96" i="5"/>
  <c r="K77" i="5"/>
  <c r="K60" i="5"/>
  <c r="K41" i="5"/>
  <c r="C68" i="5"/>
  <c r="B66" i="1" s="1"/>
  <c r="C62" i="5"/>
  <c r="B60" i="1" s="1"/>
  <c r="C56" i="5"/>
  <c r="B54" i="1" s="1"/>
  <c r="C50" i="5"/>
  <c r="B48" i="1" s="1"/>
  <c r="C44" i="5"/>
  <c r="B42" i="1" s="1"/>
  <c r="C38" i="5"/>
  <c r="B36" i="1" s="1"/>
  <c r="C32" i="5"/>
  <c r="B30" i="1" s="1"/>
  <c r="D24" i="5"/>
  <c r="E22" i="1" s="1"/>
  <c r="C16" i="5"/>
  <c r="C6" i="5"/>
  <c r="B4" i="1" s="1"/>
  <c r="K95" i="5"/>
  <c r="K76" i="5"/>
  <c r="K59" i="5"/>
  <c r="K40" i="5"/>
  <c r="D109" i="5"/>
  <c r="E107" i="1" s="1"/>
  <c r="D103" i="5"/>
  <c r="E101" i="1" s="1"/>
  <c r="D97" i="5"/>
  <c r="E95" i="1" s="1"/>
  <c r="D91" i="5"/>
  <c r="E89" i="1" s="1"/>
  <c r="D85" i="5"/>
  <c r="E83" i="1" s="1"/>
  <c r="D79" i="5"/>
  <c r="E77" i="1" s="1"/>
  <c r="D73" i="5"/>
  <c r="E71" i="1" s="1"/>
  <c r="D67" i="5"/>
  <c r="E65" i="1" s="1"/>
  <c r="D61" i="5"/>
  <c r="E59" i="1" s="1"/>
  <c r="D55" i="5"/>
  <c r="E53" i="1" s="1"/>
  <c r="D49" i="5"/>
  <c r="E47" i="1" s="1"/>
  <c r="D43" i="5"/>
  <c r="E41" i="1" s="1"/>
  <c r="D37" i="5"/>
  <c r="E35" i="1" s="1"/>
  <c r="D31" i="5"/>
  <c r="E29" i="1" s="1"/>
  <c r="C24" i="5"/>
  <c r="B22" i="1" s="1"/>
  <c r="D14" i="5"/>
  <c r="E12" i="1" s="1"/>
  <c r="D5" i="5"/>
  <c r="E3" i="1" s="1"/>
  <c r="K92" i="5"/>
  <c r="K75" i="5"/>
  <c r="K56" i="5"/>
  <c r="K39" i="5"/>
  <c r="D6" i="5"/>
  <c r="E4" i="1" s="1"/>
  <c r="D108" i="5"/>
  <c r="E106" i="1" s="1"/>
  <c r="D102" i="5"/>
  <c r="E100" i="1" s="1"/>
  <c r="D96" i="5"/>
  <c r="E94" i="1" s="1"/>
  <c r="D90" i="5"/>
  <c r="E88" i="1" s="1"/>
  <c r="D84" i="5"/>
  <c r="E82" i="1" s="1"/>
  <c r="D78" i="5"/>
  <c r="E76" i="1" s="1"/>
  <c r="D72" i="5"/>
  <c r="E70" i="1" s="1"/>
  <c r="D66" i="5"/>
  <c r="E64" i="1" s="1"/>
  <c r="D60" i="5"/>
  <c r="E58" i="1" s="1"/>
  <c r="D54" i="5"/>
  <c r="E52" i="1" s="1"/>
  <c r="D48" i="5"/>
  <c r="E46" i="1" s="1"/>
  <c r="D42" i="5"/>
  <c r="E40" i="1" s="1"/>
  <c r="D36" i="5"/>
  <c r="E34" i="1" s="1"/>
  <c r="D30" i="5"/>
  <c r="E28" i="1" s="1"/>
  <c r="D22" i="5"/>
  <c r="E20" i="1" s="1"/>
  <c r="C13" i="5"/>
  <c r="B11" i="1" s="1"/>
  <c r="K108" i="5"/>
  <c r="K89" i="5"/>
  <c r="K72" i="5"/>
  <c r="K53" i="5"/>
  <c r="K36" i="5"/>
  <c r="C108" i="5"/>
  <c r="B106" i="1" s="1"/>
  <c r="C102" i="5"/>
  <c r="B100" i="1" s="1"/>
  <c r="C96" i="5"/>
  <c r="B94" i="1" s="1"/>
  <c r="C90" i="5"/>
  <c r="B88" i="1" s="1"/>
  <c r="C84" i="5"/>
  <c r="B82" i="1" s="1"/>
  <c r="C78" i="5"/>
  <c r="B76" i="1" s="1"/>
  <c r="C72" i="5"/>
  <c r="B70" i="1" s="1"/>
  <c r="C66" i="5"/>
  <c r="B64" i="1" s="1"/>
  <c r="C60" i="5"/>
  <c r="B58" i="1" s="1"/>
  <c r="C54" i="5"/>
  <c r="B52" i="1" s="1"/>
  <c r="C48" i="5"/>
  <c r="B46" i="1" s="1"/>
  <c r="C42" i="5"/>
  <c r="B40" i="1" s="1"/>
  <c r="C36" i="5"/>
  <c r="B34" i="1" s="1"/>
  <c r="C30" i="5"/>
  <c r="B28" i="1" s="1"/>
  <c r="C22" i="5"/>
  <c r="D12" i="5"/>
  <c r="E10" i="1" s="1"/>
  <c r="K107" i="5"/>
  <c r="K88" i="5"/>
  <c r="K71" i="5"/>
  <c r="K52" i="5"/>
  <c r="K35" i="5"/>
  <c r="C107" i="5"/>
  <c r="B105" i="1" s="1"/>
  <c r="C101" i="5"/>
  <c r="B99" i="1" s="1"/>
  <c r="C95" i="5"/>
  <c r="B93" i="1" s="1"/>
  <c r="C89" i="5"/>
  <c r="B87" i="1" s="1"/>
  <c r="C83" i="5"/>
  <c r="B81" i="1" s="1"/>
  <c r="C77" i="5"/>
  <c r="B75" i="1" s="1"/>
  <c r="C71" i="5"/>
  <c r="B69" i="1" s="1"/>
  <c r="C65" i="5"/>
  <c r="B63" i="1" s="1"/>
  <c r="C59" i="5"/>
  <c r="B57" i="1" s="1"/>
  <c r="C53" i="5"/>
  <c r="B51" i="1" s="1"/>
  <c r="C47" i="5"/>
  <c r="B45" i="1" s="1"/>
  <c r="C41" i="5"/>
  <c r="B39" i="1" s="1"/>
  <c r="C35" i="5"/>
  <c r="B33" i="1" s="1"/>
  <c r="D28" i="5"/>
  <c r="E26" i="1" s="1"/>
  <c r="C20" i="5"/>
  <c r="C11" i="5"/>
  <c r="B9" i="1" s="1"/>
  <c r="K103" i="5"/>
  <c r="K85" i="5"/>
  <c r="K67" i="5"/>
  <c r="K49" i="5"/>
  <c r="K20" i="5"/>
  <c r="K19" i="5"/>
  <c r="K17" i="5"/>
  <c r="K8" i="5"/>
  <c r="K32" i="5"/>
  <c r="K31" i="5"/>
  <c r="K28" i="5"/>
  <c r="K27" i="5"/>
  <c r="K25" i="5"/>
  <c r="K7" i="5"/>
  <c r="D25" i="5"/>
  <c r="E23" i="1" s="1"/>
  <c r="D19" i="5"/>
  <c r="E17" i="1" s="1"/>
  <c r="D13" i="5"/>
  <c r="E11" i="1" s="1"/>
  <c r="D7" i="5"/>
  <c r="E5" i="1" s="1"/>
  <c r="K102" i="5"/>
  <c r="K90" i="5"/>
  <c r="K78" i="5"/>
  <c r="K66" i="5"/>
  <c r="K54" i="5"/>
  <c r="K42" i="5"/>
  <c r="K30" i="5"/>
  <c r="K18" i="5"/>
  <c r="K6" i="5"/>
  <c r="K5" i="5"/>
  <c r="K16" i="5"/>
  <c r="K15" i="5"/>
  <c r="D29" i="5"/>
  <c r="E27" i="1" s="1"/>
  <c r="D23" i="5"/>
  <c r="E21" i="1" s="1"/>
  <c r="D17" i="5"/>
  <c r="E15" i="1" s="1"/>
  <c r="D11" i="5"/>
  <c r="E9" i="1" s="1"/>
  <c r="K110" i="5"/>
  <c r="K98" i="5"/>
  <c r="K86" i="5"/>
  <c r="K74" i="5"/>
  <c r="K62" i="5"/>
  <c r="K50" i="5"/>
  <c r="K38" i="5"/>
  <c r="K26" i="5"/>
  <c r="K14" i="5"/>
  <c r="K13" i="5"/>
  <c r="K12" i="5"/>
  <c r="K11" i="5"/>
  <c r="D21" i="5"/>
  <c r="E19" i="1" s="1"/>
  <c r="D15" i="5"/>
  <c r="D9" i="5"/>
  <c r="E7" i="1" s="1"/>
  <c r="K106" i="5"/>
  <c r="K94" i="5"/>
  <c r="K82" i="5"/>
  <c r="K70" i="5"/>
  <c r="K58" i="5"/>
  <c r="K46" i="5"/>
  <c r="K34" i="5"/>
  <c r="K22" i="5"/>
  <c r="K10" i="5"/>
  <c r="C5" i="5"/>
  <c r="B3" i="1" s="1"/>
  <c r="C27" i="5"/>
  <c r="B25" i="1" s="1"/>
  <c r="C21" i="5"/>
  <c r="C15" i="5"/>
  <c r="C9" i="5"/>
  <c r="B7" i="1" s="1"/>
  <c r="K105" i="5"/>
  <c r="K93" i="5"/>
  <c r="K81" i="5"/>
  <c r="K69" i="5"/>
  <c r="K57" i="5"/>
  <c r="K45" i="5"/>
  <c r="K33" i="5"/>
  <c r="K21" i="5"/>
  <c r="K9" i="5"/>
  <c r="C22" i="1"/>
  <c r="D22" i="1"/>
  <c r="C23" i="1"/>
  <c r="D23" i="1"/>
  <c r="B24" i="1"/>
  <c r="C24" i="1"/>
  <c r="D24" i="1"/>
  <c r="C25" i="1"/>
  <c r="D25" i="1"/>
  <c r="B26" i="1"/>
  <c r="C26" i="1"/>
  <c r="D26" i="1"/>
  <c r="B27" i="1"/>
  <c r="C27" i="1"/>
  <c r="D27" i="1"/>
  <c r="C28" i="1"/>
  <c r="D28" i="1"/>
  <c r="B29" i="1"/>
  <c r="C29" i="1"/>
  <c r="D29" i="1"/>
  <c r="C30" i="1"/>
  <c r="D30" i="1"/>
  <c r="B31" i="1"/>
  <c r="C31" i="1"/>
  <c r="D31" i="1"/>
  <c r="E32" i="1"/>
  <c r="C32" i="1"/>
  <c r="D32" i="1"/>
  <c r="E33" i="1"/>
  <c r="C33" i="1"/>
  <c r="D33" i="1"/>
  <c r="C34" i="1"/>
  <c r="D34" i="1"/>
  <c r="B35" i="1"/>
  <c r="C35" i="1"/>
  <c r="D35" i="1"/>
  <c r="C36" i="1"/>
  <c r="D36" i="1"/>
  <c r="B37" i="1"/>
  <c r="C37" i="1"/>
  <c r="D37" i="1"/>
  <c r="E38" i="1"/>
  <c r="C38" i="1"/>
  <c r="D38" i="1"/>
  <c r="E39" i="1"/>
  <c r="C39" i="1"/>
  <c r="D39" i="1"/>
  <c r="C40" i="1"/>
  <c r="D40" i="1"/>
  <c r="B41" i="1"/>
  <c r="C41" i="1"/>
  <c r="D41" i="1"/>
  <c r="C42" i="1"/>
  <c r="D42" i="1"/>
  <c r="B43" i="1"/>
  <c r="C43" i="1"/>
  <c r="D43" i="1"/>
  <c r="E44" i="1"/>
  <c r="C44" i="1"/>
  <c r="D44" i="1"/>
  <c r="E45" i="1"/>
  <c r="C45" i="1"/>
  <c r="D45" i="1"/>
  <c r="C46" i="1"/>
  <c r="D46" i="1"/>
  <c r="B47" i="1"/>
  <c r="C47" i="1"/>
  <c r="D47" i="1"/>
  <c r="C48" i="1"/>
  <c r="D48" i="1"/>
  <c r="B49" i="1"/>
  <c r="C49" i="1"/>
  <c r="D49" i="1"/>
  <c r="E50" i="1"/>
  <c r="C50" i="1"/>
  <c r="D50" i="1"/>
  <c r="E51" i="1"/>
  <c r="C51" i="1"/>
  <c r="D51" i="1"/>
  <c r="C52" i="1"/>
  <c r="D52" i="1"/>
  <c r="B53" i="1"/>
  <c r="C53" i="1"/>
  <c r="D53" i="1"/>
  <c r="C54" i="1"/>
  <c r="D54" i="1"/>
  <c r="B55" i="1"/>
  <c r="C55" i="1"/>
  <c r="D55" i="1"/>
  <c r="E56" i="1"/>
  <c r="C56" i="1"/>
  <c r="D56" i="1"/>
  <c r="E57" i="1"/>
  <c r="C57" i="1"/>
  <c r="D57" i="1"/>
  <c r="C58" i="1"/>
  <c r="D58" i="1"/>
  <c r="B59" i="1"/>
  <c r="C59" i="1"/>
  <c r="D59" i="1"/>
  <c r="C60" i="1"/>
  <c r="D60" i="1"/>
  <c r="B61" i="1"/>
  <c r="C61" i="1"/>
  <c r="D61" i="1"/>
  <c r="E62" i="1"/>
  <c r="C62" i="1"/>
  <c r="D62" i="1"/>
  <c r="E63" i="1"/>
  <c r="C63" i="1"/>
  <c r="D63" i="1"/>
  <c r="C64" i="1"/>
  <c r="D64" i="1"/>
  <c r="B65" i="1"/>
  <c r="C65" i="1"/>
  <c r="D65" i="1"/>
  <c r="C66" i="1"/>
  <c r="D66" i="1"/>
  <c r="B67" i="1"/>
  <c r="C67" i="1"/>
  <c r="D67" i="1"/>
  <c r="E68" i="1"/>
  <c r="C68" i="1"/>
  <c r="D68" i="1"/>
  <c r="E69" i="1"/>
  <c r="C69" i="1"/>
  <c r="D69" i="1"/>
  <c r="C70" i="1"/>
  <c r="D70" i="1"/>
  <c r="B71" i="1"/>
  <c r="C71" i="1"/>
  <c r="D71" i="1"/>
  <c r="B72" i="1"/>
  <c r="C72" i="1"/>
  <c r="D72" i="1"/>
  <c r="B73" i="1"/>
  <c r="C73" i="1"/>
  <c r="D73" i="1"/>
  <c r="E74" i="1"/>
  <c r="C74" i="1"/>
  <c r="D74" i="1"/>
  <c r="E75" i="1"/>
  <c r="C75" i="1"/>
  <c r="D75" i="1"/>
  <c r="C76" i="1"/>
  <c r="D76" i="1"/>
  <c r="B77" i="1"/>
  <c r="C77" i="1"/>
  <c r="D77" i="1"/>
  <c r="B78" i="1"/>
  <c r="C78" i="1"/>
  <c r="D78" i="1"/>
  <c r="B79" i="1"/>
  <c r="C79" i="1"/>
  <c r="D79" i="1"/>
  <c r="B80" i="1"/>
  <c r="E80" i="1"/>
  <c r="C80" i="1"/>
  <c r="D80" i="1"/>
  <c r="E81" i="1"/>
  <c r="C81" i="1"/>
  <c r="D81" i="1"/>
  <c r="C82" i="1"/>
  <c r="D82" i="1"/>
  <c r="B83" i="1"/>
  <c r="C83" i="1"/>
  <c r="D83" i="1"/>
  <c r="B84" i="1"/>
  <c r="C84" i="1"/>
  <c r="D84" i="1"/>
  <c r="B85" i="1"/>
  <c r="C85" i="1"/>
  <c r="D85" i="1"/>
  <c r="B86" i="1"/>
  <c r="E86" i="1"/>
  <c r="C86" i="1"/>
  <c r="D86" i="1"/>
  <c r="E87" i="1"/>
  <c r="C87" i="1"/>
  <c r="D87" i="1"/>
  <c r="C88" i="1"/>
  <c r="D88" i="1"/>
  <c r="B89" i="1"/>
  <c r="C89" i="1"/>
  <c r="D89" i="1"/>
  <c r="B90" i="1"/>
  <c r="C90" i="1"/>
  <c r="D90" i="1"/>
  <c r="B91" i="1"/>
  <c r="C91" i="1"/>
  <c r="D91" i="1"/>
  <c r="B92" i="1"/>
  <c r="E92" i="1"/>
  <c r="C92" i="1"/>
  <c r="D92" i="1"/>
  <c r="E93" i="1"/>
  <c r="C93" i="1"/>
  <c r="D93" i="1"/>
  <c r="C94" i="1"/>
  <c r="D94" i="1"/>
  <c r="B95" i="1"/>
  <c r="C95" i="1"/>
  <c r="D95" i="1"/>
  <c r="B96" i="1"/>
  <c r="C96" i="1"/>
  <c r="D96" i="1"/>
  <c r="B97" i="1"/>
  <c r="C97" i="1"/>
  <c r="D97" i="1"/>
  <c r="B98" i="1"/>
  <c r="E98" i="1"/>
  <c r="C98" i="1"/>
  <c r="D98" i="1"/>
  <c r="E99" i="1"/>
  <c r="C99" i="1"/>
  <c r="D99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E104" i="1"/>
  <c r="C104" i="1"/>
  <c r="D104" i="1"/>
  <c r="E105" i="1"/>
  <c r="C105" i="1"/>
  <c r="D105" i="1"/>
  <c r="C106" i="1"/>
  <c r="D106" i="1"/>
  <c r="B107" i="1"/>
  <c r="C107" i="1"/>
  <c r="D107" i="1"/>
  <c r="B108" i="1"/>
  <c r="C108" i="1"/>
  <c r="D108" i="1"/>
  <c r="C111" i="5"/>
  <c r="B109" i="1" s="1"/>
  <c r="D111" i="5"/>
  <c r="E109" i="1" s="1"/>
  <c r="I109" i="1"/>
  <c r="I111" i="5"/>
  <c r="C109" i="1" s="1"/>
  <c r="J111" i="5"/>
  <c r="D109" i="1" s="1"/>
  <c r="C112" i="5"/>
  <c r="B110" i="1" s="1"/>
  <c r="D112" i="5"/>
  <c r="E110" i="1" s="1"/>
  <c r="I110" i="1"/>
  <c r="I112" i="5"/>
  <c r="C110" i="1" s="1"/>
  <c r="J112" i="5"/>
  <c r="D110" i="1" s="1"/>
  <c r="C113" i="5"/>
  <c r="B111" i="1" s="1"/>
  <c r="D113" i="5"/>
  <c r="E111" i="1" s="1"/>
  <c r="I111" i="1"/>
  <c r="I113" i="5"/>
  <c r="C111" i="1" s="1"/>
  <c r="J113" i="5"/>
  <c r="D111" i="1" s="1"/>
  <c r="C114" i="5"/>
  <c r="B112" i="1" s="1"/>
  <c r="D114" i="5"/>
  <c r="E112" i="1" s="1"/>
  <c r="I112" i="1"/>
  <c r="I114" i="5"/>
  <c r="C112" i="1" s="1"/>
  <c r="J114" i="5"/>
  <c r="D112" i="1" s="1"/>
  <c r="C115" i="5"/>
  <c r="B113" i="1" s="1"/>
  <c r="D115" i="5"/>
  <c r="E113" i="1" s="1"/>
  <c r="I113" i="1"/>
  <c r="I115" i="5"/>
  <c r="C113" i="1" s="1"/>
  <c r="J115" i="5"/>
  <c r="D113" i="1" s="1"/>
  <c r="C116" i="5"/>
  <c r="B114" i="1" s="1"/>
  <c r="D116" i="5"/>
  <c r="E114" i="1" s="1"/>
  <c r="I114" i="1"/>
  <c r="I116" i="5"/>
  <c r="C114" i="1" s="1"/>
  <c r="J116" i="5"/>
  <c r="D114" i="1" s="1"/>
  <c r="C117" i="5"/>
  <c r="B115" i="1" s="1"/>
  <c r="D117" i="5"/>
  <c r="E115" i="1" s="1"/>
  <c r="I115" i="1"/>
  <c r="I117" i="5"/>
  <c r="C115" i="1" s="1"/>
  <c r="J117" i="5"/>
  <c r="D115" i="1" s="1"/>
  <c r="C118" i="5"/>
  <c r="B116" i="1" s="1"/>
  <c r="D118" i="5"/>
  <c r="E116" i="1" s="1"/>
  <c r="I116" i="1"/>
  <c r="I118" i="5"/>
  <c r="C116" i="1" s="1"/>
  <c r="J118" i="5"/>
  <c r="D116" i="1" s="1"/>
  <c r="C119" i="5"/>
  <c r="B117" i="1" s="1"/>
  <c r="D119" i="5"/>
  <c r="E117" i="1" s="1"/>
  <c r="I117" i="1"/>
  <c r="I119" i="5"/>
  <c r="C117" i="1" s="1"/>
  <c r="J119" i="5"/>
  <c r="D117" i="1" s="1"/>
  <c r="C120" i="5"/>
  <c r="B118" i="1" s="1"/>
  <c r="D120" i="5"/>
  <c r="E118" i="1" s="1"/>
  <c r="I118" i="1"/>
  <c r="I120" i="5"/>
  <c r="C118" i="1" s="1"/>
  <c r="J120" i="5"/>
  <c r="D118" i="1" s="1"/>
  <c r="C121" i="5"/>
  <c r="B119" i="1" s="1"/>
  <c r="D121" i="5"/>
  <c r="E119" i="1" s="1"/>
  <c r="I119" i="1"/>
  <c r="I121" i="5"/>
  <c r="C119" i="1" s="1"/>
  <c r="J121" i="5"/>
  <c r="D119" i="1" s="1"/>
  <c r="C122" i="5"/>
  <c r="B120" i="1" s="1"/>
  <c r="D122" i="5"/>
  <c r="E120" i="1" s="1"/>
  <c r="I120" i="1"/>
  <c r="I122" i="5"/>
  <c r="C120" i="1" s="1"/>
  <c r="J122" i="5"/>
  <c r="D120" i="1" s="1"/>
  <c r="C123" i="5"/>
  <c r="B121" i="1" s="1"/>
  <c r="D123" i="5"/>
  <c r="E121" i="1" s="1"/>
  <c r="I121" i="1"/>
  <c r="I123" i="5"/>
  <c r="C121" i="1" s="1"/>
  <c r="J123" i="5"/>
  <c r="D121" i="1" s="1"/>
  <c r="C124" i="5"/>
  <c r="B122" i="1" s="1"/>
  <c r="D124" i="5"/>
  <c r="E122" i="1" s="1"/>
  <c r="I122" i="1"/>
  <c r="I124" i="5"/>
  <c r="C122" i="1" s="1"/>
  <c r="J124" i="5"/>
  <c r="D122" i="1" s="1"/>
  <c r="C125" i="5"/>
  <c r="B123" i="1" s="1"/>
  <c r="D125" i="5"/>
  <c r="E123" i="1" s="1"/>
  <c r="I123" i="1"/>
  <c r="I125" i="5"/>
  <c r="C123" i="1" s="1"/>
  <c r="J125" i="5"/>
  <c r="D123" i="1" s="1"/>
  <c r="C126" i="5"/>
  <c r="B124" i="1" s="1"/>
  <c r="D126" i="5"/>
  <c r="E124" i="1" s="1"/>
  <c r="I124" i="1"/>
  <c r="I126" i="5"/>
  <c r="C124" i="1" s="1"/>
  <c r="J126" i="5"/>
  <c r="D124" i="1" s="1"/>
  <c r="C127" i="5"/>
  <c r="B125" i="1" s="1"/>
  <c r="D127" i="5"/>
  <c r="E125" i="1" s="1"/>
  <c r="I125" i="1"/>
  <c r="I127" i="5"/>
  <c r="C125" i="1" s="1"/>
  <c r="J127" i="5"/>
  <c r="D125" i="1" s="1"/>
  <c r="C128" i="5"/>
  <c r="B126" i="1" s="1"/>
  <c r="D128" i="5"/>
  <c r="E126" i="1" s="1"/>
  <c r="I126" i="1"/>
  <c r="I128" i="5"/>
  <c r="C126" i="1" s="1"/>
  <c r="J128" i="5"/>
  <c r="D126" i="1" s="1"/>
  <c r="C129" i="5"/>
  <c r="B127" i="1" s="1"/>
  <c r="D129" i="5"/>
  <c r="E127" i="1" s="1"/>
  <c r="I127" i="1"/>
  <c r="I129" i="5"/>
  <c r="C127" i="1" s="1"/>
  <c r="J129" i="5"/>
  <c r="D127" i="1" s="1"/>
  <c r="C130" i="5"/>
  <c r="B128" i="1" s="1"/>
  <c r="D130" i="5"/>
  <c r="E128" i="1" s="1"/>
  <c r="I128" i="1"/>
  <c r="I130" i="5"/>
  <c r="C128" i="1" s="1"/>
  <c r="J130" i="5"/>
  <c r="D128" i="1" s="1"/>
  <c r="C131" i="5"/>
  <c r="B129" i="1" s="1"/>
  <c r="D131" i="5"/>
  <c r="E129" i="1" s="1"/>
  <c r="I129" i="1"/>
  <c r="I131" i="5"/>
  <c r="C129" i="1" s="1"/>
  <c r="J131" i="5"/>
  <c r="D129" i="1" s="1"/>
  <c r="C132" i="5"/>
  <c r="B130" i="1" s="1"/>
  <c r="D132" i="5"/>
  <c r="E130" i="1" s="1"/>
  <c r="I130" i="1"/>
  <c r="I132" i="5"/>
  <c r="C130" i="1" s="1"/>
  <c r="J132" i="5"/>
  <c r="D130" i="1" s="1"/>
  <c r="C133" i="5"/>
  <c r="B131" i="1" s="1"/>
  <c r="D133" i="5"/>
  <c r="E131" i="1" s="1"/>
  <c r="I131" i="1"/>
  <c r="I133" i="5"/>
  <c r="C131" i="1" s="1"/>
  <c r="J133" i="5"/>
  <c r="D131" i="1" s="1"/>
  <c r="C134" i="5"/>
  <c r="B132" i="1" s="1"/>
  <c r="D134" i="5"/>
  <c r="E132" i="1" s="1"/>
  <c r="I132" i="1"/>
  <c r="I134" i="5"/>
  <c r="C132" i="1" s="1"/>
  <c r="J134" i="5"/>
  <c r="D132" i="1" s="1"/>
  <c r="C135" i="5"/>
  <c r="B133" i="1" s="1"/>
  <c r="D135" i="5"/>
  <c r="E133" i="1" s="1"/>
  <c r="I133" i="1"/>
  <c r="I135" i="5"/>
  <c r="C133" i="1" s="1"/>
  <c r="J135" i="5"/>
  <c r="D133" i="1" s="1"/>
  <c r="C136" i="5"/>
  <c r="B134" i="1" s="1"/>
  <c r="D136" i="5"/>
  <c r="E134" i="1" s="1"/>
  <c r="I134" i="1"/>
  <c r="I136" i="5"/>
  <c r="C134" i="1" s="1"/>
  <c r="J136" i="5"/>
  <c r="D134" i="1" s="1"/>
  <c r="E18" i="1"/>
  <c r="C19" i="1" l="1"/>
  <c r="D19" i="1"/>
  <c r="C20" i="1"/>
  <c r="D20" i="1"/>
  <c r="C21" i="1"/>
  <c r="D2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B21" i="1" l="1"/>
  <c r="B20" i="1"/>
  <c r="B19" i="1"/>
  <c r="B18" i="1"/>
  <c r="B17" i="1"/>
  <c r="B16" i="1"/>
  <c r="B15" i="1"/>
  <c r="B14" i="1"/>
  <c r="E13" i="1"/>
  <c r="B13" i="1"/>
  <c r="B12" i="1"/>
  <c r="E95" i="7"/>
  <c r="E96" i="7"/>
  <c r="E97" i="7"/>
  <c r="E98" i="7"/>
  <c r="E99" i="7"/>
  <c r="E100" i="7"/>
  <c r="E101" i="7"/>
</calcChain>
</file>

<file path=xl/sharedStrings.xml><?xml version="1.0" encoding="utf-8"?>
<sst xmlns="http://schemas.openxmlformats.org/spreadsheetml/2006/main" count="2366" uniqueCount="648">
  <si>
    <t xml:space="preserve">Date
</t>
  </si>
  <si>
    <t xml:space="preserve">Name 
</t>
  </si>
  <si>
    <t xml:space="preserve"> SAP ID 
</t>
  </si>
  <si>
    <t xml:space="preserve">Service Master Number </t>
  </si>
  <si>
    <t xml:space="preserve">Work Order Number 
</t>
  </si>
  <si>
    <t xml:space="preserve">Activity Number 
</t>
  </si>
  <si>
    <t xml:space="preserve">Work Center </t>
  </si>
  <si>
    <t xml:space="preserve">Work Hours 
</t>
  </si>
  <si>
    <t>Purchase Order Number</t>
  </si>
  <si>
    <t xml:space="preserve">Purchase Order Item Number </t>
  </si>
  <si>
    <t>Date in Format DD.MM.YYYY</t>
  </si>
  <si>
    <t xml:space="preserve">Employee Name </t>
  </si>
  <si>
    <t xml:space="preserve">Employee SAP ID </t>
  </si>
  <si>
    <t xml:space="preserve">Work Order Number </t>
  </si>
  <si>
    <t>Operation Number</t>
  </si>
  <si>
    <t xml:space="preserve">Main/ Operational Work Center </t>
  </si>
  <si>
    <t xml:space="preserve">Work Hours </t>
  </si>
  <si>
    <t xml:space="preserve">Purchase Order Number </t>
  </si>
  <si>
    <t>Role</t>
  </si>
  <si>
    <r>
      <t xml:space="preserve">Work date </t>
    </r>
    <r>
      <rPr>
        <sz val="11"/>
        <color rgb="FFFF0000"/>
        <rFont val="Calibri"/>
        <family val="2"/>
        <scheme val="minor"/>
      </rPr>
      <t>DD.MM.YYY</t>
    </r>
  </si>
  <si>
    <t>Employee number</t>
  </si>
  <si>
    <t>Sending purchase order</t>
  </si>
  <si>
    <t>Sending purchase order item</t>
  </si>
  <si>
    <r>
      <t xml:space="preserve">Activity Number </t>
    </r>
    <r>
      <rPr>
        <sz val="11"/>
        <color rgb="FFFF0000"/>
        <rFont val="Calibri"/>
        <family val="2"/>
        <scheme val="minor"/>
      </rPr>
      <t>Service Master</t>
    </r>
  </si>
  <si>
    <r>
      <t xml:space="preserve">Receiver Order - </t>
    </r>
    <r>
      <rPr>
        <sz val="11"/>
        <color rgb="FFFF0000"/>
        <rFont val="Calibri"/>
        <family val="2"/>
        <scheme val="minor"/>
      </rPr>
      <t>WO or Stat Order</t>
    </r>
  </si>
  <si>
    <t>Network number</t>
  </si>
  <si>
    <r>
      <t xml:space="preserve">Activity Number - </t>
    </r>
    <r>
      <rPr>
        <sz val="11"/>
        <color rgb="FFFF0000"/>
        <rFont val="Calibri"/>
        <family val="2"/>
        <scheme val="minor"/>
      </rPr>
      <t>Operation</t>
    </r>
  </si>
  <si>
    <t>Work center</t>
  </si>
  <si>
    <t>WBS Element</t>
  </si>
  <si>
    <t>Plant</t>
  </si>
  <si>
    <t>Hours</t>
  </si>
  <si>
    <t>Unit of Measure</t>
  </si>
  <si>
    <t>Vendor Account Number - HR data</t>
  </si>
  <si>
    <t>Sending purchase order - HR data</t>
  </si>
  <si>
    <t>Sending purchase order item - HR data</t>
  </si>
  <si>
    <t>Activity Number - HR data</t>
  </si>
  <si>
    <t>Activity Type - HR data</t>
  </si>
  <si>
    <t>Status</t>
  </si>
  <si>
    <t>Message</t>
  </si>
  <si>
    <t>HR</t>
  </si>
  <si>
    <t>Name</t>
  </si>
  <si>
    <t>Sap ID</t>
  </si>
  <si>
    <t>Service Master</t>
  </si>
  <si>
    <t>Purchase order</t>
  </si>
  <si>
    <t>Item number</t>
  </si>
  <si>
    <t xml:space="preserve">Work Order </t>
  </si>
  <si>
    <t>Main Work Center</t>
  </si>
  <si>
    <t>Supervisor</t>
  </si>
  <si>
    <t>Work Order Header</t>
  </si>
  <si>
    <t>TEMSME</t>
  </si>
  <si>
    <t>Boom</t>
  </si>
  <si>
    <t>Company</t>
  </si>
  <si>
    <t>TMS</t>
  </si>
  <si>
    <t>Op. Short Text</t>
  </si>
  <si>
    <t>T1 ST001 HPP INSTRUMETS JB ELEC REDLINE</t>
  </si>
  <si>
    <t>T1 312CV003 Compressed Air Line Mech Rep</t>
  </si>
  <si>
    <t>T1 ST001 Hydraulic Hose Tray Mech Repl</t>
  </si>
  <si>
    <t>T1 312CV003 MPV GTU Plough Adjust</t>
  </si>
  <si>
    <t>T1 312CV002 Spray Bar Filter Ass MPV Ins</t>
  </si>
  <si>
    <t>T1 386BD004 Crush Contrl Rm Mech Scope</t>
  </si>
  <si>
    <t>T1 312CV002 H&amp;B Skirt Trial MPV Install</t>
  </si>
  <si>
    <t>T1 312CV002 Tail Guard Plough MPV Rpl</t>
  </si>
  <si>
    <t>T1 312CV003 GTU Shedder Rubber MPV Repl</t>
  </si>
  <si>
    <t>T1 312CV031 RH Remote Sensor HD Pulley R</t>
  </si>
  <si>
    <t>T1 Crusher Pressure TX Elec Inst</t>
  </si>
  <si>
    <t>T1 312ST001 Turret Covers Mech Repl</t>
  </si>
  <si>
    <t>T1 312CV003 Chute Flange Mech Repr</t>
  </si>
  <si>
    <t>T1 Crusher Shutdown Consumables</t>
  </si>
  <si>
    <t>T1 Stacker Conveyor Brake Mech Insp</t>
  </si>
  <si>
    <t>T1 Pre &amp; Post Shut Maintenance Works</t>
  </si>
  <si>
    <t>T1 311CR001 Mech Repl Lube Lines.</t>
  </si>
  <si>
    <t>T1 CV003 Conv Belt Cleaner Service</t>
  </si>
  <si>
    <t>T1 311FN003 Mech Inspect and Repr</t>
  </si>
  <si>
    <t>T1 312PU032 Dust Booster Pump Mech Repl</t>
  </si>
  <si>
    <t>T1 311CR001 Upper Oil Flow Meter Mech Re</t>
  </si>
  <si>
    <t>T1 Stacker Conv Belt Repl</t>
  </si>
  <si>
    <t>T1 Coarse Ore Conv Protect Elec Test</t>
  </si>
  <si>
    <t>T1 Dust Extraction Fan Internal Insp</t>
  </si>
  <si>
    <t>T1 Crusher Travel and Induction</t>
  </si>
  <si>
    <t>T1 Dust Suppression Elec Insp</t>
  </si>
  <si>
    <t>T1 Primary Crusher Backlash Crew Insp</t>
  </si>
  <si>
    <t>T1 Primary Crushing MPS Elec Calb</t>
  </si>
  <si>
    <t>T1 Spider Lube Alarm Elec Test</t>
  </si>
  <si>
    <t>T1 Sacrificial Conv Belt Cleaner Service</t>
  </si>
  <si>
    <t>T1 CV002 Conv Skirt Adjust Or Repl</t>
  </si>
  <si>
    <t>T1 CV002 Replace Defective Rollers</t>
  </si>
  <si>
    <t>T1 CV002 Belt Tracking Mech Service</t>
  </si>
  <si>
    <t>T1 CV002 CV003 Transfer Liner Mech Repl</t>
  </si>
  <si>
    <t>T1 CV003 Conv Skirt Mech Adjust Or Repl</t>
  </si>
  <si>
    <t>T1 CV003 Replace Defective Rollers</t>
  </si>
  <si>
    <t>T1 CV003 Belt Tracking Mech Service</t>
  </si>
  <si>
    <t>T1 CV003 Head Chute Liner Mech Repl</t>
  </si>
  <si>
    <t>T1 Apron Feeder 2 Mech Insp</t>
  </si>
  <si>
    <t>T1 Sacrificial Feed Chute Lip Liner Repl</t>
  </si>
  <si>
    <t>T1 Stacker Belt Tracking Frame Service</t>
  </si>
  <si>
    <t>T1 Stacker Chute Wear Plate Mech Repl</t>
  </si>
  <si>
    <t>T1 CV031 Defective Rollers Mech Repl</t>
  </si>
  <si>
    <t>T1 Stacker Conv Belt Cleaner Service</t>
  </si>
  <si>
    <t>T1 Functional Test Of Hydroset Trolley</t>
  </si>
  <si>
    <t>T1 Clean Dust Sprays in Dump Pocket</t>
  </si>
  <si>
    <t>T1 312CV003 Replace Waites Sensor Batter</t>
  </si>
  <si>
    <t>T1 311CR001 Crusher RTS jacking Ram Mech</t>
  </si>
  <si>
    <t>T1 312CV031 Stacker Pulley 2 Mech Repl</t>
  </si>
  <si>
    <t>T1 Stacker Tilt Switch Elec Test</t>
  </si>
  <si>
    <t>T1 Prim Crusher RTS Mech Repl</t>
  </si>
  <si>
    <t>T1-312MG001 Mag Belt Mech Replace</t>
  </si>
  <si>
    <t>T1 Apron Feeder D/C chute ParentMtal Rpr</t>
  </si>
  <si>
    <t>T1 312CV003 Drive Tower Scaff Build</t>
  </si>
  <si>
    <t>T1 312CV031 Pulley 3 Replace Mech Repl</t>
  </si>
  <si>
    <t>T1 312CV031 Pulley 4 Mech Repl</t>
  </si>
  <si>
    <t>T1 312XM014 T1 W/Picker Bearings Mech Re</t>
  </si>
  <si>
    <t>312CV031 Pulley 5 Waites Sensor Replc CM</t>
  </si>
  <si>
    <t>T1 Primary Crushing O/S Mantle Mech Ovhl</t>
  </si>
  <si>
    <t>T1 311CV001 Trash Feeder Clean</t>
  </si>
  <si>
    <t>T1 311FD002 Return Roller Mech Repl</t>
  </si>
  <si>
    <t>15215577</t>
  </si>
  <si>
    <t>15835660</t>
  </si>
  <si>
    <t>15967310</t>
  </si>
  <si>
    <t>16215807</t>
  </si>
  <si>
    <t>16307398</t>
  </si>
  <si>
    <t>16314597</t>
  </si>
  <si>
    <t>16317983</t>
  </si>
  <si>
    <t>16325968</t>
  </si>
  <si>
    <t>16330270</t>
  </si>
  <si>
    <t>16330614</t>
  </si>
  <si>
    <t>16333128</t>
  </si>
  <si>
    <t>16338630</t>
  </si>
  <si>
    <t>16345055</t>
  </si>
  <si>
    <t>16347067</t>
  </si>
  <si>
    <t>16350599</t>
  </si>
  <si>
    <t>16350626</t>
  </si>
  <si>
    <t>16351553</t>
  </si>
  <si>
    <t>16352596</t>
  </si>
  <si>
    <t>16353610</t>
  </si>
  <si>
    <t>16353611</t>
  </si>
  <si>
    <t>16354963</t>
  </si>
  <si>
    <t>16355571</t>
  </si>
  <si>
    <t>16355573</t>
  </si>
  <si>
    <t>16355818</t>
  </si>
  <si>
    <t>16355912</t>
  </si>
  <si>
    <t>16356425</t>
  </si>
  <si>
    <t>16356426</t>
  </si>
  <si>
    <t>16356431</t>
  </si>
  <si>
    <t>16356439</t>
  </si>
  <si>
    <t>16356440</t>
  </si>
  <si>
    <t>16356441</t>
  </si>
  <si>
    <t>16356442</t>
  </si>
  <si>
    <t>16356446</t>
  </si>
  <si>
    <t>16356447</t>
  </si>
  <si>
    <t>16356449</t>
  </si>
  <si>
    <t>16356451</t>
  </si>
  <si>
    <t>16356452</t>
  </si>
  <si>
    <t>16356454</t>
  </si>
  <si>
    <t>16356455</t>
  </si>
  <si>
    <t>16356456</t>
  </si>
  <si>
    <t>16356458</t>
  </si>
  <si>
    <t>16356461</t>
  </si>
  <si>
    <t>16356463</t>
  </si>
  <si>
    <t>16356464</t>
  </si>
  <si>
    <t>16356465</t>
  </si>
  <si>
    <t>16356466</t>
  </si>
  <si>
    <t>16356467</t>
  </si>
  <si>
    <t>16356468</t>
  </si>
  <si>
    <t>16356469</t>
  </si>
  <si>
    <t>16356472</t>
  </si>
  <si>
    <t>16356473</t>
  </si>
  <si>
    <t>16356475</t>
  </si>
  <si>
    <t>16358922</t>
  </si>
  <si>
    <t>16358924</t>
  </si>
  <si>
    <t>16359834</t>
  </si>
  <si>
    <t>16361051</t>
  </si>
  <si>
    <t>16361536</t>
  </si>
  <si>
    <t>16361547</t>
  </si>
  <si>
    <t>16361550</t>
  </si>
  <si>
    <t>16362095</t>
  </si>
  <si>
    <t>16362476</t>
  </si>
  <si>
    <t>16362611</t>
  </si>
  <si>
    <t>16365183</t>
  </si>
  <si>
    <t>0010</t>
  </si>
  <si>
    <t>0005</t>
  </si>
  <si>
    <t>0020</t>
  </si>
  <si>
    <t>0030</t>
  </si>
  <si>
    <t>0040</t>
  </si>
  <si>
    <t>0050</t>
  </si>
  <si>
    <t>0060</t>
  </si>
  <si>
    <t>0070</t>
  </si>
  <si>
    <t>0090</t>
  </si>
  <si>
    <t>0100</t>
  </si>
  <si>
    <t>0080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</si>
  <si>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</si>
  <si>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</si>
  <si>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</si>
  <si>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</si>
  <si>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</si>
  <si>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</si>
  <si>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</si>
  <si>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</si>
  <si>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</si>
  <si>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</si>
  <si>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0011</t>
  </si>
  <si>
    <t>0210</t>
  </si>
  <si>
    <t>0230</t>
  </si>
  <si>
    <t>0240</t>
  </si>
  <si>
    <t>0270</t>
  </si>
  <si>
    <t>0280</t>
  </si>
  <si>
    <t>0290</t>
  </si>
  <si>
    <t>0300</t>
  </si>
  <si>
    <t>0015</t>
  </si>
  <si>
    <t>0029</t>
  </si>
  <si>
    <t>0111</t>
  </si>
  <si>
    <t>0035</t>
  </si>
  <si>
    <t>0045</t>
  </si>
  <si>
    <t>0135</t>
  </si>
  <si>
    <t>0145</t>
  </si>
  <si>
    <t>0065</t>
  </si>
  <si>
    <t>ST001 HPP INSTRUMETS JB ELEC REDLINE</t>
  </si>
  <si>
    <t>312CV003 Comp Air Line Mech Repl PREP</t>
  </si>
  <si>
    <t>312CV003 Comp Air Line Repl Scaff Instal</t>
  </si>
  <si>
    <t>312CV003 Comp Air Line Mech Repl</t>
  </si>
  <si>
    <t>312CV003 Comp Air Line Repl 70T CN</t>
  </si>
  <si>
    <t>312CV003 Comp Air Line Repl 70T CD</t>
  </si>
  <si>
    <t>312CV003 Comp Air Line Repl 70T RG</t>
  </si>
  <si>
    <t>312CV003 Comp Air Line Repl Scaff Remove</t>
  </si>
  <si>
    <t>ST001 Hydraulic Hose Tray Scaff Install</t>
  </si>
  <si>
    <t>ST001 Hydraulic Hose Tray Mech Repl</t>
  </si>
  <si>
    <t>ST001 Hydraulic Hose Tray Scaff Remv</t>
  </si>
  <si>
    <t>312CV003 MPV GTU Plough Scaff Install</t>
  </si>
  <si>
    <t>312CV003 MPV GTU Plough Adjust Minprv FT</t>
  </si>
  <si>
    <t>312CV003 MPV GTU Plough Adjust Minprv BM</t>
  </si>
  <si>
    <t>312CV003 MPV GTU Plough Adjust Minprv TA</t>
  </si>
  <si>
    <t>312CV003 MPV GTU Plough Scaff Remove</t>
  </si>
  <si>
    <t>386BD004 TR1 Crush Contrl Rm Mech Scope</t>
  </si>
  <si>
    <t>386BD004 TR1 Crush Contrl Rm Elec Scope</t>
  </si>
  <si>
    <t/>
  </si>
  <si>
    <t>T1 312CV002 H&amp;B Skirt Trial BM Install</t>
  </si>
  <si>
    <t>312CV002 Tail Guard Plough MPV Rpl</t>
  </si>
  <si>
    <t>T1 312CV003 GTU Erect Scaffold</t>
  </si>
  <si>
    <t>T1 312CV003 GTU WAH Spotter MPV</t>
  </si>
  <si>
    <t>312CV031 RH Remote Sensor HD Pulley Repl</t>
  </si>
  <si>
    <t>312CV031 Replace RH Remote EWP</t>
  </si>
  <si>
    <t>312CV031 Replace RH Remote Spotter</t>
  </si>
  <si>
    <t>Train 1 Crusher Balance pressure tx elec</t>
  </si>
  <si>
    <t>312ST001 Slew Drive Covers Mech Replace</t>
  </si>
  <si>
    <t>312ST001 Slew Drive Covers Repl Sentry</t>
  </si>
  <si>
    <t>312CV003 Chute Flange Repairs</t>
  </si>
  <si>
    <t>312-T1 BDS REPAIR CV3 &amp; 31</t>
  </si>
  <si>
    <t>Crusher Shutdown Consumables</t>
  </si>
  <si>
    <t>9W Stacker Conveyor Brake Mech Insp</t>
  </si>
  <si>
    <t>9W GG Pre Shut Preps</t>
  </si>
  <si>
    <t>9W Preshut Works SMS Scaffolders</t>
  </si>
  <si>
    <t>9W Preshut Works Boom Cranes Drivers</t>
  </si>
  <si>
    <t>9W Preshut Works Boom Riggers</t>
  </si>
  <si>
    <t>9W Preshut Works  Electricians</t>
  </si>
  <si>
    <t>9W GG Post Shut Work</t>
  </si>
  <si>
    <t>9W Postshut Works Boom Cranes Drivers</t>
  </si>
  <si>
    <t>9W Postshut Works Boom Riggers</t>
  </si>
  <si>
    <t>9W Postshut Works SMS Scaffolders</t>
  </si>
  <si>
    <t>9W Postshut Works  Electricians</t>
  </si>
  <si>
    <t>CR001 Mech Repl Lube Lines Mech Repl</t>
  </si>
  <si>
    <t>CR001 Mech Repl Lube Lines Repl Sentry</t>
  </si>
  <si>
    <t>Prep Junction &amp; Vegados Box</t>
  </si>
  <si>
    <t>Pre Shut Cable Run 311JB103</t>
  </si>
  <si>
    <t>Pre Shut Cable Run 311JB103 EWP</t>
  </si>
  <si>
    <t>311CR001 Water Tank Lvl Elec Install</t>
  </si>
  <si>
    <t>Commission &amp; Redline Drawings</t>
  </si>
  <si>
    <t>311FN003 Isolate on Level 1</t>
  </si>
  <si>
    <t>311FN003 Mech Inspect and Repr</t>
  </si>
  <si>
    <t>312PU030 Dust Booster Pump Mech Repl</t>
  </si>
  <si>
    <t>312PU030 Dust Booster Pump Elect Repl</t>
  </si>
  <si>
    <t>312PU030 Dust Booster Pump Lift 70T CD</t>
  </si>
  <si>
    <t>312PU030 Dust Booster Pump Lift 70T RG</t>
  </si>
  <si>
    <t>312PU030 Dust Booster Pump Lift 70T CN</t>
  </si>
  <si>
    <t>311CR001 Upper Oil Flow Meter Elec Disco</t>
  </si>
  <si>
    <t>311CR001 Upper Oil Flow Meter Mech Repl</t>
  </si>
  <si>
    <t>311CR001 Upper Oil Flow Meter Elec Recon</t>
  </si>
  <si>
    <t>1YR Isolation Prep For Changeout</t>
  </si>
  <si>
    <t>1YR Develop Crane Pad</t>
  </si>
  <si>
    <t>1YR Clean &amp; Hose Down Stacker Conv Area</t>
  </si>
  <si>
    <t>1YR Isolation Preparations For Changeout</t>
  </si>
  <si>
    <t>1YR Set Up Crane 70T CD</t>
  </si>
  <si>
    <t>1YR Set Up Crane 70T RG</t>
  </si>
  <si>
    <t>1YR Belt Setup 70T CN</t>
  </si>
  <si>
    <t>1YR Isolate Conveyor Belt</t>
  </si>
  <si>
    <t>1YR  Backing Off Scraper EWP</t>
  </si>
  <si>
    <t>1YR Install Splice Station Support scaff</t>
  </si>
  <si>
    <t>1YR Remove Splice Station Support scaff</t>
  </si>
  <si>
    <t>1YR Belt Change Out 70T CN</t>
  </si>
  <si>
    <t>1YR Conveyor Belt CO 70T CD</t>
  </si>
  <si>
    <t>1YR Conveyor Belt CO RG</t>
  </si>
  <si>
    <t>1YR Tension Scraper</t>
  </si>
  <si>
    <t>1YR Tensioning Scraper EWP</t>
  </si>
  <si>
    <t>1YR Remove Gear 70T CN</t>
  </si>
  <si>
    <t>1YR Remove Gear 70T CD</t>
  </si>
  <si>
    <t>1YR Remove Gear 70T RG</t>
  </si>
  <si>
    <t>1YR Deisolate Belt</t>
  </si>
  <si>
    <t>10W T1 Coarse Ore Conv Protect Elec Test</t>
  </si>
  <si>
    <t>9W Primary Ventilation Fan Insp</t>
  </si>
  <si>
    <t>9W Crusher Shutdown Travel SMS</t>
  </si>
  <si>
    <t>9W Crusher Shutdown Travel MPV</t>
  </si>
  <si>
    <t>9W Crusher Shutdown Travel TMS</t>
  </si>
  <si>
    <t>9W Crusher Shutdown Travel METSO</t>
  </si>
  <si>
    <t>8W T1 Dust Suppression Elec Insp</t>
  </si>
  <si>
    <t>9W Crusher Backlash Crew Insp</t>
  </si>
  <si>
    <t>9W Insp Jackshaft Coupling &amp; Replce Grid</t>
  </si>
  <si>
    <t>9W T1 Primary Crushing MPS Elec Calb</t>
  </si>
  <si>
    <t>9W Primary Spider Lube Alarm Elec Test</t>
  </si>
  <si>
    <t>9W Conveyor Skirting Adjs Or Repl</t>
  </si>
  <si>
    <t>9W CV002 Defective Rollers Repl</t>
  </si>
  <si>
    <t>9W CV002 Defective Rollers Spotter</t>
  </si>
  <si>
    <t>9W Sacrif Belt Tracking Frame Mech Svce</t>
  </si>
  <si>
    <t>9W Ops Wash Out &amp; Clean Chute</t>
  </si>
  <si>
    <t>9W Head Chute Erect Scaffold</t>
  </si>
  <si>
    <t>9W GG Rep To Mark Defective Liners</t>
  </si>
  <si>
    <t>9W Sacrif Head Chute Liners Mech Repl</t>
  </si>
  <si>
    <t>9W Sacrif Head Chute Liners Repl Sentry</t>
  </si>
  <si>
    <t>9W Head Chute Liner Repl 25T CD</t>
  </si>
  <si>
    <t>9W Head Chute Liner Repl 25T RG</t>
  </si>
  <si>
    <t>9W Head Chute Liner Repl 25T CN</t>
  </si>
  <si>
    <t>9W QAQC GG Rep</t>
  </si>
  <si>
    <t>9W Head Chute Dismantle Scaffold</t>
  </si>
  <si>
    <t>9W Conveyor Skirting Adjust Or Replace</t>
  </si>
  <si>
    <t>9W CV003 Defective Rollers Repl</t>
  </si>
  <si>
    <t>9W CV003 Defective Rollers Spotter</t>
  </si>
  <si>
    <t>9W Conv Belt Tracking Mech Serv</t>
  </si>
  <si>
    <t>9W Conv Belt Tracking Mech Serv Sentry</t>
  </si>
  <si>
    <t>9W Mark Defective Liners NM Rep</t>
  </si>
  <si>
    <t>9W Stockpile CV Head Chute Liner Repl</t>
  </si>
  <si>
    <t>9W Stockpile Head Chute Line Repl Sentry</t>
  </si>
  <si>
    <t>9W GG Rep To QA Works After Completion</t>
  </si>
  <si>
    <t>9W Primary Apron Feeder Mech Insp</t>
  </si>
  <si>
    <t>9W Install Scaffold Planks Across Feeder</t>
  </si>
  <si>
    <t>9W Feed Chute Liners Mech Repl</t>
  </si>
  <si>
    <t>9W Feed Chute Liners Mech Repl Sentry</t>
  </si>
  <si>
    <t>9W Remove Scaffold Planks Across Feeder</t>
  </si>
  <si>
    <t>9W Stacker Conv Belt Track Mech Serv</t>
  </si>
  <si>
    <t>9W Turret Access Scaffold</t>
  </si>
  <si>
    <t>9W Stacker Chute Install Scaff</t>
  </si>
  <si>
    <t>9W Mark Defective Liners GG</t>
  </si>
  <si>
    <t>9W CH018 Chute Liners Mech Repl</t>
  </si>
  <si>
    <t>9W CH018 Chute Liners Repl Sentry</t>
  </si>
  <si>
    <t>9W CH018 Chute Liners 70T CN</t>
  </si>
  <si>
    <t>9W CH018 Chute Liners 70T CD</t>
  </si>
  <si>
    <t>9W CH018 Chute Liners 70T RG</t>
  </si>
  <si>
    <t>9W QA Liner Replacements GG</t>
  </si>
  <si>
    <t>9W Stacker Feed Chute Remove Scaff</t>
  </si>
  <si>
    <t>9W Turret Access Scaffold Remove</t>
  </si>
  <si>
    <t>9W CV031 Rollers Mobe MPV CV</t>
  </si>
  <si>
    <t>9W CV031 Rollers Mobe THandler</t>
  </si>
  <si>
    <t>9W CV031 Rollers Mobe 70T CN</t>
  </si>
  <si>
    <t>9W CV031 Rollers Mobe 70T CD</t>
  </si>
  <si>
    <t>9W CV031 Rollers Mobe 70T RG</t>
  </si>
  <si>
    <t>9W CV031 Defective Rollers Mech Repl</t>
  </si>
  <si>
    <t>9W CV031 Defective Rollers Spotter</t>
  </si>
  <si>
    <t>9W CV031 Rollers De Mobe MPV CV</t>
  </si>
  <si>
    <t>9W CV031 Rollers De Mobe THandler</t>
  </si>
  <si>
    <t>9W CV031 Rollers De Mobe 70T CN</t>
  </si>
  <si>
    <t>9W CV031 Rollers De Mobe 70T CD</t>
  </si>
  <si>
    <t>9W CV031 Rollers De Mobe 70T RG</t>
  </si>
  <si>
    <t>9W Stacker Conv Belt Clean Mech Serv</t>
  </si>
  <si>
    <t>9W Conduct Functional Test Of Trolley</t>
  </si>
  <si>
    <t>9W Electrical Integrity Check</t>
  </si>
  <si>
    <t>9W T1 Clean Dump Pocket Dust Sprays</t>
  </si>
  <si>
    <t>9W T1 Clean Dump Pocket Sprays Spotter</t>
  </si>
  <si>
    <t>9W T1 Clean Dump Pocket Sprays EWP</t>
  </si>
  <si>
    <t>312CV003 Replce Waites Sensor Battery CM</t>
  </si>
  <si>
    <t>Crusher RTS jacking Ram Mech Repl</t>
  </si>
  <si>
    <t>312CV031 Replace Pulley 2 Mech Prep</t>
  </si>
  <si>
    <t>CV031 Repl Snub Pulley</t>
  </si>
  <si>
    <t>CV031 Repl Snub Pulley 70T CR</t>
  </si>
  <si>
    <t>CV031 Repl Snub Pulley 70T CD</t>
  </si>
  <si>
    <t>CV031 Repl Snub Pulley 70T RG</t>
  </si>
  <si>
    <t>CV031  EWP</t>
  </si>
  <si>
    <t>CV031  EWP Spotter</t>
  </si>
  <si>
    <t>Lubies to purge grease</t>
  </si>
  <si>
    <t>Conmon to baseline VA</t>
  </si>
  <si>
    <t>16W T1 Stacker Tilt Switch Elec Test</t>
  </si>
  <si>
    <t>18W Preshut Operational Ramp Down</t>
  </si>
  <si>
    <t>18W Preshut Work Boilermaker</t>
  </si>
  <si>
    <t>18W Preshut Work Fitter</t>
  </si>
  <si>
    <t>18W Preshut Works GG Mech Labour</t>
  </si>
  <si>
    <t>18W Preshut Vault Door Mobile Scaffold</t>
  </si>
  <si>
    <t>18W Isolations &amp; DeIsolations</t>
  </si>
  <si>
    <t>18W Crusher RTS Mech Repl CR 320T</t>
  </si>
  <si>
    <t>18W Crusher RTS Mech Repl CD 320T</t>
  </si>
  <si>
    <t>18W Crusher RTS Mech Repl RG 320T</t>
  </si>
  <si>
    <t>18W Crusher RTS Mech Repl GG Labour</t>
  </si>
  <si>
    <t>18W Crusher RTS Mech Repl Supv</t>
  </si>
  <si>
    <t>18W Crusher RTS Mech Repl FT</t>
  </si>
  <si>
    <t>18W Crusher RTS Mech Repl BMW</t>
  </si>
  <si>
    <t>18W Crusher RTS Mech Repl 25T CN</t>
  </si>
  <si>
    <t>18W Crusher RTS Mech Repl Sentry</t>
  </si>
  <si>
    <t>18W Post Shut Works FT</t>
  </si>
  <si>
    <t>18W Post Shut Works BMW</t>
  </si>
  <si>
    <t>18W Post Shut Works GG Mech Labour</t>
  </si>
  <si>
    <t>Crusher Build Scaff Hydroset Location</t>
  </si>
  <si>
    <t>9W Preshut Works METSO</t>
  </si>
  <si>
    <t>9W Preshut Works SMS Sentry</t>
  </si>
  <si>
    <t>9W Preshut Works GMRS</t>
  </si>
  <si>
    <t>9W Preshut Works TMS</t>
  </si>
  <si>
    <t>9W Preshut Works  KRG Pulley</t>
  </si>
  <si>
    <t>9W Preshut Works MPV</t>
  </si>
  <si>
    <t>9W Postshut Works METSO</t>
  </si>
  <si>
    <t>9W Postshut Works GMRS</t>
  </si>
  <si>
    <t>9W Postshut Works SMS Sentry</t>
  </si>
  <si>
    <t>9W Postshut Works TMS</t>
  </si>
  <si>
    <t>9W Postshut Works KRG Pulley</t>
  </si>
  <si>
    <t>9W Postshut Works MPV</t>
  </si>
  <si>
    <t>9W Crusher Shutdown Travel BOOM CD</t>
  </si>
  <si>
    <t>9W Crusher Shutdown Travel BOOM RG</t>
  </si>
  <si>
    <t>18W Belt Cleaner Cartridge Mech Repl</t>
  </si>
  <si>
    <t>18W Second Belt Cleaner Pole &amp; Component</t>
  </si>
  <si>
    <t>T1-312MG001 Mag Belt Mech Prep</t>
  </si>
  <si>
    <t>T1-312MG001 Mag Belt Mech Repl</t>
  </si>
  <si>
    <t>T1-312MG001 Mag Belt Mech Repl 160T CN</t>
  </si>
  <si>
    <t>T1-312MG001 Mag Belt Mech Repl 160T CD</t>
  </si>
  <si>
    <t>T1-312MG001 Mag Belt Mech Repl 160T RG</t>
  </si>
  <si>
    <t>T1 Apron Feeder D/C chute SENTRY</t>
  </si>
  <si>
    <t>312CV003 Drive Tower Scaff Build</t>
  </si>
  <si>
    <t>CV031 Pulley 3 Mech Prep</t>
  </si>
  <si>
    <t>CV031 Pulley 3 Detension and Pull Pocket</t>
  </si>
  <si>
    <t>CV031 Pulley 3 Bend Pulley Repl Spotter</t>
  </si>
  <si>
    <t>CV031 Pulley 3 Bend Pulley Mech Repl</t>
  </si>
  <si>
    <t>CV031 Pulley 3 Repl 70T CR</t>
  </si>
  <si>
    <t>CV031 Pulley 3 Repl 160T CD</t>
  </si>
  <si>
    <t>CV031 Pulley 3 Repl 160T RG</t>
  </si>
  <si>
    <t>CV031 Pulley 3 Repl  EWP</t>
  </si>
  <si>
    <t>CV031 Pulley 3 Repl EWP Spotter</t>
  </si>
  <si>
    <t>CV031 Pulley 3 Retension Belt</t>
  </si>
  <si>
    <t>CV031 Pulley 3 Purge Grease</t>
  </si>
  <si>
    <t>CV031 Pulley 3 Adjust Scraper</t>
  </si>
  <si>
    <t>CV031 Pulley 3 Conmon Baseline VA</t>
  </si>
  <si>
    <t>CV031 Snub Pulley 4 Mech Repl Prep</t>
  </si>
  <si>
    <t>CV031 Stacker Belt De-Tension Belt</t>
  </si>
  <si>
    <t>CV031 Snub Pulley 4 Mech Repl</t>
  </si>
  <si>
    <t>CV031 Snub Pulley 4 Repl 70T CR</t>
  </si>
  <si>
    <t>CV031 Snub Pulley 4 Repl 70T CD</t>
  </si>
  <si>
    <t>CV031 Snub Pulley 4 Repl 70T RG</t>
  </si>
  <si>
    <t>CV031 Snub Pulley 4 Repl EWP</t>
  </si>
  <si>
    <t>CV031 Snub Pulley 4 Repl EWP Spot</t>
  </si>
  <si>
    <t>CV031 Snub Pulley Lubies to purge grease</t>
  </si>
  <si>
    <t>CV031 Stacker Belt Re-Tension Belt</t>
  </si>
  <si>
    <t>CV031 Stacker Belt Scraper Minpr Adjust</t>
  </si>
  <si>
    <t>312XM014 T1 W/Picker Bearings Mech Repl</t>
  </si>
  <si>
    <t>18W Primary Crushing OS Mantle Mech Ovhl</t>
  </si>
  <si>
    <t>18W Mantle Mech Ovhl 300T CN</t>
  </si>
  <si>
    <t>18W Mantle Mech Ovhl 300T CD</t>
  </si>
  <si>
    <t>18W Mantle Mech Ovhl 300T RG</t>
  </si>
  <si>
    <t>18W Mantle Mech Ovhl 25T Franna CD</t>
  </si>
  <si>
    <t>311CV001 Trash Feeder Clean D-N-Sched</t>
  </si>
  <si>
    <t>311FD002 Return Roller Mech Repl</t>
  </si>
  <si>
    <t>TESUEL</t>
  </si>
  <si>
    <t>272SUME</t>
  </si>
  <si>
    <t>020SUSC</t>
  </si>
  <si>
    <t>TCSWMC8</t>
  </si>
  <si>
    <t>114SUCD</t>
  </si>
  <si>
    <t>114SURG</t>
  </si>
  <si>
    <t>068SUME</t>
  </si>
  <si>
    <t>068SUBL</t>
  </si>
  <si>
    <t>TESUME</t>
  </si>
  <si>
    <t>280SUME</t>
  </si>
  <si>
    <t>TESWCM</t>
  </si>
  <si>
    <t>TCSUEW01</t>
  </si>
  <si>
    <t>020SUST</t>
  </si>
  <si>
    <t>000SWCS</t>
  </si>
  <si>
    <t>TESUOP</t>
  </si>
  <si>
    <t>013SUME</t>
  </si>
  <si>
    <t>013SUSS</t>
  </si>
  <si>
    <t>278SUME</t>
  </si>
  <si>
    <t>TCSUMC01</t>
  </si>
  <si>
    <t>000SWME</t>
  </si>
  <si>
    <t>TCSWAF02</t>
  </si>
  <si>
    <t>TESULT</t>
  </si>
  <si>
    <t>013SUBM</t>
  </si>
  <si>
    <t>TCSWMC5</t>
  </si>
  <si>
    <t>280SUBM</t>
  </si>
  <si>
    <t>TCSWMC4</t>
  </si>
  <si>
    <t>020SWSC</t>
  </si>
  <si>
    <t>GMRS</t>
  </si>
  <si>
    <t>Minprovise</t>
  </si>
  <si>
    <t>Kings</t>
  </si>
  <si>
    <t>Jarod Braithwaite</t>
  </si>
  <si>
    <t>Nicolo Montis</t>
  </si>
  <si>
    <t>Aidan Taylor</t>
  </si>
  <si>
    <t>Egidio De Freitas</t>
  </si>
  <si>
    <t>Madeleine Davidson</t>
  </si>
  <si>
    <t>Mark Gibbons</t>
  </si>
  <si>
    <t>Tanirau Paki</t>
  </si>
  <si>
    <t>Marvin Samuels</t>
  </si>
  <si>
    <t>Ashley Keatch</t>
  </si>
  <si>
    <t>Maruariki Lucky</t>
  </si>
  <si>
    <t>Joseph Kemp</t>
  </si>
  <si>
    <t>Graeme Bozanich</t>
  </si>
  <si>
    <t>Hussein Mahumed</t>
  </si>
  <si>
    <t>Edward Santhanam</t>
  </si>
  <si>
    <t>Neale  Edwards</t>
  </si>
  <si>
    <t>Dario Lopez</t>
  </si>
  <si>
    <t>Liam Brake</t>
  </si>
  <si>
    <t>Paul Stiller</t>
  </si>
  <si>
    <t>Alan Jones</t>
  </si>
  <si>
    <t>Hockley Andrew</t>
  </si>
  <si>
    <t>Paul Taylor</t>
  </si>
  <si>
    <t>Joshua Galloway Mills</t>
  </si>
  <si>
    <t>John Dinopol</t>
  </si>
  <si>
    <t>Jericho  Counsel</t>
  </si>
  <si>
    <t>Ronhel  Grampil</t>
  </si>
  <si>
    <t>Donald  Tsuro</t>
  </si>
  <si>
    <t>Trade Assistant</t>
  </si>
  <si>
    <t>Cody Walker</t>
  </si>
  <si>
    <t>Russell Baxter</t>
  </si>
  <si>
    <t>Owen Waters</t>
  </si>
  <si>
    <t>Georgia Nixon</t>
  </si>
  <si>
    <t>Philippe Gagnon-Audet</t>
  </si>
  <si>
    <t>Mohamed Toure</t>
  </si>
  <si>
    <t>Savenaca Koroituituba</t>
  </si>
  <si>
    <t>Isaac Ruri</t>
  </si>
  <si>
    <t xml:space="preserve">Tony  Clarke </t>
  </si>
  <si>
    <t>SMS Group</t>
  </si>
  <si>
    <t>Aymeric Boulme</t>
  </si>
  <si>
    <t>Alan Ryan</t>
  </si>
  <si>
    <t>Joris  Dandini</t>
  </si>
  <si>
    <t>Joshua Button</t>
  </si>
  <si>
    <t>Giovana  Gomes De Oliveira</t>
  </si>
  <si>
    <t>Gail Hendriksen</t>
  </si>
  <si>
    <t>Eloise  Edman</t>
  </si>
  <si>
    <t>Te Raukohe Kingi</t>
  </si>
  <si>
    <t>Marina Sanchez</t>
  </si>
  <si>
    <t>Jefferson Valcueba</t>
  </si>
  <si>
    <t>Dean Naisbitt</t>
  </si>
  <si>
    <t>James Kilby</t>
  </si>
  <si>
    <t>Amormio Chavez</t>
  </si>
  <si>
    <t>Dylan Walsh</t>
  </si>
  <si>
    <t>Ku Hser</t>
  </si>
  <si>
    <t>Illia Battistessa</t>
  </si>
  <si>
    <t>John  Strother</t>
  </si>
  <si>
    <t>Levi Scudder</t>
  </si>
  <si>
    <t>Ross Graham</t>
  </si>
  <si>
    <t>Frank Tawake</t>
  </si>
  <si>
    <t>Minseo  Kang</t>
  </si>
  <si>
    <t>TMS Supervisor</t>
  </si>
  <si>
    <t>TMS Fitter</t>
  </si>
  <si>
    <t>TMS Boilermaker</t>
  </si>
  <si>
    <t>Boom Rigger</t>
  </si>
  <si>
    <t>Boom Supervisor</t>
  </si>
  <si>
    <t>GMRS Supervisor</t>
  </si>
  <si>
    <t>GMRS Fitter</t>
  </si>
  <si>
    <t>GMRS Boilermaker</t>
  </si>
  <si>
    <t>Kings Supervisor</t>
  </si>
  <si>
    <t>Kings Fitter</t>
  </si>
  <si>
    <t>Kings Boilermaker</t>
  </si>
  <si>
    <t>Kings Rigger</t>
  </si>
  <si>
    <t>Kings Trade Assistant</t>
  </si>
  <si>
    <t>Minprovise Supervisor</t>
  </si>
  <si>
    <t>Minprovise Fitter</t>
  </si>
  <si>
    <t>Minprovise Boilermaker</t>
  </si>
  <si>
    <t>Minprovise Rigger</t>
  </si>
  <si>
    <t>SMS Supervisor</t>
  </si>
  <si>
    <t>SMS Scaffolder</t>
  </si>
  <si>
    <t>SMS Sentry/ Gas tester</t>
  </si>
  <si>
    <t>Michael Bird</t>
  </si>
  <si>
    <t>Alhassan Koromah</t>
  </si>
  <si>
    <t>Andre Bucci</t>
  </si>
  <si>
    <t>Isaac Cheyne</t>
  </si>
  <si>
    <t>Owen Finney</t>
  </si>
  <si>
    <t>Bryan Andal</t>
  </si>
  <si>
    <t>Sherwin Grantoza</t>
  </si>
  <si>
    <t>Liam McPhee</t>
  </si>
  <si>
    <t>Abdelhikm Medellel</t>
  </si>
  <si>
    <t>Jarome Oliver</t>
  </si>
  <si>
    <t>Damon Mitchell</t>
  </si>
  <si>
    <t>David Whittering</t>
  </si>
  <si>
    <t>Erwan Merikhi</t>
  </si>
  <si>
    <t>Josh Colk</t>
  </si>
  <si>
    <t>Lewid Davies</t>
  </si>
  <si>
    <t>Connor Douglas</t>
  </si>
  <si>
    <t>Ethan Richardson</t>
  </si>
  <si>
    <t>Naovoo Chan Boon</t>
  </si>
  <si>
    <t>Hohepa Hirama</t>
  </si>
  <si>
    <t>Boon Fattagi</t>
  </si>
  <si>
    <t>Andre Bassette Torrisheba</t>
  </si>
  <si>
    <t>Jhessy Pereira Borges Da Costa</t>
  </si>
  <si>
    <t>Chloe Cameron</t>
  </si>
  <si>
    <t>Crane Operator</t>
  </si>
  <si>
    <t xml:space="preserve">Crane Operator </t>
  </si>
  <si>
    <t>16355970</t>
  </si>
  <si>
    <t>16356476</t>
  </si>
  <si>
    <t>16361673</t>
  </si>
  <si>
    <t>16367112</t>
  </si>
  <si>
    <t>0220</t>
  </si>
  <si>
    <t>0250</t>
  </si>
  <si>
    <t>0260</t>
  </si>
  <si>
    <t>0310</t>
  </si>
  <si>
    <t>0320</t>
  </si>
  <si>
    <t>0330</t>
  </si>
  <si>
    <t>0025</t>
  </si>
  <si>
    <t>T1 312 Belt Drift Switch REPR CV3 &amp; 31</t>
  </si>
  <si>
    <t>T1 311CR001 Water Tank Lvl Elec Inst</t>
  </si>
  <si>
    <t>T1 Crusher Pinion Oil Chg and Sampling</t>
  </si>
  <si>
    <t>T1 Crusher Shut Hire Equipment</t>
  </si>
  <si>
    <t>T1 312CV002 Vee-Plough Chain U/S MPV</t>
  </si>
  <si>
    <t>311CR001 Re-grout/Torque Main Frame</t>
  </si>
  <si>
    <t>1YR Set Up Crane &amp;  Belt</t>
  </si>
  <si>
    <t>1YR Back Off Scraper</t>
  </si>
  <si>
    <t>1YR Remove Bolts From Drive Coupling</t>
  </si>
  <si>
    <t>1YR Lift Steel Skirts</t>
  </si>
  <si>
    <t>1YR Change Out Conveyor Belt</t>
  </si>
  <si>
    <t>1YR Change Head pulley - NA</t>
  </si>
  <si>
    <t>1YR QA Belt Splice &amp; Sign Off</t>
  </si>
  <si>
    <t>1YR Re-Bolt Drive Coupling</t>
  </si>
  <si>
    <t>1YR Lower Steel Skirts</t>
  </si>
  <si>
    <t>1YR Remove All Belt Prep Gear</t>
  </si>
  <si>
    <t>1YR Commission Belt</t>
  </si>
  <si>
    <t>KRG - T2 Shut Belt Replacement CV031</t>
  </si>
  <si>
    <t>KRG - Belt Splice &amp; Tooling Contain Hire</t>
  </si>
  <si>
    <t>CV031 Pulley 2 Con Mon Sensor Prep</t>
  </si>
  <si>
    <t>CV031 Pulley 2 Con Mon Sensor Checks</t>
  </si>
  <si>
    <t>18W Finalise Labour Reviews</t>
  </si>
  <si>
    <t>METSO T1 RTS Feb '26</t>
  </si>
  <si>
    <t>16W T1 Crusher Oil Chg &amp; Sample Collect</t>
  </si>
  <si>
    <t>9W Preshut Works KRG Belt</t>
  </si>
  <si>
    <t>9W Postshut Works KRG Belt</t>
  </si>
  <si>
    <t>9W Wash Out &amp; Clean Chute</t>
  </si>
  <si>
    <t>16W Belt Cleaner Mech Insp and Repl</t>
  </si>
  <si>
    <t>9W Sacrif Belt Tracking Frame WAH Spotte</t>
  </si>
  <si>
    <t>9W Crusher Shutdown Travel GMRS</t>
  </si>
  <si>
    <t>9W Crusher Shutdown Travel KRG Belt</t>
  </si>
  <si>
    <t>9W Crusher Shutdown Travel KRG Mech</t>
  </si>
  <si>
    <t>9W Crusher Shut Hire Equipment</t>
  </si>
  <si>
    <t>CV031 Pulley 3 Con Mon Sensor Prep</t>
  </si>
  <si>
    <t>CV031 Pulley 3 Con Mon Sensor Checks</t>
  </si>
  <si>
    <t>CV031 Snub Pulley 4 Con Mon Sensor Prep</t>
  </si>
  <si>
    <t>CR001 Re-grout/Torque Main Frame Sentry</t>
  </si>
  <si>
    <t>Metso</t>
  </si>
  <si>
    <t>16362841</t>
  </si>
  <si>
    <t>T1 COH Shut Supervisor Allocation</t>
  </si>
  <si>
    <t>18W COH Shut Supervisor Allocation SMS</t>
  </si>
  <si>
    <t>18W COH Shut Supervisor Allocation Metso</t>
  </si>
  <si>
    <t>18W COH Shut Supervisor Allocation MPV</t>
  </si>
  <si>
    <t>18W COH Shut Supervisor Allocation Boom</t>
  </si>
  <si>
    <t>18W COH Shut Supervisor Allocation GMRS</t>
  </si>
  <si>
    <t>18W COH Shut Supervisor Allocation TMS</t>
  </si>
  <si>
    <t>18W GG Tech Team Supervisor (Fill in NS)</t>
  </si>
  <si>
    <t>18W GG Mech Tech Contractor Support</t>
  </si>
  <si>
    <t>COH Shut Supervisor Allocation KRG Mech</t>
  </si>
  <si>
    <t>COH Shut Supervisor Allocation KRG Belt</t>
  </si>
  <si>
    <t>020SUSS1</t>
  </si>
  <si>
    <t>068SWBL</t>
  </si>
  <si>
    <t>278SUSS</t>
  </si>
  <si>
    <t>272SUSS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</si>
</sst>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b/>
      <i/>
      <sz val="16"/>
      <color theme="0"/>
      <name val="Arial Narrow"/>
      <family val="2"/>
    </font>
    <font>
      <b/>
      <i/>
      <sz val="16"/>
      <color theme="0"/>
      <name val="Calibri"/>
      <family val="2"/>
      <scheme val="minor"/>
    </font>
    <font>
      <sz val="11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39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1" fillId="0" borderId="0"/>
  </cellStyleXfs>
  <cellXfs count="56">
    <xf numFmtId="0" fontId="0" fillId="0" borderId="0" xfId="0"/>
    <xf numFmtId="0" fontId="0" fillId="33" borderId="10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34" borderId="10" xfId="0" applyFill="1" applyBorder="1" applyAlignment="1">
      <alignment vertical="top" wrapText="1"/>
    </xf>
    <xf numFmtId="0" fontId="0" fillId="34" borderId="0" xfId="0" applyFill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6" borderId="0" xfId="0" applyFill="1"/>
    <xf numFmtId="0" fontId="0" fillId="33" borderId="11" xfId="0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5" borderId="0" xfId="0" applyFill="1" applyProtection="1">
      <protection locked="0"/>
    </xf>
    <xf numFmtId="0" fontId="0" fillId="0" borderId="0" xfId="0" applyProtection="1">
      <protection locked="0"/>
    </xf>
    <xf numFmtId="0" fontId="13" fillId="35" borderId="0" xfId="0" applyFont="1" applyFill="1" applyAlignment="1" applyProtection="1">
      <alignment horizontal="left" vertical="top" wrapText="1"/>
      <protection locked="0"/>
    </xf>
    <xf numFmtId="0" fontId="13" fillId="35" borderId="0" xfId="0" applyFont="1" applyFill="1" applyAlignment="1" applyProtection="1">
      <alignment horizontal="left" vertical="center" wrapText="1"/>
      <protection locked="0"/>
    </xf>
    <xf numFmtId="0" fontId="13" fillId="35" borderId="0" xfId="0" applyFont="1" applyFill="1" applyAlignment="1" applyProtection="1">
      <alignment horizontal="center" vertical="top" wrapText="1"/>
      <protection locked="0"/>
    </xf>
    <xf numFmtId="0" fontId="1" fillId="0" borderId="0" xfId="35" applyFill="1" applyAlignment="1" applyProtection="1">
      <alignment horizontal="center"/>
      <protection locked="0"/>
    </xf>
    <xf numFmtId="0" fontId="1" fillId="0" borderId="0" xfId="35" applyFill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0" borderId="0" xfId="35" applyFill="1" applyAlignment="1" applyProtection="1">
      <alignment horizont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center"/>
    </xf>
    <xf numFmtId="14" fontId="1" fillId="0" borderId="0" xfId="35" applyNumberFormat="1" applyFill="1" applyAlignment="1" applyProtection="1">
      <alignment horizontal="center"/>
      <protection locked="0"/>
    </xf>
    <xf numFmtId="0" fontId="13" fillId="25" borderId="0" xfId="34" applyFont="1"/>
    <xf numFmtId="0" fontId="13" fillId="25" borderId="0" xfId="34" applyFont="1" applyAlignment="1">
      <alignment horizontal="center"/>
    </xf>
    <xf numFmtId="0" fontId="13" fillId="25" borderId="0" xfId="34" applyFont="1" applyAlignment="1">
      <alignment horizontal="left"/>
    </xf>
    <xf numFmtId="0" fontId="0" fillId="0" borderId="0" xfId="0" applyAlignment="1">
      <alignment horizontal="center" vertical="center"/>
    </xf>
    <xf numFmtId="165" fontId="1" fillId="0" borderId="0" xfId="35" applyNumberFormat="1" applyFill="1" applyAlignment="1" applyProtection="1">
      <alignment horizontal="center"/>
      <protection locked="0"/>
    </xf>
    <xf numFmtId="165" fontId="0" fillId="0" borderId="0" xfId="0" applyNumberFormat="1" applyProtection="1">
      <protection locked="0"/>
    </xf>
    <xf numFmtId="14" fontId="1" fillId="0" borderId="10" xfId="35" applyNumberFormat="1" applyFill="1" applyBorder="1" applyAlignment="1" applyProtection="1">
      <alignment horizontal="center"/>
      <protection locked="0"/>
    </xf>
    <xf numFmtId="0" fontId="1" fillId="0" borderId="10" xfId="35" applyFill="1" applyBorder="1" applyAlignment="1" applyProtection="1">
      <alignment horizontal="left"/>
      <protection locked="0"/>
    </xf>
    <xf numFmtId="0" fontId="1" fillId="0" borderId="10" xfId="35" applyFill="1" applyBorder="1" applyAlignment="1" applyProtection="1">
      <alignment horizontal="center"/>
    </xf>
    <xf numFmtId="0" fontId="21" fillId="0" borderId="10" xfId="0" applyFont="1" applyBorder="1" applyAlignment="1">
      <alignment horizontal="center"/>
    </xf>
    <xf numFmtId="0" fontId="1" fillId="0" borderId="10" xfId="35" applyFill="1" applyBorder="1" applyAlignment="1" applyProtection="1">
      <alignment horizontal="center" vertical="top"/>
      <protection locked="0"/>
    </xf>
    <xf numFmtId="165" fontId="1" fillId="0" borderId="10" xfId="35" applyNumberFormat="1" applyFill="1" applyBorder="1" applyAlignment="1" applyProtection="1">
      <alignment horizontal="center"/>
      <protection locked="0"/>
    </xf>
    <xf numFmtId="0" fontId="1" fillId="0" borderId="10" xfId="35" applyFill="1" applyBorder="1" applyAlignment="1" applyProtection="1">
      <alignment horizontal="center"/>
      <protection locked="0"/>
    </xf>
    <xf numFmtId="0" fontId="0" fillId="37" borderId="10" xfId="0" applyFill="1" applyBorder="1" applyAlignment="1">
      <alignment horizontal="center" vertical="center"/>
    </xf>
    <xf numFmtId="49" fontId="2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24" fillId="37" borderId="0" xfId="0" applyFont="1" applyFill="1" applyProtection="1">
      <protection locked="0"/>
    </xf>
    <xf numFmtId="49" fontId="23" fillId="37" borderId="12" xfId="0" applyNumberFormat="1" applyFont="1" applyFill="1" applyBorder="1" applyAlignment="1" applyProtection="1">
      <alignment horizontal="center" vertical="top" wrapText="1"/>
      <protection locked="0"/>
    </xf>
    <xf numFmtId="0" fontId="0" fillId="0" borderId="10" xfId="0" applyBorder="1"/>
    <xf numFmtId="0" fontId="1" fillId="0" borderId="0" xfId="35" applyFill="1" applyBorder="1" applyAlignment="1" applyProtection="1">
      <alignment horizontal="left"/>
      <protection locked="0"/>
    </xf>
    <xf numFmtId="14" fontId="0" fillId="0" borderId="10" xfId="0" applyNumberFormat="1" applyBorder="1" applyProtection="1">
      <protection locked="0"/>
    </xf>
    <xf numFmtId="0" fontId="18" fillId="35" borderId="0" xfId="0" applyFont="1" applyFill="1" applyAlignment="1" applyProtection="1">
      <alignment horizontal="center" vertical="center" wrapText="1"/>
      <protection locked="0"/>
    </xf>
    <xf numFmtId="0" fontId="21" fillId="0" borderId="10" xfId="35" applyFont="1" applyFill="1" applyBorder="1" applyAlignment="1" applyProtection="1">
      <alignment horizontal="center" vertical="top"/>
      <protection locked="0"/>
    </xf>
    <xf numFmtId="14" fontId="0" fillId="0" borderId="10" xfId="0" applyNumberFormat="1" applyBorder="1" applyAlignment="1" applyProtection="1">
      <alignment horizontal="center"/>
      <protection locked="0"/>
    </xf>
    <xf numFmtId="0" fontId="21" fillId="38" borderId="13" xfId="0" applyFont="1" applyFill="1" applyBorder="1" applyAlignment="1">
      <alignment vertical="center" wrapText="1"/>
    </xf>
    <xf numFmtId="49" fontId="23" fillId="39" borderId="12" xfId="0" applyNumberFormat="1" applyFont="1" applyFill="1" applyBorder="1" applyAlignment="1" applyProtection="1">
      <alignment horizontal="left" vertical="center" wrapText="1"/>
      <protection locked="0"/>
    </xf>
    <xf numFmtId="0" fontId="27" fillId="0" borderId="0" xfId="0" applyFont="1"/>
    <xf numFmtId="0" fontId="19" fillId="0" borderId="0" xfId="0" applyFont="1" applyAlignment="1">
      <alignment horizontal="center" vertical="center" wrapText="1"/>
    </xf>
    <xf numFmtId="0" fontId="0" fillId="40" borderId="0" xfId="0" applyFill="1" applyAlignment="1">
      <alignment horizontal="left"/>
    </xf>
    <xf numFmtId="0" fontId="21" fillId="38" borderId="0" xfId="0" applyFont="1" applyFill="1" applyAlignment="1">
      <alignment vertical="center" wrapText="1"/>
    </xf>
    <xf numFmtId="0" fontId="18" fillId="35" borderId="0" xfId="0" applyFont="1" applyFill="1" applyAlignment="1" applyProtection="1">
      <alignment horizontal="center" vertical="center" wrapText="1"/>
      <protection locked="0"/>
    </xf>
    <xf numFmtId="0" fontId="25" fillId="35" borderId="0" xfId="0" applyFont="1" applyFill="1" applyAlignment="1" applyProtection="1">
      <alignment horizontal="center" vertical="center" wrapText="1"/>
      <protection locked="0"/>
    </xf>
    <xf numFmtId="0" fontId="26" fillId="35" borderId="0" xfId="0" applyFont="1" applyFill="1" applyAlignment="1" applyProtection="1">
      <alignment horizontal="center" vertical="center" wrapText="1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5" xfId="45" xr:uid="{20245C68-2C3E-4C46-9399-7C47C8F261F1}"/>
    <cellStyle name="Normal 2" xfId="44" xr:uid="{E0B11FEF-F07A-4307-B11C-6A1D709AE6F3}"/>
    <cellStyle name="Normal 5" xfId="42" xr:uid="{1AF6E0A8-F054-4759-802A-3BEB85035DCC}"/>
    <cellStyle name="Normal 7" xfId="43" xr:uid="{23E1C43B-01B5-4D75-8C72-C1BD73108B4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003964"/>
      <color rgb="FFD4EFFC"/>
      <color rgb="FFFFFF00"/>
      <color rgb="FFA39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57855</xdr:colOff>
      <xdr:row>37</xdr:row>
      <xdr:rowOff>21166</xdr:rowOff>
    </xdr:from>
    <xdr:to>
      <xdr:col>7</xdr:col>
      <xdr:colOff>275165</xdr:colOff>
      <xdr:row>49</xdr:row>
      <xdr:rowOff>183443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DD9482-4B03-D611-85AE-5009589DAE86}"/>
            </a:ext>
          </a:extLst>
        </xdr:cNvPr>
        <xdr:cNvSpPr txBox="1"/>
      </xdr:nvSpPr>
      <xdr:spPr>
        <a:xfrm rot="10800000" flipV="1">
          <a:off x="3042355" y="7422444"/>
          <a:ext cx="4937477" cy="2363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/>
        </a:p>
        <a:p>
          <a:r>
            <a:rPr lang="en-AU" sz="1100" b="1"/>
            <a:t>Greatland Supervisor Name:</a:t>
          </a:r>
        </a:p>
        <a:p>
          <a:endParaRPr lang="en-AU" sz="1100"/>
        </a:p>
        <a:p>
          <a:endParaRPr lang="en-AU" sz="1100"/>
        </a:p>
        <a:p>
          <a:r>
            <a:rPr lang="en-AU" sz="1100" b="1"/>
            <a:t>Signiture</a:t>
          </a:r>
        </a:p>
        <a:p>
          <a:endParaRPr lang="en-AU" sz="1100"/>
        </a:p>
        <a:p>
          <a:endParaRPr lang="en-AU" sz="1100"/>
        </a:p>
        <a:p>
          <a:endParaRPr lang="en-AU" sz="1100"/>
        </a:p>
        <a:p>
          <a:r>
            <a:rPr lang="en-AU" sz="1100" b="1"/>
            <a:t>Contractor Supervisor Name:</a:t>
          </a:r>
        </a:p>
        <a:p>
          <a:endParaRPr lang="en-AU" sz="1100"/>
        </a:p>
        <a:p>
          <a:endParaRPr lang="en-AU" sz="1100"/>
        </a:p>
        <a:p>
          <a:r>
            <a:rPr lang="en-AU" sz="1100" b="1"/>
            <a:t>Signiture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1</xdr:row>
      <xdr:rowOff>123825</xdr:rowOff>
    </xdr:from>
    <xdr:to>
      <xdr:col>9</xdr:col>
      <xdr:colOff>180974</xdr:colOff>
      <xdr:row>13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A6F5FA-40E9-4B30-875A-61C46B700966}"/>
            </a:ext>
          </a:extLst>
        </xdr:cNvPr>
        <xdr:cNvSpPr txBox="1"/>
      </xdr:nvSpPr>
      <xdr:spPr>
        <a:xfrm>
          <a:off x="228599" y="314325"/>
          <a:ext cx="5438775" cy="2228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NML SUPERVISOR </a:t>
          </a:r>
          <a:endParaRPr lang="en-AU">
            <a:effectLst/>
          </a:endParaRPr>
        </a:p>
        <a:p>
          <a:endParaRPr lang="en-AU" sz="1100" baseline="0"/>
        </a:p>
        <a:p>
          <a:r>
            <a:rPr lang="en-AU" sz="1100" baseline="0"/>
            <a:t>Name: </a:t>
          </a:r>
        </a:p>
        <a:p>
          <a:r>
            <a:rPr lang="en-AU" sz="1100" baseline="0"/>
            <a:t>			</a:t>
          </a:r>
        </a:p>
        <a:p>
          <a:r>
            <a:rPr lang="en-AU" sz="1100" baseline="0"/>
            <a:t>Signature:</a:t>
          </a:r>
        </a:p>
        <a:p>
          <a:endParaRPr lang="en-AU" sz="1100" baseline="0"/>
        </a:p>
        <a:p>
          <a:r>
            <a:rPr lang="en-AU" sz="1100" b="1" u="sng" baseline="0">
              <a:solidFill>
                <a:srgbClr val="FF0000"/>
              </a:solidFill>
            </a:rPr>
            <a:t>VENDOR NAME </a:t>
          </a:r>
          <a:r>
            <a:rPr lang="en-AU" sz="1100" b="1" u="sng" baseline="0"/>
            <a:t>SUPERVISOR </a:t>
          </a:r>
        </a:p>
        <a:p>
          <a:endParaRPr lang="en-AU" sz="1100" baseline="0"/>
        </a:p>
        <a:p>
          <a:r>
            <a:rPr lang="en-AU" sz="1100" baseline="0"/>
            <a:t>Name:</a:t>
          </a:r>
        </a:p>
        <a:p>
          <a:endParaRPr lang="en-AU" sz="1100" baseline="0"/>
        </a:p>
        <a:p>
          <a:r>
            <a:rPr lang="en-AU" sz="1100" baseline="0"/>
            <a:t>Signature:</a:t>
          </a:r>
        </a:p>
        <a:p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0000"/>
    <pageSetUpPr fitToPage="1"/>
  </sheetPr>
  <dimension ref="A1:K136"/>
  <sheetViews>
    <sheetView tabSelected="1" zoomScale="90" zoomScaleNormal="90" workbookViewId="0">
      <pane ySplit="3" topLeftCell="A35" activePane="bottomLeft" state="frozen"/>
      <selection activeCell="C1" sqref="C1"/>
      <selection pane="bottomLeft" activeCell="M43" sqref="M43"/>
    </sheetView>
  </sheetViews>
  <sheetFormatPr defaultColWidth="8.81640625" defaultRowHeight="14.5" x14ac:dyDescent="0.35"/>
  <cols>
    <col min="1" max="1" width="12.54296875" style="13" bestFit="1" customWidth="1"/>
    <col min="2" max="2" width="30.1796875" style="13" bestFit="1" customWidth="1"/>
    <col min="3" max="3" width="13.7265625" style="21" bestFit="1" customWidth="1"/>
    <col min="4" max="4" width="14.1796875" customWidth="1"/>
    <col min="5" max="5" width="12.7265625" style="19" customWidth="1"/>
    <col min="6" max="6" width="13.26953125" style="29" customWidth="1"/>
    <col min="7" max="7" width="13.7265625" customWidth="1"/>
    <col min="8" max="8" width="7" style="13" customWidth="1"/>
    <col min="9" max="9" width="13.7265625" style="13" customWidth="1"/>
    <col min="10" max="10" width="14.7265625" style="13" customWidth="1"/>
    <col min="11" max="11" width="16.1796875" style="13" customWidth="1"/>
    <col min="12" max="12" width="3.26953125" style="13" customWidth="1"/>
    <col min="13" max="13" width="14.1796875" style="13" customWidth="1"/>
    <col min="14" max="14" width="9.7265625" style="13" bestFit="1" customWidth="1"/>
    <col min="15" max="15" width="22.81640625" style="13" customWidth="1"/>
    <col min="16" max="16384" width="8.81640625" style="13"/>
  </cols>
  <sheetData>
    <row r="1" spans="1:11" ht="27" customHeight="1" x14ac:dyDescent="0.35">
      <c r="A1" s="12"/>
      <c r="B1" s="12"/>
      <c r="C1" s="54"/>
      <c r="D1" s="55"/>
      <c r="E1" s="55"/>
      <c r="F1" s="55"/>
      <c r="G1" s="44"/>
      <c r="H1" s="53"/>
      <c r="I1" s="53"/>
      <c r="J1" s="53"/>
      <c r="K1" s="12"/>
    </row>
    <row r="2" spans="1:11" ht="32.15" customHeight="1" x14ac:dyDescent="0.35">
      <c r="A2" s="14" t="s">
        <v>0</v>
      </c>
      <c r="B2" s="14" t="s">
        <v>1</v>
      </c>
      <c r="C2" s="15" t="s">
        <v>2</v>
      </c>
      <c r="D2" s="14" t="s">
        <v>3</v>
      </c>
      <c r="E2" s="16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2"/>
    </row>
    <row r="3" spans="1:11" ht="32.15" customHeight="1" x14ac:dyDescent="0.35">
      <c r="A3" s="48" t="s">
        <v>10</v>
      </c>
      <c r="B3" s="48" t="s">
        <v>11</v>
      </c>
      <c r="C3" s="40" t="s">
        <v>12</v>
      </c>
      <c r="D3" s="40" t="s">
        <v>3</v>
      </c>
      <c r="E3" s="48" t="s">
        <v>13</v>
      </c>
      <c r="F3" s="48" t="s">
        <v>14</v>
      </c>
      <c r="G3" s="38" t="s">
        <v>15</v>
      </c>
      <c r="H3" s="48" t="s">
        <v>16</v>
      </c>
      <c r="I3" s="48" t="s">
        <v>17</v>
      </c>
      <c r="J3" s="48" t="s">
        <v>9</v>
      </c>
      <c r="K3" s="39" t="s">
        <v>18</v>
      </c>
    </row>
    <row r="4" spans="1:11" x14ac:dyDescent="0.35">
      <c r="A4" s="46"/>
      <c r="B4" s="31"/>
      <c r="C4" s="32"/>
      <c r="D4" s="33"/>
      <c r="E4" s="33"/>
      <c r="F4" s="35"/>
      <c r="G4" s="32"/>
      <c r="H4" s="36"/>
      <c r="I4" s="37"/>
      <c r="J4" s="37"/>
      <c r="K4" s="41"/>
    </row>
    <row r="5" spans="1:11" x14ac:dyDescent="0.35">
      <c r="A5" s="46"/>
      <c r="B5" s="31"/>
      <c r="C5" s="32" t="str">
        <f>IFERROR(VLOOKUP(B5,Names!$B$1:$E$253,2,FALSE),"")</f>
        <v/>
      </c>
      <c r="D5" s="33" t="str">
        <f>IFERROR(VLOOKUP(B5,Names!$B$1:$E$253,4,FALSE),"")</f>
        <v/>
      </c>
      <c r="E5" s="33"/>
      <c r="F5" s="35"/>
      <c r="G5" s="32"/>
      <c r="H5" s="36"/>
      <c r="I5" s="37" t="str">
        <f>IF(B5="","",Names!$G$21)</f>
        <v/>
      </c>
      <c r="J5" s="37" t="str">
        <f>IF(B5="","",Names!$H$21)</f>
        <v/>
      </c>
      <c r="K5" s="41" t="str">
        <f>IFERROR(VLOOKUP(B5,Names!$B$1:$E$253,3,FALSE),"")</f>
        <v/>
      </c>
    </row>
    <row r="6" spans="1:11" x14ac:dyDescent="0.35">
      <c r="A6" s="46"/>
      <c r="B6" s="31"/>
      <c r="C6" s="32" t="str">
        <f>IFERROR(VLOOKUP(B6,Names!$B$1:$E$253,2,FALSE),"")</f>
        <v/>
      </c>
      <c r="D6" s="33" t="str">
        <f>IFERROR(VLOOKUP(B6,Names!$B$1:$E$253,4,FALSE),"")</f>
        <v/>
      </c>
      <c r="E6" s="33"/>
      <c r="F6" s="35"/>
      <c r="G6" s="32"/>
      <c r="H6" s="36"/>
      <c r="I6" s="37" t="str">
        <f>IF(B6="","",Names!$G$21)</f>
        <v/>
      </c>
      <c r="J6" s="37" t="str">
        <f>IF(B6="","",Names!$H$21)</f>
        <v/>
      </c>
      <c r="K6" s="41" t="str">
        <f>IFERROR(VLOOKUP(B6,Names!$B$1:$E$253,3,FALSE),"")</f>
        <v/>
      </c>
    </row>
    <row r="7" spans="1:11" x14ac:dyDescent="0.35">
      <c r="A7" s="46"/>
      <c r="B7" s="31"/>
      <c r="C7" s="32" t="str">
        <f>IFERROR(VLOOKUP(B7,Names!$B$1:$E$253,2,FALSE),"")</f>
        <v/>
      </c>
      <c r="D7" s="33" t="str">
        <f>IFERROR(VLOOKUP(B7,Names!$B$1:$E$253,4,FALSE),"")</f>
        <v/>
      </c>
      <c r="E7" s="33"/>
      <c r="F7" s="35"/>
      <c r="G7" s="32"/>
      <c r="H7" s="36"/>
      <c r="I7" s="37" t="str">
        <f>IF(B7="","",Names!$G$21)</f>
        <v/>
      </c>
      <c r="J7" s="37" t="str">
        <f>IF(B7="","",Names!$H$21)</f>
        <v/>
      </c>
      <c r="K7" s="41" t="str">
        <f>IFERROR(VLOOKUP(B7,Names!$B$1:$E$253,3,FALSE),"")</f>
        <v/>
      </c>
    </row>
    <row r="8" spans="1:11" x14ac:dyDescent="0.35">
      <c r="A8" s="46"/>
      <c r="B8" s="31"/>
      <c r="C8" s="32" t="str">
        <f>IFERROR(VLOOKUP(B8,Names!$B$1:$E$253,2,FALSE),"")</f>
        <v/>
      </c>
      <c r="D8" s="33" t="str">
        <f>IFERROR(VLOOKUP(B8,Names!$B$1:$E$253,4,FALSE),"")</f>
        <v/>
      </c>
      <c r="E8" s="33"/>
      <c r="F8" s="35"/>
      <c r="G8" s="32"/>
      <c r="H8" s="36"/>
      <c r="I8" s="37" t="str">
        <f>IF(B8="","",Names!$G$21)</f>
        <v/>
      </c>
      <c r="J8" s="37" t="str">
        <f>IF(B8="","",Names!$H$21)</f>
        <v/>
      </c>
      <c r="K8" s="41" t="str">
        <f>IFERROR(VLOOKUP(B8,Names!$B$1:$E$253,3,FALSE),"")</f>
        <v/>
      </c>
    </row>
    <row r="9" spans="1:11" x14ac:dyDescent="0.35">
      <c r="A9" s="46"/>
      <c r="B9" s="31"/>
      <c r="C9" s="32" t="str">
        <f>IFERROR(VLOOKUP(B9,Names!$B$1:$E$253,2,FALSE),"")</f>
        <v/>
      </c>
      <c r="D9" s="33" t="str">
        <f>IFERROR(VLOOKUP(B9,Names!$B$1:$E$253,4,FALSE),"")</f>
        <v/>
      </c>
      <c r="E9" s="33"/>
      <c r="F9" s="35"/>
      <c r="G9" s="32"/>
      <c r="H9" s="36"/>
      <c r="I9" s="37" t="str">
        <f>IF(B9="","",Names!$G$21)</f>
        <v/>
      </c>
      <c r="J9" s="37" t="str">
        <f>IF(B9="","",Names!$H$21)</f>
        <v/>
      </c>
      <c r="K9" s="41" t="str">
        <f>IFERROR(VLOOKUP(B9,Names!$B$1:$E$253,3,FALSE),"")</f>
        <v/>
      </c>
    </row>
    <row r="10" spans="1:11" x14ac:dyDescent="0.35">
      <c r="A10" s="46"/>
      <c r="B10" s="31"/>
      <c r="C10" s="32" t="str">
        <f>IFERROR(VLOOKUP(B10,Names!$B$1:$E$253,2,FALSE),"")</f>
        <v/>
      </c>
      <c r="D10" s="33" t="str">
        <f>IFERROR(VLOOKUP(B10,Names!$B$1:$E$253,4,FALSE),"")</f>
        <v/>
      </c>
      <c r="E10" s="34"/>
      <c r="F10" s="35"/>
      <c r="G10" s="32"/>
      <c r="H10" s="36"/>
      <c r="I10" s="37" t="str">
        <f>IF(B10="","",Names!$G$21)</f>
        <v/>
      </c>
      <c r="J10" s="37" t="str">
        <f>IF(B10="","",Names!$H$21)</f>
        <v/>
      </c>
      <c r="K10" s="41" t="str">
        <f>IFERROR(VLOOKUP(B10,Names!$B$1:$E$253,3,FALSE),"")</f>
        <v/>
      </c>
    </row>
    <row r="11" spans="1:11" x14ac:dyDescent="0.35">
      <c r="A11" s="46"/>
      <c r="B11" s="31"/>
      <c r="C11" s="32" t="str">
        <f>IFERROR(VLOOKUP(B11,Names!$B$1:$E$253,2,FALSE),"")</f>
        <v/>
      </c>
      <c r="D11" s="33" t="str">
        <f>IFERROR(VLOOKUP(B11,Names!$B$1:$E$253,4,FALSE),"")</f>
        <v/>
      </c>
      <c r="E11" s="45"/>
      <c r="F11" s="35"/>
      <c r="G11" s="32"/>
      <c r="H11" s="36"/>
      <c r="I11" s="37" t="str">
        <f>IF(B11="","",Names!$G$21)</f>
        <v/>
      </c>
      <c r="J11" s="37" t="str">
        <f>IF(B11="","",Names!$H$21)</f>
        <v/>
      </c>
      <c r="K11" s="41" t="str">
        <f>IFERROR(VLOOKUP(B11,Names!$B$1:$E$253,3,FALSE),"")</f>
        <v/>
      </c>
    </row>
    <row r="12" spans="1:11" x14ac:dyDescent="0.35">
      <c r="A12" s="43"/>
      <c r="B12" s="31"/>
      <c r="C12" s="32" t="str">
        <f>IFERROR(VLOOKUP(B12,Names!$B$1:$E$253,2,FALSE),"")</f>
        <v/>
      </c>
      <c r="D12" s="33" t="str">
        <f>IFERROR(VLOOKUP(B12,Names!$B$1:$E$253,4,FALSE),"")</f>
        <v/>
      </c>
      <c r="E12" s="34"/>
      <c r="F12" s="35"/>
      <c r="G12" s="32"/>
      <c r="H12" s="36"/>
      <c r="I12" s="37" t="str">
        <f>IF(B12="","",Names!$G$21)</f>
        <v/>
      </c>
      <c r="J12" s="37" t="str">
        <f>IF(B12="","",Names!$H$21)</f>
        <v/>
      </c>
      <c r="K12" s="41" t="str">
        <f>IFERROR(VLOOKUP(B12,Names!$B$1:$E$253,3,FALSE),"")</f>
        <v/>
      </c>
    </row>
    <row r="13" spans="1:11" x14ac:dyDescent="0.35">
      <c r="A13" s="43"/>
      <c r="B13" s="31"/>
      <c r="C13" s="32" t="str">
        <f>IFERROR(VLOOKUP(B13,Names!$B$1:$E$253,2,FALSE),"")</f>
        <v/>
      </c>
      <c r="D13" s="33" t="str">
        <f>IFERROR(VLOOKUP(B13,Names!$B$1:$E$253,4,FALSE),"")</f>
        <v/>
      </c>
      <c r="E13" s="34"/>
      <c r="F13" s="35"/>
      <c r="G13" s="32"/>
      <c r="H13" s="36"/>
      <c r="I13" s="37" t="str">
        <f>IF(B13="","",Names!$G$21)</f>
        <v/>
      </c>
      <c r="J13" s="37" t="str">
        <f>IF(B13="","",Names!$H$21)</f>
        <v/>
      </c>
      <c r="K13" s="41" t="str">
        <f>IFERROR(VLOOKUP(B13,Names!$B$1:$E$253,3,FALSE),"")</f>
        <v/>
      </c>
    </row>
    <row r="14" spans="1:11" x14ac:dyDescent="0.35">
      <c r="A14" s="43"/>
      <c r="B14" s="31"/>
      <c r="C14" s="32" t="str">
        <f>IFERROR(VLOOKUP(B14,Names!$B$1:$E$253,2,FALSE),"")</f>
        <v/>
      </c>
      <c r="D14" s="33" t="str">
        <f>IFERROR(VLOOKUP(B14,Names!$B$1:$E$253,4,FALSE),"")</f>
        <v/>
      </c>
      <c r="E14" s="34"/>
      <c r="F14" s="35"/>
      <c r="G14" s="32"/>
      <c r="H14" s="36"/>
      <c r="I14" s="37" t="str">
        <f>IF(B14="","",Names!$G$21)</f>
        <v/>
      </c>
      <c r="J14" s="37" t="str">
        <f>IF(B14="","",Names!$H$21)</f>
        <v/>
      </c>
      <c r="K14" s="41" t="str">
        <f>IFERROR(VLOOKUP(B14,Names!$B$1:$E$253,3,FALSE),"")</f>
        <v/>
      </c>
    </row>
    <row r="15" spans="1:11" x14ac:dyDescent="0.35">
      <c r="A15" s="43"/>
      <c r="B15" s="31"/>
      <c r="C15" s="32" t="str">
        <f>IFERROR(VLOOKUP(B15,Names!$B$1:$E$253,2,FALSE),"")</f>
        <v/>
      </c>
      <c r="D15" s="33" t="str">
        <f>IFERROR(VLOOKUP(B15,Names!$B$1:$E$253,4,FALSE),"")</f>
        <v/>
      </c>
      <c r="E15" s="34"/>
      <c r="F15" s="35"/>
      <c r="G15" s="32"/>
      <c r="H15" s="36"/>
      <c r="I15" s="37" t="str">
        <f>IF(B15="","",Names!$G$21)</f>
        <v/>
      </c>
      <c r="J15" s="37" t="str">
        <f>IF(B15="","",Names!$H$21)</f>
        <v/>
      </c>
      <c r="K15" s="41" t="str">
        <f>IFERROR(VLOOKUP(B15,Names!$B$1:$E$253,3,FALSE),"")</f>
        <v/>
      </c>
    </row>
    <row r="16" spans="1:11" x14ac:dyDescent="0.35">
      <c r="A16" s="43"/>
      <c r="B16" s="31"/>
      <c r="C16" s="32" t="str">
        <f>IFERROR(VLOOKUP(B16,Names!$B$1:$E$253,2,FALSE),"")</f>
        <v/>
      </c>
      <c r="D16" s="33" t="str">
        <f>IFERROR(VLOOKUP(B16,Names!$B$1:$E$253,4,FALSE),"")</f>
        <v/>
      </c>
      <c r="E16" s="34"/>
      <c r="F16" s="35"/>
      <c r="G16" s="32"/>
      <c r="H16" s="36"/>
      <c r="I16" s="37" t="str">
        <f>IF(B16="","",Names!$G$21)</f>
        <v/>
      </c>
      <c r="J16" s="37" t="str">
        <f>IF(B16="","",Names!$H$21)</f>
        <v/>
      </c>
      <c r="K16" s="41" t="str">
        <f>IFERROR(VLOOKUP(B16,Names!$B$1:$E$253,3,FALSE),"")</f>
        <v/>
      </c>
    </row>
    <row r="17" spans="1:11" x14ac:dyDescent="0.35">
      <c r="A17" s="43"/>
      <c r="B17" s="31"/>
      <c r="C17" s="32" t="str">
        <f>IFERROR(VLOOKUP(B17,Names!$B$1:$E$253,2,FALSE),"")</f>
        <v/>
      </c>
      <c r="D17" s="33" t="str">
        <f>IFERROR(VLOOKUP(B17,Names!$B$1:$E$253,4,FALSE),"")</f>
        <v/>
      </c>
      <c r="E17" s="34"/>
      <c r="F17" s="35"/>
      <c r="G17" s="32"/>
      <c r="H17" s="36"/>
      <c r="I17" s="37" t="str">
        <f>IF(B17="","",Names!$G$21)</f>
        <v/>
      </c>
      <c r="J17" s="37" t="str">
        <f>IF(B17="","",Names!$H$21)</f>
        <v/>
      </c>
      <c r="K17" s="41" t="str">
        <f>IFERROR(VLOOKUP(B17,Names!$B$1:$E$253,3,FALSE),"")</f>
        <v/>
      </c>
    </row>
    <row r="18" spans="1:11" x14ac:dyDescent="0.35">
      <c r="A18" s="43"/>
      <c r="B18" s="31"/>
      <c r="C18" s="32" t="str">
        <f>IFERROR(VLOOKUP(B18,Names!$B$1:$E$253,2,FALSE),"")</f>
        <v/>
      </c>
      <c r="D18" s="33" t="str">
        <f>IFERROR(VLOOKUP(B18,Names!$B$1:$E$253,4,FALSE),"")</f>
        <v/>
      </c>
      <c r="E18" s="34"/>
      <c r="F18" s="35"/>
      <c r="G18" s="32"/>
      <c r="H18" s="36"/>
      <c r="I18" s="37" t="str">
        <f>IF(B18="","",Names!$G$21)</f>
        <v/>
      </c>
      <c r="J18" s="37" t="str">
        <f>IF(B18="","",Names!$H$21)</f>
        <v/>
      </c>
      <c r="K18" s="41" t="str">
        <f>IFERROR(VLOOKUP(B18,Names!$B$1:$E$253,3,FALSE),"")</f>
        <v/>
      </c>
    </row>
    <row r="19" spans="1:11" x14ac:dyDescent="0.35">
      <c r="A19" s="43"/>
      <c r="B19" s="31"/>
      <c r="C19" s="32" t="str">
        <f>IFERROR(VLOOKUP(B19,Names!$B$1:$E$253,2,FALSE),"")</f>
        <v/>
      </c>
      <c r="D19" s="33" t="str">
        <f>IFERROR(VLOOKUP(B19,Names!$B$1:$E$253,4,FALSE),"")</f>
        <v/>
      </c>
      <c r="E19" s="34"/>
      <c r="F19" s="35"/>
      <c r="G19" s="32"/>
      <c r="H19" s="36"/>
      <c r="I19" s="37" t="str">
        <f>IF(B19="","",Names!$G$21)</f>
        <v/>
      </c>
      <c r="J19" s="37" t="str">
        <f>IF(B19="","",Names!$H$21)</f>
        <v/>
      </c>
      <c r="K19" s="41" t="str">
        <f>IFERROR(VLOOKUP(B19,Names!$B$1:$E$253,3,FALSE),"")</f>
        <v/>
      </c>
    </row>
    <row r="20" spans="1:11" x14ac:dyDescent="0.35">
      <c r="A20" s="30"/>
      <c r="B20" s="31"/>
      <c r="C20" s="32" t="str">
        <f>IFERROR(VLOOKUP(B20,Names!$B$1:$E$253,2,FALSE),"")</f>
        <v/>
      </c>
      <c r="D20" s="33" t="str">
        <f>IFERROR(VLOOKUP(B20,Names!$B$1:$E$253,4,FALSE),"")</f>
        <v/>
      </c>
      <c r="E20" s="34"/>
      <c r="F20" s="35"/>
      <c r="G20" s="32"/>
      <c r="H20" s="36"/>
      <c r="I20" s="37" t="str">
        <f>IF(B20="","",Names!$G$21)</f>
        <v/>
      </c>
      <c r="J20" s="37" t="str">
        <f>IF(B20="","",Names!$H$21)</f>
        <v/>
      </c>
      <c r="K20" s="41" t="str">
        <f>IFERROR(VLOOKUP(B20,Names!$B$1:$E$253,3,FALSE),"")</f>
        <v/>
      </c>
    </row>
    <row r="21" spans="1:11" x14ac:dyDescent="0.35">
      <c r="A21" s="30"/>
      <c r="B21" s="31"/>
      <c r="C21" s="32" t="str">
        <f>IFERROR(VLOOKUP(B21,Names!$B$1:$E$253,2,FALSE),"")</f>
        <v/>
      </c>
      <c r="D21" s="33" t="str">
        <f>IFERROR(VLOOKUP(B21,Names!$B$1:$E$253,4,FALSE),"")</f>
        <v/>
      </c>
      <c r="E21" s="34"/>
      <c r="F21" s="35"/>
      <c r="G21" s="32"/>
      <c r="H21" s="36"/>
      <c r="I21" s="37" t="str">
        <f>IF(B21="","",Names!$G$21)</f>
        <v/>
      </c>
      <c r="J21" s="37" t="str">
        <f>IF(B21="","",Names!$H$21)</f>
        <v/>
      </c>
      <c r="K21" s="41" t="str">
        <f>IFERROR(VLOOKUP(B21,Names!$B$1:$E$253,3,FALSE),"")</f>
        <v/>
      </c>
    </row>
    <row r="22" spans="1:11" x14ac:dyDescent="0.35">
      <c r="A22" s="30"/>
      <c r="B22" s="31"/>
      <c r="C22" s="32" t="str">
        <f>IFERROR(VLOOKUP(B22,Names!$B$1:$E$253,2,FALSE),"")</f>
        <v/>
      </c>
      <c r="D22" s="33" t="str">
        <f>IFERROR(VLOOKUP(B22,Names!$B$1:$E$253,4,FALSE),"")</f>
        <v/>
      </c>
      <c r="E22" s="34"/>
      <c r="F22" s="35"/>
      <c r="G22" s="32"/>
      <c r="H22" s="36"/>
      <c r="I22" s="37" t="str">
        <f>IF(B22="","",Names!$G$21)</f>
        <v/>
      </c>
      <c r="J22" s="37" t="str">
        <f>IF(B22="","",Names!$H$21)</f>
        <v/>
      </c>
      <c r="K22" s="41" t="str">
        <f>IFERROR(VLOOKUP(B22,Names!$B$1:$E$253,3,FALSE),"")</f>
        <v/>
      </c>
    </row>
    <row r="23" spans="1:11" x14ac:dyDescent="0.35">
      <c r="A23" s="30"/>
      <c r="B23" s="31"/>
      <c r="C23" s="32" t="str">
        <f>IFERROR(VLOOKUP(B23,Names!$B$1:$E$253,2,FALSE),"")</f>
        <v/>
      </c>
      <c r="D23" s="33" t="str">
        <f>IFERROR(VLOOKUP(B23,Names!$B$1:$E$253,4,FALSE),"")</f>
        <v/>
      </c>
      <c r="E23" s="34"/>
      <c r="F23" s="35"/>
      <c r="G23" s="32"/>
      <c r="H23" s="36"/>
      <c r="I23" s="37" t="str">
        <f>IF(B23="","",Names!$G$21)</f>
        <v/>
      </c>
      <c r="J23" s="37" t="str">
        <f>IF(B23="","",Names!$H$21)</f>
        <v/>
      </c>
      <c r="K23" s="41" t="str">
        <f>IFERROR(VLOOKUP(B23,Names!$B$1:$E$253,3,FALSE),"")</f>
        <v/>
      </c>
    </row>
    <row r="24" spans="1:11" x14ac:dyDescent="0.35">
      <c r="A24" s="30"/>
      <c r="B24" s="31"/>
      <c r="C24" s="32" t="str">
        <f>IFERROR(VLOOKUP(B24,Names!$B$1:$E$253,2,FALSE),"")</f>
        <v/>
      </c>
      <c r="D24" s="33" t="str">
        <f>IFERROR(VLOOKUP(B24,Names!$B$1:$E$253,4,FALSE),"")</f>
        <v/>
      </c>
      <c r="E24" s="34"/>
      <c r="F24" s="35"/>
      <c r="G24" s="32"/>
      <c r="H24" s="36"/>
      <c r="I24" s="37" t="str">
        <f>IF(B24="","",Names!$G$21)</f>
        <v/>
      </c>
      <c r="J24" s="37" t="str">
        <f>IF(B24="","",Names!$H$21)</f>
        <v/>
      </c>
      <c r="K24" s="41" t="str">
        <f>IFERROR(VLOOKUP(B24,Names!$B$1:$E$253,3,FALSE),"")</f>
        <v/>
      </c>
    </row>
    <row r="25" spans="1:11" x14ac:dyDescent="0.35">
      <c r="A25" s="30"/>
      <c r="B25" s="31"/>
      <c r="C25" s="32" t="str">
        <f>IFERROR(VLOOKUP(B25,Names!$B$1:$E$253,2,FALSE),"")</f>
        <v/>
      </c>
      <c r="D25" s="33" t="str">
        <f>IFERROR(VLOOKUP(B25,Names!$B$1:$E$253,4,FALSE),"")</f>
        <v/>
      </c>
      <c r="E25" s="34"/>
      <c r="F25" s="35"/>
      <c r="G25" s="32"/>
      <c r="H25" s="36"/>
      <c r="I25" s="37" t="str">
        <f>IF(B25="","",Names!$G$21)</f>
        <v/>
      </c>
      <c r="J25" s="37" t="str">
        <f>IF(B25="","",Names!$H$21)</f>
        <v/>
      </c>
      <c r="K25" s="41" t="str">
        <f>IFERROR(VLOOKUP(B25,Names!$B$1:$E$253,3,FALSE),"")</f>
        <v/>
      </c>
    </row>
    <row r="26" spans="1:11" x14ac:dyDescent="0.35">
      <c r="A26" s="30"/>
      <c r="B26" s="31"/>
      <c r="C26" s="32" t="str">
        <f>IFERROR(VLOOKUP(B26,Names!$B$1:$E$253,2,FALSE),"")</f>
        <v/>
      </c>
      <c r="D26" s="33" t="str">
        <f>IFERROR(VLOOKUP(B26,Names!$B$1:$E$253,4,FALSE),"")</f>
        <v/>
      </c>
      <c r="E26" s="34"/>
      <c r="F26" s="35"/>
      <c r="G26" s="32"/>
      <c r="H26" s="36"/>
      <c r="I26" s="37" t="str">
        <f>IF(B26="","",Names!$G$21)</f>
        <v/>
      </c>
      <c r="J26" s="37" t="str">
        <f>IF(B26="","",Names!$H$21)</f>
        <v/>
      </c>
      <c r="K26" s="41" t="str">
        <f>IFERROR(VLOOKUP(B26,Names!$B$1:$E$253,3,FALSE),"")</f>
        <v/>
      </c>
    </row>
    <row r="27" spans="1:11" x14ac:dyDescent="0.35">
      <c r="A27" s="30"/>
      <c r="B27" s="31"/>
      <c r="C27" s="32" t="str">
        <f>IFERROR(VLOOKUP(B27,Names!$B$1:$E$253,2,FALSE),"")</f>
        <v/>
      </c>
      <c r="D27" s="33" t="str">
        <f>IFERROR(VLOOKUP(B27,Names!$B$1:$E$253,4,FALSE),"")</f>
        <v/>
      </c>
      <c r="E27" s="34"/>
      <c r="F27" s="35"/>
      <c r="G27" s="32"/>
      <c r="H27" s="36"/>
      <c r="I27" s="37" t="str">
        <f>IF(B27="","",Names!$G$21)</f>
        <v/>
      </c>
      <c r="J27" s="37" t="str">
        <f>IF(B27="","",Names!$H$21)</f>
        <v/>
      </c>
      <c r="K27" s="41" t="str">
        <f>IFERROR(VLOOKUP(B27,Names!$B$1:$E$253,3,FALSE),"")</f>
        <v/>
      </c>
    </row>
    <row r="28" spans="1:11" x14ac:dyDescent="0.35">
      <c r="A28" s="30"/>
      <c r="B28" s="31"/>
      <c r="C28" s="32" t="str">
        <f>IFERROR(VLOOKUP(B28,Names!$B$1:$E$253,2,FALSE),"")</f>
        <v/>
      </c>
      <c r="D28" s="33" t="str">
        <f>IFERROR(VLOOKUP(B28,Names!$B$1:$E$253,4,FALSE),"")</f>
        <v/>
      </c>
      <c r="E28" s="34"/>
      <c r="F28" s="35"/>
      <c r="G28" s="32"/>
      <c r="H28" s="36"/>
      <c r="I28" s="37" t="str">
        <f>IF(B28="","",Names!$G$21)</f>
        <v/>
      </c>
      <c r="J28" s="37" t="str">
        <f>IF(B28="","",Names!$H$21)</f>
        <v/>
      </c>
      <c r="K28" s="41" t="str">
        <f>IFERROR(VLOOKUP(B28,Names!$B$1:$E$253,3,FALSE),"")</f>
        <v/>
      </c>
    </row>
    <row r="29" spans="1:11" x14ac:dyDescent="0.35">
      <c r="A29" s="30"/>
      <c r="B29" s="31"/>
      <c r="C29" s="32" t="str">
        <f>IFERROR(VLOOKUP(B29,Names!$B$1:$E$253,2,FALSE),"")</f>
        <v/>
      </c>
      <c r="D29" s="33" t="str">
        <f>IFERROR(VLOOKUP(B29,Names!$B$1:$E$253,4,FALSE),"")</f>
        <v/>
      </c>
      <c r="E29" s="34"/>
      <c r="F29" s="35"/>
      <c r="G29" s="32"/>
      <c r="H29" s="36"/>
      <c r="I29" s="37" t="str">
        <f>IF(B29="","",Names!$G$21)</f>
        <v/>
      </c>
      <c r="J29" s="37" t="str">
        <f>IF(B29="","",Names!$H$21)</f>
        <v/>
      </c>
      <c r="K29" s="41" t="str">
        <f>IFERROR(VLOOKUP(B29,Names!$B$1:$E$253,3,FALSE),"")</f>
        <v/>
      </c>
    </row>
    <row r="30" spans="1:11" x14ac:dyDescent="0.35">
      <c r="A30" s="30"/>
      <c r="B30" s="31"/>
      <c r="C30" s="32" t="str">
        <f>IFERROR(VLOOKUP(B30,Names!$B$1:$E$253,2,FALSE),"")</f>
        <v/>
      </c>
      <c r="D30" s="33" t="str">
        <f>IFERROR(VLOOKUP(B30,Names!$B$1:$E$253,4,FALSE),"")</f>
        <v/>
      </c>
      <c r="E30" s="34"/>
      <c r="F30" s="35"/>
      <c r="G30" s="32"/>
      <c r="H30" s="36"/>
      <c r="I30" s="37" t="str">
        <f>IF(B30="","",Names!$G$21)</f>
        <v/>
      </c>
      <c r="J30" s="37" t="str">
        <f>IF(B30="","",Names!$H$21)</f>
        <v/>
      </c>
      <c r="K30" s="41" t="str">
        <f>IFERROR(VLOOKUP(B30,Names!$B$1:$E$253,3,FALSE),"")</f>
        <v/>
      </c>
    </row>
    <row r="31" spans="1:11" x14ac:dyDescent="0.35">
      <c r="A31" s="30"/>
      <c r="B31" s="31"/>
      <c r="C31" s="32" t="str">
        <f>IFERROR(VLOOKUP(B31,Names!$B$1:$E$253,2,FALSE),"")</f>
        <v/>
      </c>
      <c r="D31" s="33" t="str">
        <f>IFERROR(VLOOKUP(B31,Names!$B$1:$E$253,4,FALSE),"")</f>
        <v/>
      </c>
      <c r="E31" s="34"/>
      <c r="F31" s="35"/>
      <c r="G31" s="32"/>
      <c r="H31" s="36"/>
      <c r="I31" s="37" t="str">
        <f>IF(B31="","",Names!$G$21)</f>
        <v/>
      </c>
      <c r="J31" s="37" t="str">
        <f>IF(B31="","",Names!$H$21)</f>
        <v/>
      </c>
      <c r="K31" s="41" t="str">
        <f>IFERROR(VLOOKUP(B31,Names!$B$1:$E$253,3,FALSE),"")</f>
        <v/>
      </c>
    </row>
    <row r="32" spans="1:11" x14ac:dyDescent="0.35">
      <c r="A32" s="30"/>
      <c r="B32" s="31"/>
      <c r="C32" s="32" t="str">
        <f>IFERROR(VLOOKUP(B32,Names!$B$1:$E$253,2,FALSE),"")</f>
        <v/>
      </c>
      <c r="D32" s="33" t="str">
        <f>IFERROR(VLOOKUP(B32,Names!$B$1:$E$253,4,FALSE),"")</f>
        <v/>
      </c>
      <c r="E32" s="34"/>
      <c r="F32" s="35"/>
      <c r="G32" s="32"/>
      <c r="H32" s="36"/>
      <c r="I32" s="37" t="str">
        <f>IF(B32="","",Names!$G$21)</f>
        <v/>
      </c>
      <c r="J32" s="37" t="str">
        <f>IF(B32="","",Names!$H$21)</f>
        <v/>
      </c>
      <c r="K32" s="41" t="str">
        <f>IFERROR(VLOOKUP(B32,Names!$B$1:$E$253,3,FALSE),"")</f>
        <v/>
      </c>
    </row>
    <row r="33" spans="1:11" x14ac:dyDescent="0.35">
      <c r="A33" s="30"/>
      <c r="B33" s="31"/>
      <c r="C33" s="32" t="str">
        <f>IFERROR(VLOOKUP(B33,Names!$B$1:$E$253,2,FALSE),"")</f>
        <v/>
      </c>
      <c r="D33" s="33" t="str">
        <f>IFERROR(VLOOKUP(B33,Names!$B$1:$E$253,4,FALSE),"")</f>
        <v/>
      </c>
      <c r="E33" s="34"/>
      <c r="F33" s="35"/>
      <c r="G33" s="32"/>
      <c r="H33" s="36"/>
      <c r="I33" s="37" t="str">
        <f>IF(B33="","",Names!$G$21)</f>
        <v/>
      </c>
      <c r="J33" s="37" t="str">
        <f>IF(B33="","",Names!$H$21)</f>
        <v/>
      </c>
      <c r="K33" s="41" t="str">
        <f>IFERROR(VLOOKUP(B33,Names!$B$1:$E$253,3,FALSE),"")</f>
        <v/>
      </c>
    </row>
    <row r="34" spans="1:11" x14ac:dyDescent="0.35">
      <c r="A34" s="30"/>
      <c r="B34" s="31"/>
      <c r="C34" s="32" t="str">
        <f>IFERROR(VLOOKUP(B34,Names!$B$1:$E$253,2,FALSE),"")</f>
        <v/>
      </c>
      <c r="D34" s="33" t="str">
        <f>IFERROR(VLOOKUP(B34,Names!$B$1:$E$253,4,FALSE),"")</f>
        <v/>
      </c>
      <c r="E34" s="34"/>
      <c r="F34" s="35"/>
      <c r="G34" s="32"/>
      <c r="H34" s="36"/>
      <c r="I34" s="37" t="str">
        <f>IF(B34="","",Names!$G$21)</f>
        <v/>
      </c>
      <c r="J34" s="37" t="str">
        <f>IF(B34="","",Names!$H$21)</f>
        <v/>
      </c>
      <c r="K34" s="41" t="str">
        <f>IFERROR(VLOOKUP(B34,Names!$B$1:$E$253,3,FALSE),"")</f>
        <v/>
      </c>
    </row>
    <row r="35" spans="1:11" x14ac:dyDescent="0.35">
      <c r="A35" s="30"/>
      <c r="B35" s="31"/>
      <c r="C35" s="32" t="str">
        <f>IFERROR(VLOOKUP(B35,Names!$B$1:$E$253,2,FALSE),"")</f>
        <v/>
      </c>
      <c r="D35" s="33" t="str">
        <f>IFERROR(VLOOKUP(B35,Names!$B$1:$E$253,4,FALSE),"")</f>
        <v/>
      </c>
      <c r="E35" s="34"/>
      <c r="F35" s="35"/>
      <c r="G35" s="32"/>
      <c r="H35" s="36"/>
      <c r="I35" s="37" t="str">
        <f>IF(B35="","",Names!$G$21)</f>
        <v/>
      </c>
      <c r="J35" s="37" t="str">
        <f>IF(B35="","",Names!$H$21)</f>
        <v/>
      </c>
      <c r="K35" s="41" t="str">
        <f>IFERROR(VLOOKUP(B35,Names!$B$1:$E$253,3,FALSE),"")</f>
        <v/>
      </c>
    </row>
    <row r="36" spans="1:11" x14ac:dyDescent="0.35">
      <c r="A36" s="30"/>
      <c r="B36" s="31"/>
      <c r="C36" s="32" t="str">
        <f>IFERROR(VLOOKUP(B36,Names!$B$1:$E$253,2,FALSE),"")</f>
        <v/>
      </c>
      <c r="D36" s="33" t="str">
        <f>IFERROR(VLOOKUP(B36,Names!$B$1:$E$253,4,FALSE),"")</f>
        <v/>
      </c>
      <c r="E36" s="34"/>
      <c r="F36" s="35"/>
      <c r="G36" s="32"/>
      <c r="H36" s="36"/>
      <c r="I36" s="37" t="str">
        <f>IF(B36="","",Names!$G$21)</f>
        <v/>
      </c>
      <c r="J36" s="37" t="str">
        <f>IF(B36="","",Names!$H$21)</f>
        <v/>
      </c>
      <c r="K36" s="41" t="str">
        <f>IFERROR(VLOOKUP(B36,Names!$B$1:$E$253,3,FALSE),"")</f>
        <v/>
      </c>
    </row>
    <row r="37" spans="1:11" x14ac:dyDescent="0.35">
      <c r="A37" s="30"/>
      <c r="B37" s="31"/>
      <c r="C37" s="32" t="str">
        <f>IFERROR(VLOOKUP(B37,Names!$B$1:$E$253,2,FALSE),"")</f>
        <v/>
      </c>
      <c r="D37" s="33" t="str">
        <f>IFERROR(VLOOKUP(B37,Names!$B$1:$E$253,4,FALSE),"")</f>
        <v/>
      </c>
      <c r="E37" s="34"/>
      <c r="F37" s="35"/>
      <c r="G37" s="32"/>
      <c r="H37" s="36"/>
      <c r="I37" s="37" t="str">
        <f>IF(B37="","",Names!$G$21)</f>
        <v/>
      </c>
      <c r="J37" s="37" t="str">
        <f>IF(B37="","",Names!$H$21)</f>
        <v/>
      </c>
      <c r="K37" s="41" t="str">
        <f>IFERROR(VLOOKUP(B37,Names!$B$1:$E$253,3,FALSE),"")</f>
        <v/>
      </c>
    </row>
    <row r="38" spans="1:11" x14ac:dyDescent="0.35">
      <c r="A38" s="30"/>
      <c r="B38" s="31"/>
      <c r="C38" s="32" t="str">
        <f>IFERROR(VLOOKUP(B38,Names!$B$1:$E$253,2,FALSE),"")</f>
        <v/>
      </c>
      <c r="D38" s="33" t="str">
        <f>IFERROR(VLOOKUP(B38,Names!$B$1:$E$253,4,FALSE),"")</f>
        <v/>
      </c>
      <c r="E38" s="34"/>
      <c r="F38" s="35"/>
      <c r="G38" s="32"/>
      <c r="H38" s="36"/>
      <c r="I38" s="37" t="str">
        <f>IF(B38="","",Names!$G$21)</f>
        <v/>
      </c>
      <c r="J38" s="37" t="str">
        <f>IF(B38="","",Names!$H$21)</f>
        <v/>
      </c>
      <c r="K38" s="41" t="str">
        <f>IFERROR(VLOOKUP(B38,Names!$B$1:$E$253,3,FALSE),"")</f>
        <v/>
      </c>
    </row>
    <row r="39" spans="1:11" x14ac:dyDescent="0.35">
      <c r="A39" s="30"/>
      <c r="B39" s="31"/>
      <c r="C39" s="32" t="str">
        <f>IFERROR(VLOOKUP(B39,Names!$B$1:$E$253,2,FALSE),"")</f>
        <v/>
      </c>
      <c r="D39" s="33" t="str">
        <f>IFERROR(VLOOKUP(B39,Names!$B$1:$E$253,4,FALSE),"")</f>
        <v/>
      </c>
      <c r="E39" s="34"/>
      <c r="F39" s="35"/>
      <c r="G39" s="32"/>
      <c r="H39" s="36"/>
      <c r="I39" s="37" t="str">
        <f>IF(B39="","",Names!$G$21)</f>
        <v/>
      </c>
      <c r="J39" s="37" t="str">
        <f>IF(B39="","",Names!$H$21)</f>
        <v/>
      </c>
      <c r="K39" s="41" t="str">
        <f>IFERROR(VLOOKUP(B39,Names!$B$1:$E$253,3,FALSE),"")</f>
        <v/>
      </c>
    </row>
    <row r="40" spans="1:11" x14ac:dyDescent="0.35">
      <c r="A40" s="30"/>
      <c r="B40" s="31"/>
      <c r="C40" s="32" t="str">
        <f>IFERROR(VLOOKUP(B40,Names!$B$1:$E$253,2,FALSE),"")</f>
        <v/>
      </c>
      <c r="D40" s="33" t="str">
        <f>IFERROR(VLOOKUP(B40,Names!$B$1:$E$253,4,FALSE),"")</f>
        <v/>
      </c>
      <c r="E40" s="34"/>
      <c r="F40" s="35"/>
      <c r="G40" s="32"/>
      <c r="H40" s="36"/>
      <c r="I40" s="37" t="str">
        <f>IF(B40="","",Names!$G$21)</f>
        <v/>
      </c>
      <c r="J40" s="37" t="str">
        <f>IF(B40="","",Names!$H$21)</f>
        <v/>
      </c>
      <c r="K40" s="41" t="str">
        <f>IFERROR(VLOOKUP(B40,Names!$B$1:$E$253,3,FALSE),"")</f>
        <v/>
      </c>
    </row>
    <row r="41" spans="1:11" x14ac:dyDescent="0.35">
      <c r="A41" s="30"/>
      <c r="B41" s="31"/>
      <c r="C41" s="32" t="str">
        <f>IFERROR(VLOOKUP(B41,Names!$B$1:$E$253,2,FALSE),"")</f>
        <v/>
      </c>
      <c r="D41" s="33" t="str">
        <f>IFERROR(VLOOKUP(B41,Names!$B$1:$E$253,4,FALSE),"")</f>
        <v/>
      </c>
      <c r="E41" s="34"/>
      <c r="F41" s="35"/>
      <c r="G41" s="32"/>
      <c r="H41" s="36"/>
      <c r="I41" s="37" t="str">
        <f>IF(B41="","",Names!$G$21)</f>
        <v/>
      </c>
      <c r="J41" s="37" t="str">
        <f>IF(B41="","",Names!$H$21)</f>
        <v/>
      </c>
      <c r="K41" s="41" t="str">
        <f>IFERROR(VLOOKUP(B41,Names!$B$1:$E$253,3,FALSE),"")</f>
        <v/>
      </c>
    </row>
    <row r="42" spans="1:11" x14ac:dyDescent="0.35">
      <c r="A42" s="30"/>
      <c r="B42" s="31"/>
      <c r="C42" s="32" t="str">
        <f>IFERROR(VLOOKUP(B42,Names!$B$1:$E$253,2,FALSE),"")</f>
        <v/>
      </c>
      <c r="D42" s="33" t="str">
        <f>IFERROR(VLOOKUP(B42,Names!$B$1:$E$253,4,FALSE),"")</f>
        <v/>
      </c>
      <c r="E42" s="34"/>
      <c r="F42" s="35"/>
      <c r="G42" s="32"/>
      <c r="H42" s="36"/>
      <c r="I42" s="37" t="str">
        <f>IF(B42="","",Names!$G$21)</f>
        <v/>
      </c>
      <c r="J42" s="37" t="str">
        <f>IF(B42="","",Names!$H$21)</f>
        <v/>
      </c>
      <c r="K42" s="41" t="str">
        <f>IFERROR(VLOOKUP(B42,Names!$B$1:$E$253,3,FALSE),"")</f>
        <v/>
      </c>
    </row>
    <row r="43" spans="1:11" x14ac:dyDescent="0.35">
      <c r="A43" s="30"/>
      <c r="B43" s="31"/>
      <c r="C43" s="32" t="str">
        <f>IFERROR(VLOOKUP(B43,Names!$B$1:$E$253,2,FALSE),"")</f>
        <v/>
      </c>
      <c r="D43" s="33" t="str">
        <f>IFERROR(VLOOKUP(B43,Names!$B$1:$E$253,4,FALSE),"")</f>
        <v/>
      </c>
      <c r="E43" s="34"/>
      <c r="F43" s="35"/>
      <c r="G43" s="32"/>
      <c r="H43" s="36"/>
      <c r="I43" s="37" t="str">
        <f>IF(B43="","",Names!$G$21)</f>
        <v/>
      </c>
      <c r="J43" s="37" t="str">
        <f>IF(B43="","",Names!$H$21)</f>
        <v/>
      </c>
      <c r="K43" s="41" t="str">
        <f>IFERROR(VLOOKUP(B43,Names!$B$1:$E$253,3,FALSE),"")</f>
        <v/>
      </c>
    </row>
    <row r="44" spans="1:11" x14ac:dyDescent="0.35">
      <c r="A44" s="30"/>
      <c r="B44" s="31"/>
      <c r="C44" s="32" t="str">
        <f>IFERROR(VLOOKUP(B44,Names!$B$1:$E$253,2,FALSE),"")</f>
        <v/>
      </c>
      <c r="D44" s="33" t="str">
        <f>IFERROR(VLOOKUP(B44,Names!$B$1:$E$253,4,FALSE),"")</f>
        <v/>
      </c>
      <c r="E44" s="34"/>
      <c r="F44" s="35"/>
      <c r="G44" s="32"/>
      <c r="H44" s="36"/>
      <c r="I44" s="37" t="str">
        <f>IF(B44="","",Names!$G$21)</f>
        <v/>
      </c>
      <c r="J44" s="37" t="str">
        <f>IF(B44="","",Names!$H$21)</f>
        <v/>
      </c>
      <c r="K44" s="41" t="str">
        <f>IFERROR(VLOOKUP(B44,Names!$B$1:$E$253,3,FALSE),"")</f>
        <v/>
      </c>
    </row>
    <row r="45" spans="1:11" x14ac:dyDescent="0.35">
      <c r="A45" s="30"/>
      <c r="B45" s="31"/>
      <c r="C45" s="32" t="str">
        <f>IFERROR(VLOOKUP(B45,Names!$B$1:$E$253,2,FALSE),"")</f>
        <v/>
      </c>
      <c r="D45" s="33" t="str">
        <f>IFERROR(VLOOKUP(B45,Names!$B$1:$E$253,4,FALSE),"")</f>
        <v/>
      </c>
      <c r="E45" s="34"/>
      <c r="F45" s="35"/>
      <c r="G45" s="32"/>
      <c r="H45" s="36"/>
      <c r="I45" s="37" t="str">
        <f>IF(B45="","",Names!$G$21)</f>
        <v/>
      </c>
      <c r="J45" s="37" t="str">
        <f>IF(B45="","",Names!$H$21)</f>
        <v/>
      </c>
      <c r="K45" s="41" t="str">
        <f>IFERROR(VLOOKUP(B45,Names!$B$1:$E$253,3,FALSE),"")</f>
        <v/>
      </c>
    </row>
    <row r="46" spans="1:11" x14ac:dyDescent="0.35">
      <c r="A46" s="30"/>
      <c r="B46" s="31"/>
      <c r="C46" s="32" t="str">
        <f>IFERROR(VLOOKUP(B46,Names!$B$1:$E$253,2,FALSE),"")</f>
        <v/>
      </c>
      <c r="D46" s="33" t="str">
        <f>IFERROR(VLOOKUP(B46,Names!$B$1:$E$253,4,FALSE),"")</f>
        <v/>
      </c>
      <c r="E46" s="34"/>
      <c r="F46" s="35"/>
      <c r="G46" s="32"/>
      <c r="H46" s="36"/>
      <c r="I46" s="37" t="str">
        <f>IF(B46="","",Names!$G$21)</f>
        <v/>
      </c>
      <c r="J46" s="37" t="str">
        <f>IF(B46="","",Names!$H$21)</f>
        <v/>
      </c>
      <c r="K46" s="41" t="str">
        <f>IFERROR(VLOOKUP(B46,Names!$B$1:$E$253,3,FALSE),"")</f>
        <v/>
      </c>
    </row>
    <row r="47" spans="1:11" x14ac:dyDescent="0.35">
      <c r="A47" s="30"/>
      <c r="B47" s="31"/>
      <c r="C47" s="32" t="str">
        <f>IFERROR(VLOOKUP(B47,Names!$B$1:$E$253,2,FALSE),"")</f>
        <v/>
      </c>
      <c r="D47" s="33" t="str">
        <f>IFERROR(VLOOKUP(B47,Names!$B$1:$E$253,4,FALSE),"")</f>
        <v/>
      </c>
      <c r="E47" s="34"/>
      <c r="F47" s="35"/>
      <c r="G47" s="32"/>
      <c r="H47" s="36"/>
      <c r="I47" s="37" t="str">
        <f>IF(B47="","",Names!$G$21)</f>
        <v/>
      </c>
      <c r="J47" s="37" t="str">
        <f>IF(B47="","",Names!$H$21)</f>
        <v/>
      </c>
      <c r="K47" s="41" t="str">
        <f>IFERROR(VLOOKUP(B47,Names!$B$1:$E$253,3,FALSE),"")</f>
        <v/>
      </c>
    </row>
    <row r="48" spans="1:11" x14ac:dyDescent="0.35">
      <c r="A48" s="30"/>
      <c r="B48" s="31"/>
      <c r="C48" s="32" t="str">
        <f>IFERROR(VLOOKUP(B48,Names!$B$1:$E$253,2,FALSE),"")</f>
        <v/>
      </c>
      <c r="D48" s="33" t="str">
        <f>IFERROR(VLOOKUP(B48,Names!$B$1:$E$253,4,FALSE),"")</f>
        <v/>
      </c>
      <c r="E48" s="34"/>
      <c r="F48" s="35"/>
      <c r="G48" s="32"/>
      <c r="H48" s="36"/>
      <c r="I48" s="37" t="str">
        <f>IF(B48="","",Names!$G$21)</f>
        <v/>
      </c>
      <c r="J48" s="37" t="str">
        <f>IF(B48="","",Names!$H$21)</f>
        <v/>
      </c>
      <c r="K48" s="41" t="str">
        <f>IFERROR(VLOOKUP(B48,Names!$B$1:$E$253,3,FALSE),"")</f>
        <v/>
      </c>
    </row>
    <row r="49" spans="1:11" x14ac:dyDescent="0.35">
      <c r="A49" s="30"/>
      <c r="B49" s="31"/>
      <c r="C49" s="32" t="str">
        <f>IFERROR(VLOOKUP(B49,Names!$B$1:$E$253,2,FALSE),"")</f>
        <v/>
      </c>
      <c r="D49" s="33" t="str">
        <f>IFERROR(VLOOKUP(B49,Names!$B$1:$E$253,4,FALSE),"")</f>
        <v/>
      </c>
      <c r="E49" s="34"/>
      <c r="F49" s="35"/>
      <c r="G49" s="32"/>
      <c r="H49" s="36"/>
      <c r="I49" s="37" t="str">
        <f>IF(B49="","",Names!$G$21)</f>
        <v/>
      </c>
      <c r="J49" s="37" t="str">
        <f>IF(B49="","",Names!$H$21)</f>
        <v/>
      </c>
      <c r="K49" s="41" t="str">
        <f>IFERROR(VLOOKUP(B49,Names!$B$1:$E$253,3,FALSE),"")</f>
        <v/>
      </c>
    </row>
    <row r="50" spans="1:11" x14ac:dyDescent="0.35">
      <c r="A50" s="30"/>
      <c r="B50" s="31"/>
      <c r="C50" s="32" t="str">
        <f>IFERROR(VLOOKUP(B50,Names!$B$1:$E$253,2,FALSE),"")</f>
        <v/>
      </c>
      <c r="D50" s="33" t="str">
        <f>IFERROR(VLOOKUP(B50,Names!$B$1:$E$253,4,FALSE),"")</f>
        <v/>
      </c>
      <c r="E50" s="34"/>
      <c r="F50" s="35"/>
      <c r="G50" s="32"/>
      <c r="H50" s="36"/>
      <c r="I50" s="37" t="str">
        <f>IF(B50="","",Names!$G$21)</f>
        <v/>
      </c>
      <c r="J50" s="37" t="str">
        <f>IF(B50="","",Names!$H$21)</f>
        <v/>
      </c>
      <c r="K50" s="41" t="str">
        <f>IFERROR(VLOOKUP(B50,Names!$B$1:$E$253,3,FALSE),"")</f>
        <v/>
      </c>
    </row>
    <row r="51" spans="1:11" x14ac:dyDescent="0.35">
      <c r="A51" s="30"/>
      <c r="B51" s="31"/>
      <c r="C51" s="32" t="str">
        <f>IFERROR(VLOOKUP(B51,Names!$B$1:$E$253,2,FALSE),"")</f>
        <v/>
      </c>
      <c r="D51" s="33" t="str">
        <f>IFERROR(VLOOKUP(B51,Names!$B$1:$E$253,4,FALSE),"")</f>
        <v/>
      </c>
      <c r="E51" s="34"/>
      <c r="F51" s="35"/>
      <c r="G51" s="32"/>
      <c r="H51" s="36"/>
      <c r="I51" s="37" t="str">
        <f>IF(B51="","",Names!$G$21)</f>
        <v/>
      </c>
      <c r="J51" s="37" t="str">
        <f>IF(B51="","",Names!$H$21)</f>
        <v/>
      </c>
      <c r="K51" s="41" t="str">
        <f>IFERROR(VLOOKUP(B51,Names!$B$1:$E$253,3,FALSE),"")</f>
        <v/>
      </c>
    </row>
    <row r="52" spans="1:11" x14ac:dyDescent="0.35">
      <c r="A52" s="30"/>
      <c r="B52" s="31"/>
      <c r="C52" s="32" t="str">
        <f>IFERROR(VLOOKUP(B52,Names!$B$1:$E$253,2,FALSE),"")</f>
        <v/>
      </c>
      <c r="D52" s="33" t="str">
        <f>IFERROR(VLOOKUP(B52,Names!$B$1:$E$253,4,FALSE),"")</f>
        <v/>
      </c>
      <c r="E52" s="34"/>
      <c r="F52" s="35"/>
      <c r="G52" s="32"/>
      <c r="H52" s="36"/>
      <c r="I52" s="37" t="str">
        <f>IF(B52="","",Names!$G$21)</f>
        <v/>
      </c>
      <c r="J52" s="37" t="str">
        <f>IF(B52="","",Names!$H$21)</f>
        <v/>
      </c>
      <c r="K52" s="41" t="str">
        <f>IFERROR(VLOOKUP(B52,Names!$B$1:$E$253,3,FALSE),"")</f>
        <v/>
      </c>
    </row>
    <row r="53" spans="1:11" x14ac:dyDescent="0.35">
      <c r="A53" s="30"/>
      <c r="B53" s="31"/>
      <c r="C53" s="32" t="str">
        <f>IFERROR(VLOOKUP(B53,Names!$B$1:$E$253,2,FALSE),"")</f>
        <v/>
      </c>
      <c r="D53" s="33" t="str">
        <f>IFERROR(VLOOKUP(B53,Names!$B$1:$E$253,4,FALSE),"")</f>
        <v/>
      </c>
      <c r="E53" s="34"/>
      <c r="F53" s="35"/>
      <c r="G53" s="32"/>
      <c r="H53" s="36"/>
      <c r="I53" s="37" t="str">
        <f>IF(B53="","",Names!$G$21)</f>
        <v/>
      </c>
      <c r="J53" s="37" t="str">
        <f>IF(B53="","",Names!$H$21)</f>
        <v/>
      </c>
      <c r="K53" s="41" t="str">
        <f>IFERROR(VLOOKUP(B53,Names!$B$1:$E$253,3,FALSE),"")</f>
        <v/>
      </c>
    </row>
    <row r="54" spans="1:11" x14ac:dyDescent="0.35">
      <c r="A54" s="30"/>
      <c r="B54" s="31"/>
      <c r="C54" s="32" t="str">
        <f>IFERROR(VLOOKUP(B54,Names!$B$1:$E$253,2,FALSE),"")</f>
        <v/>
      </c>
      <c r="D54" s="33" t="str">
        <f>IFERROR(VLOOKUP(B54,Names!$B$1:$E$253,4,FALSE),"")</f>
        <v/>
      </c>
      <c r="E54" s="34"/>
      <c r="F54" s="35"/>
      <c r="G54" s="32"/>
      <c r="H54" s="36"/>
      <c r="I54" s="37" t="str">
        <f>IF(B54="","",Names!$G$21)</f>
        <v/>
      </c>
      <c r="J54" s="37" t="str">
        <f>IF(B54="","",Names!$H$21)</f>
        <v/>
      </c>
      <c r="K54" s="41" t="str">
        <f>IFERROR(VLOOKUP(B54,Names!$B$1:$E$253,3,FALSE),"")</f>
        <v/>
      </c>
    </row>
    <row r="55" spans="1:11" x14ac:dyDescent="0.35">
      <c r="A55" s="30"/>
      <c r="B55" s="31"/>
      <c r="C55" s="32" t="str">
        <f>IFERROR(VLOOKUP(B55,Names!$B$1:$E$253,2,FALSE),"")</f>
        <v/>
      </c>
      <c r="D55" s="33" t="str">
        <f>IFERROR(VLOOKUP(B55,Names!$B$1:$E$253,4,FALSE),"")</f>
        <v/>
      </c>
      <c r="E55" s="34"/>
      <c r="F55" s="35"/>
      <c r="G55" s="32"/>
      <c r="H55" s="36"/>
      <c r="I55" s="37" t="str">
        <f>IF(B55="","",Names!$G$21)</f>
        <v/>
      </c>
      <c r="J55" s="37" t="str">
        <f>IF(B55="","",Names!$H$21)</f>
        <v/>
      </c>
      <c r="K55" s="41" t="str">
        <f>IFERROR(VLOOKUP(B55,Names!$B$1:$E$253,3,FALSE),"")</f>
        <v/>
      </c>
    </row>
    <row r="56" spans="1:11" x14ac:dyDescent="0.35">
      <c r="A56" s="30"/>
      <c r="B56" s="31"/>
      <c r="C56" s="32" t="str">
        <f>IFERROR(VLOOKUP(B56,Names!$B$1:$E$253,2,FALSE),"")</f>
        <v/>
      </c>
      <c r="D56" s="33" t="str">
        <f>IFERROR(VLOOKUP(B56,Names!$B$1:$E$253,4,FALSE),"")</f>
        <v/>
      </c>
      <c r="E56" s="34"/>
      <c r="F56" s="35"/>
      <c r="G56" s="32"/>
      <c r="H56" s="36"/>
      <c r="I56" s="37" t="str">
        <f>IF(B56="","",Names!$G$21)</f>
        <v/>
      </c>
      <c r="J56" s="37" t="str">
        <f>IF(B56="","",Names!$H$21)</f>
        <v/>
      </c>
      <c r="K56" s="41" t="str">
        <f>IFERROR(VLOOKUP(B56,Names!$B$1:$E$253,3,FALSE),"")</f>
        <v/>
      </c>
    </row>
    <row r="57" spans="1:11" x14ac:dyDescent="0.35">
      <c r="A57" s="30"/>
      <c r="B57" s="31"/>
      <c r="C57" s="32" t="str">
        <f>IFERROR(VLOOKUP(B57,Names!$B$1:$E$253,2,FALSE),"")</f>
        <v/>
      </c>
      <c r="D57" s="33" t="str">
        <f>IFERROR(VLOOKUP(B57,Names!$B$1:$E$253,4,FALSE),"")</f>
        <v/>
      </c>
      <c r="E57" s="34"/>
      <c r="F57" s="35"/>
      <c r="G57" s="32"/>
      <c r="H57" s="36"/>
      <c r="I57" s="37" t="str">
        <f>IF(B57="","",Names!$G$21)</f>
        <v/>
      </c>
      <c r="J57" s="37" t="str">
        <f>IF(B57="","",Names!$H$21)</f>
        <v/>
      </c>
      <c r="K57" s="41" t="str">
        <f>IFERROR(VLOOKUP(B57,Names!$B$1:$E$253,3,FALSE),"")</f>
        <v/>
      </c>
    </row>
    <row r="58" spans="1:11" x14ac:dyDescent="0.35">
      <c r="A58" s="30"/>
      <c r="B58" s="31"/>
      <c r="C58" s="32" t="str">
        <f>IFERROR(VLOOKUP(B58,Names!$B$1:$E$253,2,FALSE),"")</f>
        <v/>
      </c>
      <c r="D58" s="33" t="str">
        <f>IFERROR(VLOOKUP(B58,Names!$B$1:$E$253,4,FALSE),"")</f>
        <v/>
      </c>
      <c r="E58" s="34"/>
      <c r="F58" s="35"/>
      <c r="G58" s="32"/>
      <c r="H58" s="36"/>
      <c r="I58" s="37" t="str">
        <f>IF(B58="","",Names!$G$21)</f>
        <v/>
      </c>
      <c r="J58" s="37" t="str">
        <f>IF(B58="","",Names!$H$21)</f>
        <v/>
      </c>
      <c r="K58" s="41" t="str">
        <f>IFERROR(VLOOKUP(B58,Names!$B$1:$E$253,3,FALSE),"")</f>
        <v/>
      </c>
    </row>
    <row r="59" spans="1:11" x14ac:dyDescent="0.35">
      <c r="A59" s="30"/>
      <c r="B59" s="31"/>
      <c r="C59" s="32" t="str">
        <f>IFERROR(VLOOKUP(B59,Names!$B$1:$E$253,2,FALSE),"")</f>
        <v/>
      </c>
      <c r="D59" s="33" t="str">
        <f>IFERROR(VLOOKUP(B59,Names!$B$1:$E$253,4,FALSE),"")</f>
        <v/>
      </c>
      <c r="E59" s="34"/>
      <c r="F59" s="35"/>
      <c r="G59" s="32"/>
      <c r="H59" s="36"/>
      <c r="I59" s="37" t="str">
        <f>IF(B59="","",Names!$G$21)</f>
        <v/>
      </c>
      <c r="J59" s="37" t="str">
        <f>IF(B59="","",Names!$H$21)</f>
        <v/>
      </c>
      <c r="K59" s="41" t="str">
        <f>IFERROR(VLOOKUP(B59,Names!$B$1:$E$253,3,FALSE),"")</f>
        <v/>
      </c>
    </row>
    <row r="60" spans="1:11" x14ac:dyDescent="0.35">
      <c r="A60" s="30"/>
      <c r="B60" s="31"/>
      <c r="C60" s="32" t="str">
        <f>IFERROR(VLOOKUP(B60,Names!$B$1:$E$253,2,FALSE),"")</f>
        <v/>
      </c>
      <c r="D60" s="33" t="str">
        <f>IFERROR(VLOOKUP(B60,Names!$B$1:$E$253,4,FALSE),"")</f>
        <v/>
      </c>
      <c r="E60" s="34"/>
      <c r="F60" s="35"/>
      <c r="G60" s="32"/>
      <c r="H60" s="36"/>
      <c r="I60" s="37" t="str">
        <f>IF(B60="","",Names!$G$21)</f>
        <v/>
      </c>
      <c r="J60" s="37" t="str">
        <f>IF(B60="","",Names!$H$21)</f>
        <v/>
      </c>
      <c r="K60" s="41" t="str">
        <f>IFERROR(VLOOKUP(B60,Names!$B$1:$E$253,3,FALSE),"")</f>
        <v/>
      </c>
    </row>
    <row r="61" spans="1:11" x14ac:dyDescent="0.35">
      <c r="A61" s="30"/>
      <c r="B61" s="31"/>
      <c r="C61" s="32" t="str">
        <f>IFERROR(VLOOKUP(B61,Names!$B$1:$E$253,2,FALSE),"")</f>
        <v/>
      </c>
      <c r="D61" s="33" t="str">
        <f>IFERROR(VLOOKUP(B61,Names!$B$1:$E$253,4,FALSE),"")</f>
        <v/>
      </c>
      <c r="E61" s="34"/>
      <c r="F61" s="35"/>
      <c r="G61" s="32"/>
      <c r="H61" s="36"/>
      <c r="I61" s="37" t="str">
        <f>IF(B61="","",Names!$G$21)</f>
        <v/>
      </c>
      <c r="J61" s="37" t="str">
        <f>IF(B61="","",Names!$H$21)</f>
        <v/>
      </c>
      <c r="K61" s="41" t="str">
        <f>IFERROR(VLOOKUP(B61,Names!$B$1:$E$253,3,FALSE),"")</f>
        <v/>
      </c>
    </row>
    <row r="62" spans="1:11" x14ac:dyDescent="0.35">
      <c r="A62" s="30"/>
      <c r="B62" s="31"/>
      <c r="C62" s="32" t="str">
        <f>IFERROR(VLOOKUP(B62,Names!$B$1:$E$253,2,FALSE),"")</f>
        <v/>
      </c>
      <c r="D62" s="33" t="str">
        <f>IFERROR(VLOOKUP(B62,Names!$B$1:$E$253,4,FALSE),"")</f>
        <v/>
      </c>
      <c r="E62" s="34"/>
      <c r="F62" s="35"/>
      <c r="G62" s="32"/>
      <c r="H62" s="36"/>
      <c r="I62" s="37" t="str">
        <f>IF(B62="","",Names!$G$21)</f>
        <v/>
      </c>
      <c r="J62" s="37" t="str">
        <f>IF(B62="","",Names!$H$21)</f>
        <v/>
      </c>
      <c r="K62" s="41" t="str">
        <f>IFERROR(VLOOKUP(B62,Names!$B$1:$E$253,3,FALSE),"")</f>
        <v/>
      </c>
    </row>
    <row r="63" spans="1:11" x14ac:dyDescent="0.35">
      <c r="A63" s="30"/>
      <c r="B63" s="31"/>
      <c r="C63" s="32" t="str">
        <f>IFERROR(VLOOKUP(B63,Names!$B$1:$E$253,2,FALSE),"")</f>
        <v/>
      </c>
      <c r="D63" s="33" t="str">
        <f>IFERROR(VLOOKUP(B63,Names!$B$1:$E$253,4,FALSE),"")</f>
        <v/>
      </c>
      <c r="E63" s="34"/>
      <c r="F63" s="35"/>
      <c r="G63" s="32"/>
      <c r="H63" s="36"/>
      <c r="I63" s="37" t="str">
        <f>IF(B63="","",Names!$G$21)</f>
        <v/>
      </c>
      <c r="J63" s="37" t="str">
        <f>IF(B63="","",Names!$H$21)</f>
        <v/>
      </c>
      <c r="K63" s="41" t="str">
        <f>IFERROR(VLOOKUP(B63,Names!$B$1:$E$253,3,FALSE),"")</f>
        <v/>
      </c>
    </row>
    <row r="64" spans="1:11" x14ac:dyDescent="0.35">
      <c r="A64" s="30"/>
      <c r="B64" s="31"/>
      <c r="C64" s="32" t="str">
        <f>IFERROR(VLOOKUP(B64,Names!$B$1:$E$253,2,FALSE),"")</f>
        <v/>
      </c>
      <c r="D64" s="33" t="str">
        <f>IFERROR(VLOOKUP(B64,Names!$B$1:$E$253,4,FALSE),"")</f>
        <v/>
      </c>
      <c r="E64" s="34"/>
      <c r="F64" s="35"/>
      <c r="G64" s="32"/>
      <c r="H64" s="36"/>
      <c r="I64" s="37" t="str">
        <f>IF(B64="","",Names!$G$21)</f>
        <v/>
      </c>
      <c r="J64" s="37" t="str">
        <f>IF(B64="","",Names!$H$21)</f>
        <v/>
      </c>
      <c r="K64" s="41" t="str">
        <f>IFERROR(VLOOKUP(B64,Names!$B$1:$E$253,3,FALSE),"")</f>
        <v/>
      </c>
    </row>
    <row r="65" spans="1:11" x14ac:dyDescent="0.35">
      <c r="A65" s="30"/>
      <c r="B65" s="31"/>
      <c r="C65" s="32" t="str">
        <f>IFERROR(VLOOKUP(B65,Names!$B$1:$E$253,2,FALSE),"")</f>
        <v/>
      </c>
      <c r="D65" s="33" t="str">
        <f>IFERROR(VLOOKUP(B65,Names!$B$1:$E$253,4,FALSE),"")</f>
        <v/>
      </c>
      <c r="E65" s="34"/>
      <c r="F65" s="35"/>
      <c r="G65" s="32"/>
      <c r="H65" s="36"/>
      <c r="I65" s="37" t="str">
        <f>IF(B65="","",Names!$G$21)</f>
        <v/>
      </c>
      <c r="J65" s="37" t="str">
        <f>IF(B65="","",Names!$H$21)</f>
        <v/>
      </c>
      <c r="K65" s="41" t="str">
        <f>IFERROR(VLOOKUP(B65,Names!$B$1:$E$253,3,FALSE),"")</f>
        <v/>
      </c>
    </row>
    <row r="66" spans="1:11" x14ac:dyDescent="0.35">
      <c r="A66" s="30"/>
      <c r="B66" s="31"/>
      <c r="C66" s="32" t="str">
        <f>IFERROR(VLOOKUP(B66,Names!$B$1:$E$253,2,FALSE),"")</f>
        <v/>
      </c>
      <c r="D66" s="33" t="str">
        <f>IFERROR(VLOOKUP(B66,Names!$B$1:$E$253,4,FALSE),"")</f>
        <v/>
      </c>
      <c r="E66" s="34"/>
      <c r="F66" s="35"/>
      <c r="G66" s="32"/>
      <c r="H66" s="36"/>
      <c r="I66" s="37" t="str">
        <f>IF(B66="","",Names!$G$21)</f>
        <v/>
      </c>
      <c r="J66" s="37" t="str">
        <f>IF(B66="","",Names!$H$21)</f>
        <v/>
      </c>
      <c r="K66" s="41" t="str">
        <f>IFERROR(VLOOKUP(B66,Names!$B$1:$E$253,3,FALSE),"")</f>
        <v/>
      </c>
    </row>
    <row r="67" spans="1:11" x14ac:dyDescent="0.35">
      <c r="A67" s="30"/>
      <c r="B67" s="31"/>
      <c r="C67" s="32" t="str">
        <f>IFERROR(VLOOKUP(B67,Names!$B$1:$E$253,2,FALSE),"")</f>
        <v/>
      </c>
      <c r="D67" s="33" t="str">
        <f>IFERROR(VLOOKUP(B67,Names!$B$1:$E$253,4,FALSE),"")</f>
        <v/>
      </c>
      <c r="E67" s="34"/>
      <c r="F67" s="35"/>
      <c r="G67" s="32"/>
      <c r="H67" s="36"/>
      <c r="I67" s="37" t="str">
        <f>IF(B67="","",Names!$G$21)</f>
        <v/>
      </c>
      <c r="J67" s="37" t="str">
        <f>IF(B67="","",Names!$H$21)</f>
        <v/>
      </c>
      <c r="K67" s="41" t="str">
        <f>IFERROR(VLOOKUP(B67,Names!$B$1:$E$253,3,FALSE),"")</f>
        <v/>
      </c>
    </row>
    <row r="68" spans="1:11" x14ac:dyDescent="0.35">
      <c r="A68" s="30"/>
      <c r="B68" s="31"/>
      <c r="C68" s="32" t="str">
        <f>IFERROR(VLOOKUP(B68,Names!$B$1:$E$253,2,FALSE),"")</f>
        <v/>
      </c>
      <c r="D68" s="33" t="str">
        <f>IFERROR(VLOOKUP(B68,Names!$B$1:$E$253,4,FALSE),"")</f>
        <v/>
      </c>
      <c r="E68" s="34"/>
      <c r="F68" s="35"/>
      <c r="G68" s="32"/>
      <c r="H68" s="36"/>
      <c r="I68" s="37" t="str">
        <f>IF(B68="","",Names!$G$21)</f>
        <v/>
      </c>
      <c r="J68" s="37" t="str">
        <f>IF(B68="","",Names!$H$21)</f>
        <v/>
      </c>
      <c r="K68" s="41" t="str">
        <f>IFERROR(VLOOKUP(B68,Names!$B$1:$E$253,3,FALSE),"")</f>
        <v/>
      </c>
    </row>
    <row r="69" spans="1:11" x14ac:dyDescent="0.35">
      <c r="A69" s="30"/>
      <c r="B69" s="31"/>
      <c r="C69" s="32" t="str">
        <f>IFERROR(VLOOKUP(B69,Names!$B$1:$E$253,2,FALSE),"")</f>
        <v/>
      </c>
      <c r="D69" s="33" t="str">
        <f>IFERROR(VLOOKUP(B69,Names!$B$1:$E$253,4,FALSE),"")</f>
        <v/>
      </c>
      <c r="E69" s="34"/>
      <c r="F69" s="35"/>
      <c r="G69" s="32"/>
      <c r="H69" s="36"/>
      <c r="I69" s="37" t="str">
        <f>IF(B69="","",Names!$G$21)</f>
        <v/>
      </c>
      <c r="J69" s="37" t="str">
        <f>IF(B69="","",Names!$H$21)</f>
        <v/>
      </c>
      <c r="K69" s="41" t="str">
        <f>IFERROR(VLOOKUP(B69,Names!$B$1:$E$253,3,FALSE),"")</f>
        <v/>
      </c>
    </row>
    <row r="70" spans="1:11" x14ac:dyDescent="0.35">
      <c r="A70" s="30"/>
      <c r="B70" s="31"/>
      <c r="C70" s="32" t="str">
        <f>IFERROR(VLOOKUP(B70,Names!$B$1:$E$253,2,FALSE),"")</f>
        <v/>
      </c>
      <c r="D70" s="33" t="str">
        <f>IFERROR(VLOOKUP(B70,Names!$B$1:$E$253,4,FALSE),"")</f>
        <v/>
      </c>
      <c r="E70" s="34"/>
      <c r="F70" s="35"/>
      <c r="G70" s="32"/>
      <c r="H70" s="36"/>
      <c r="I70" s="37" t="str">
        <f>IF(B70="","",Names!$G$21)</f>
        <v/>
      </c>
      <c r="J70" s="37" t="str">
        <f>IF(B70="","",Names!$H$21)</f>
        <v/>
      </c>
      <c r="K70" s="41" t="str">
        <f>IFERROR(VLOOKUP(B70,Names!$B$1:$E$253,3,FALSE),"")</f>
        <v/>
      </c>
    </row>
    <row r="71" spans="1:11" x14ac:dyDescent="0.35">
      <c r="A71" s="30"/>
      <c r="B71" s="31"/>
      <c r="C71" s="32" t="str">
        <f>IFERROR(VLOOKUP(B71,Names!$B$1:$E$253,2,FALSE),"")</f>
        <v/>
      </c>
      <c r="D71" s="33" t="str">
        <f>IFERROR(VLOOKUP(B71,Names!$B$1:$E$253,4,FALSE),"")</f>
        <v/>
      </c>
      <c r="E71" s="34"/>
      <c r="F71" s="35"/>
      <c r="G71" s="32"/>
      <c r="H71" s="36"/>
      <c r="I71" s="37" t="str">
        <f>IF(B71="","",Names!$G$21)</f>
        <v/>
      </c>
      <c r="J71" s="37" t="str">
        <f>IF(B71="","",Names!$H$21)</f>
        <v/>
      </c>
      <c r="K71" s="41" t="str">
        <f>IFERROR(VLOOKUP(B71,Names!$B$1:$E$253,3,FALSE),"")</f>
        <v/>
      </c>
    </row>
    <row r="72" spans="1:11" x14ac:dyDescent="0.35">
      <c r="A72" s="30"/>
      <c r="B72" s="31"/>
      <c r="C72" s="32" t="str">
        <f>IFERROR(VLOOKUP(B72,Names!$B$1:$E$253,2,FALSE),"")</f>
        <v/>
      </c>
      <c r="D72" s="33" t="str">
        <f>IFERROR(VLOOKUP(B72,Names!$B$1:$E$253,4,FALSE),"")</f>
        <v/>
      </c>
      <c r="E72" s="34"/>
      <c r="F72" s="35"/>
      <c r="G72" s="32"/>
      <c r="H72" s="36"/>
      <c r="I72" s="37" t="str">
        <f>IF(B72="","",Names!$G$21)</f>
        <v/>
      </c>
      <c r="J72" s="37" t="str">
        <f>IF(B72="","",Names!$H$21)</f>
        <v/>
      </c>
      <c r="K72" s="41" t="str">
        <f>IFERROR(VLOOKUP(B72,Names!$B$1:$E$253,3,FALSE),"")</f>
        <v/>
      </c>
    </row>
    <row r="73" spans="1:11" x14ac:dyDescent="0.35">
      <c r="A73" s="30"/>
      <c r="B73" s="31"/>
      <c r="C73" s="32" t="str">
        <f>IFERROR(VLOOKUP(B73,Names!$B$1:$E$253,2,FALSE),"")</f>
        <v/>
      </c>
      <c r="D73" s="33" t="str">
        <f>IFERROR(VLOOKUP(B73,Names!$B$1:$E$253,4,FALSE),"")</f>
        <v/>
      </c>
      <c r="E73" s="34"/>
      <c r="F73" s="35"/>
      <c r="G73" s="32"/>
      <c r="H73" s="36"/>
      <c r="I73" s="37" t="str">
        <f>IF(B73="","",Names!$G$21)</f>
        <v/>
      </c>
      <c r="J73" s="37" t="str">
        <f>IF(B73="","",Names!$H$21)</f>
        <v/>
      </c>
      <c r="K73" s="41" t="str">
        <f>IFERROR(VLOOKUP(B73,Names!$B$1:$E$253,3,FALSE),"")</f>
        <v/>
      </c>
    </row>
    <row r="74" spans="1:11" x14ac:dyDescent="0.35">
      <c r="A74" s="30"/>
      <c r="B74" s="31"/>
      <c r="C74" s="32" t="str">
        <f>IFERROR(VLOOKUP(B74,Names!$B$1:$E$253,2,FALSE),"")</f>
        <v/>
      </c>
      <c r="D74" s="33" t="str">
        <f>IFERROR(VLOOKUP(B74,Names!$B$1:$E$253,4,FALSE),"")</f>
        <v/>
      </c>
      <c r="E74" s="34"/>
      <c r="F74" s="35"/>
      <c r="G74" s="32"/>
      <c r="H74" s="36"/>
      <c r="I74" s="37" t="str">
        <f>IF(B74="","",Names!$G$21)</f>
        <v/>
      </c>
      <c r="J74" s="37" t="str">
        <f>IF(B74="","",Names!$H$21)</f>
        <v/>
      </c>
      <c r="K74" s="41" t="str">
        <f>IFERROR(VLOOKUP(B74,Names!$B$1:$E$253,3,FALSE),"")</f>
        <v/>
      </c>
    </row>
    <row r="75" spans="1:11" x14ac:dyDescent="0.35">
      <c r="A75" s="30"/>
      <c r="B75" s="31"/>
      <c r="C75" s="32" t="str">
        <f>IFERROR(VLOOKUP(B75,Names!$B$1:$E$253,2,FALSE),"")</f>
        <v/>
      </c>
      <c r="D75" s="33" t="str">
        <f>IFERROR(VLOOKUP(B75,Names!$B$1:$E$253,4,FALSE),"")</f>
        <v/>
      </c>
      <c r="E75" s="34"/>
      <c r="F75" s="35"/>
      <c r="G75" s="32"/>
      <c r="H75" s="36"/>
      <c r="I75" s="37" t="str">
        <f>IF(B75="","",Names!$G$21)</f>
        <v/>
      </c>
      <c r="J75" s="37" t="str">
        <f>IF(B75="","",Names!$H$21)</f>
        <v/>
      </c>
      <c r="K75" s="41" t="str">
        <f>IFERROR(VLOOKUP(B75,Names!$B$1:$E$253,3,FALSE),"")</f>
        <v/>
      </c>
    </row>
    <row r="76" spans="1:11" x14ac:dyDescent="0.35">
      <c r="A76" s="30"/>
      <c r="B76" s="31"/>
      <c r="C76" s="32" t="str">
        <f>IFERROR(VLOOKUP(B76,Names!$B$1:$E$253,2,FALSE),"")</f>
        <v/>
      </c>
      <c r="D76" s="33" t="str">
        <f>IFERROR(VLOOKUP(B76,Names!$B$1:$E$253,4,FALSE),"")</f>
        <v/>
      </c>
      <c r="E76" s="34"/>
      <c r="F76" s="35"/>
      <c r="G76" s="32"/>
      <c r="H76" s="36"/>
      <c r="I76" s="37" t="str">
        <f>IF(B76="","",Names!$G$21)</f>
        <v/>
      </c>
      <c r="J76" s="37" t="str">
        <f>IF(B76="","",Names!$H$21)</f>
        <v/>
      </c>
      <c r="K76" s="41" t="str">
        <f>IFERROR(VLOOKUP(B76,Names!$B$1:$E$253,3,FALSE),"")</f>
        <v/>
      </c>
    </row>
    <row r="77" spans="1:11" x14ac:dyDescent="0.35">
      <c r="A77" s="30"/>
      <c r="B77" s="31"/>
      <c r="C77" s="32" t="str">
        <f>IFERROR(VLOOKUP(B77,Names!$B$1:$E$253,2,FALSE),"")</f>
        <v/>
      </c>
      <c r="D77" s="33" t="str">
        <f>IFERROR(VLOOKUP(B77,Names!$B$1:$E$253,4,FALSE),"")</f>
        <v/>
      </c>
      <c r="E77" s="34"/>
      <c r="F77" s="35"/>
      <c r="G77" s="32"/>
      <c r="H77" s="36"/>
      <c r="I77" s="37" t="str">
        <f>IF(B77="","",Names!$G$21)</f>
        <v/>
      </c>
      <c r="J77" s="37" t="str">
        <f>IF(B77="","",Names!$H$21)</f>
        <v/>
      </c>
      <c r="K77" s="41" t="str">
        <f>IFERROR(VLOOKUP(B77,Names!$B$1:$E$253,3,FALSE),"")</f>
        <v/>
      </c>
    </row>
    <row r="78" spans="1:11" x14ac:dyDescent="0.35">
      <c r="A78" s="30"/>
      <c r="B78" s="31"/>
      <c r="C78" s="32" t="str">
        <f>IFERROR(VLOOKUP(B78,Names!$B$1:$E$253,2,FALSE),"")</f>
        <v/>
      </c>
      <c r="D78" s="33" t="str">
        <f>IFERROR(VLOOKUP(B78,Names!$B$1:$E$253,4,FALSE),"")</f>
        <v/>
      </c>
      <c r="E78" s="34"/>
      <c r="F78" s="35"/>
      <c r="G78" s="32"/>
      <c r="H78" s="36"/>
      <c r="I78" s="37" t="str">
        <f>IF(B78="","",Names!$G$21)</f>
        <v/>
      </c>
      <c r="J78" s="37" t="str">
        <f>IF(B78="","",Names!$H$21)</f>
        <v/>
      </c>
      <c r="K78" s="41" t="str">
        <f>IFERROR(VLOOKUP(B78,Names!$B$1:$E$253,3,FALSE),"")</f>
        <v/>
      </c>
    </row>
    <row r="79" spans="1:11" x14ac:dyDescent="0.35">
      <c r="A79" s="30"/>
      <c r="B79" s="31"/>
      <c r="C79" s="32" t="str">
        <f>IFERROR(VLOOKUP(B79,Names!$B$1:$E$253,2,FALSE),"")</f>
        <v/>
      </c>
      <c r="D79" s="33" t="str">
        <f>IFERROR(VLOOKUP(B79,Names!$B$1:$E$253,4,FALSE),"")</f>
        <v/>
      </c>
      <c r="E79" s="34"/>
      <c r="F79" s="35"/>
      <c r="G79" s="32"/>
      <c r="H79" s="36"/>
      <c r="I79" s="37" t="str">
        <f>IF(B79="","",Names!$G$21)</f>
        <v/>
      </c>
      <c r="J79" s="37" t="str">
        <f>IF(B79="","",Names!$H$21)</f>
        <v/>
      </c>
      <c r="K79" s="41" t="str">
        <f>IFERROR(VLOOKUP(B79,Names!$B$1:$E$253,3,FALSE),"")</f>
        <v/>
      </c>
    </row>
    <row r="80" spans="1:11" x14ac:dyDescent="0.35">
      <c r="A80" s="30"/>
      <c r="B80" s="31"/>
      <c r="C80" s="32" t="str">
        <f>IFERROR(VLOOKUP(B80,Names!$B$1:$E$253,2,FALSE),"")</f>
        <v/>
      </c>
      <c r="D80" s="33" t="str">
        <f>IFERROR(VLOOKUP(B80,Names!$B$1:$E$253,4,FALSE),"")</f>
        <v/>
      </c>
      <c r="E80" s="34"/>
      <c r="F80" s="35"/>
      <c r="G80" s="32"/>
      <c r="H80" s="36"/>
      <c r="I80" s="37" t="str">
        <f>IF(B80="","",Names!$G$21)</f>
        <v/>
      </c>
      <c r="J80" s="37" t="str">
        <f>IF(B80="","",Names!$H$21)</f>
        <v/>
      </c>
      <c r="K80" s="41" t="str">
        <f>IFERROR(VLOOKUP(B80,Names!$B$1:$E$253,3,FALSE),"")</f>
        <v/>
      </c>
    </row>
    <row r="81" spans="1:11" x14ac:dyDescent="0.35">
      <c r="A81" s="30"/>
      <c r="B81" s="31"/>
      <c r="C81" s="32" t="str">
        <f>IFERROR(VLOOKUP(B81,Names!$B$1:$E$253,2,FALSE),"")</f>
        <v/>
      </c>
      <c r="D81" s="33" t="str">
        <f>IFERROR(VLOOKUP(B81,Names!$B$1:$E$253,4,FALSE),"")</f>
        <v/>
      </c>
      <c r="E81" s="34"/>
      <c r="F81" s="35"/>
      <c r="G81" s="32"/>
      <c r="H81" s="36"/>
      <c r="I81" s="37" t="str">
        <f>IF(B81="","",Names!$G$21)</f>
        <v/>
      </c>
      <c r="J81" s="37" t="str">
        <f>IF(B81="","",Names!$H$21)</f>
        <v/>
      </c>
      <c r="K81" s="41" t="str">
        <f>IFERROR(VLOOKUP(B81,Names!$B$1:$E$253,3,FALSE),"")</f>
        <v/>
      </c>
    </row>
    <row r="82" spans="1:11" x14ac:dyDescent="0.35">
      <c r="A82" s="30"/>
      <c r="B82" s="31"/>
      <c r="C82" s="32" t="str">
        <f>IFERROR(VLOOKUP(B82,Names!$B$1:$E$253,2,FALSE),"")</f>
        <v/>
      </c>
      <c r="D82" s="33" t="str">
        <f>IFERROR(VLOOKUP(B82,Names!$B$1:$E$253,4,FALSE),"")</f>
        <v/>
      </c>
      <c r="E82" s="34"/>
      <c r="F82" s="35"/>
      <c r="G82" s="32"/>
      <c r="H82" s="36"/>
      <c r="I82" s="37" t="str">
        <f>IF(B82="","",Names!$G$21)</f>
        <v/>
      </c>
      <c r="J82" s="37" t="str">
        <f>IF(B82="","",Names!$H$21)</f>
        <v/>
      </c>
      <c r="K82" s="41" t="str">
        <f>IFERROR(VLOOKUP(B82,Names!$B$1:$E$253,3,FALSE),"")</f>
        <v/>
      </c>
    </row>
    <row r="83" spans="1:11" x14ac:dyDescent="0.35">
      <c r="A83" s="30"/>
      <c r="B83" s="31"/>
      <c r="C83" s="32" t="str">
        <f>IFERROR(VLOOKUP(B83,Names!$B$1:$E$253,2,FALSE),"")</f>
        <v/>
      </c>
      <c r="D83" s="33" t="str">
        <f>IFERROR(VLOOKUP(B83,Names!$B$1:$E$253,4,FALSE),"")</f>
        <v/>
      </c>
      <c r="E83" s="34"/>
      <c r="F83" s="35"/>
      <c r="G83" s="32"/>
      <c r="H83" s="36"/>
      <c r="I83" s="37" t="str">
        <f>IF(B83="","",Names!$G$21)</f>
        <v/>
      </c>
      <c r="J83" s="37" t="str">
        <f>IF(B83="","",Names!$H$21)</f>
        <v/>
      </c>
      <c r="K83" s="41" t="str">
        <f>IFERROR(VLOOKUP(B83,Names!$B$1:$E$253,3,FALSE),"")</f>
        <v/>
      </c>
    </row>
    <row r="84" spans="1:11" x14ac:dyDescent="0.35">
      <c r="A84" s="30"/>
      <c r="B84" s="31"/>
      <c r="C84" s="32" t="str">
        <f>IFERROR(VLOOKUP(B84,Names!$B$1:$E$253,2,FALSE),"")</f>
        <v/>
      </c>
      <c r="D84" s="33" t="str">
        <f>IFERROR(VLOOKUP(B84,Names!$B$1:$E$253,4,FALSE),"")</f>
        <v/>
      </c>
      <c r="E84" s="34"/>
      <c r="F84" s="35"/>
      <c r="G84" s="32"/>
      <c r="H84" s="36"/>
      <c r="I84" s="37" t="str">
        <f>IF(B84="","",Names!$G$21)</f>
        <v/>
      </c>
      <c r="J84" s="37" t="str">
        <f>IF(B84="","",Names!$H$21)</f>
        <v/>
      </c>
      <c r="K84" s="41" t="str">
        <f>IFERROR(VLOOKUP(B84,Names!$B$1:$E$253,3,FALSE),"")</f>
        <v/>
      </c>
    </row>
    <row r="85" spans="1:11" x14ac:dyDescent="0.35">
      <c r="A85" s="30"/>
      <c r="B85" s="31"/>
      <c r="C85" s="32" t="str">
        <f>IFERROR(VLOOKUP(B85,Names!$B$1:$E$253,2,FALSE),"")</f>
        <v/>
      </c>
      <c r="D85" s="33" t="str">
        <f>IFERROR(VLOOKUP(B85,Names!$B$1:$E$253,4,FALSE),"")</f>
        <v/>
      </c>
      <c r="E85" s="34"/>
      <c r="F85" s="35"/>
      <c r="G85" s="32"/>
      <c r="H85" s="36"/>
      <c r="I85" s="37" t="str">
        <f>IF(B85="","",Names!$G$21)</f>
        <v/>
      </c>
      <c r="J85" s="37" t="str">
        <f>IF(B85="","",Names!$H$21)</f>
        <v/>
      </c>
      <c r="K85" s="41" t="str">
        <f>IFERROR(VLOOKUP(B85,Names!$B$1:$E$253,3,FALSE),"")</f>
        <v/>
      </c>
    </row>
    <row r="86" spans="1:11" x14ac:dyDescent="0.35">
      <c r="A86" s="30"/>
      <c r="B86" s="31"/>
      <c r="C86" s="32" t="str">
        <f>IFERROR(VLOOKUP(B86,Names!$B$1:$E$253,2,FALSE),"")</f>
        <v/>
      </c>
      <c r="D86" s="33" t="str">
        <f>IFERROR(VLOOKUP(B86,Names!$B$1:$E$253,4,FALSE),"")</f>
        <v/>
      </c>
      <c r="E86" s="34"/>
      <c r="F86" s="35"/>
      <c r="G86" s="32"/>
      <c r="H86" s="36"/>
      <c r="I86" s="37" t="str">
        <f>IF(B86="","",Names!$G$21)</f>
        <v/>
      </c>
      <c r="J86" s="37" t="str">
        <f>IF(B86="","",Names!$H$21)</f>
        <v/>
      </c>
      <c r="K86" s="41" t="str">
        <f>IFERROR(VLOOKUP(B86,Names!$B$1:$E$253,3,FALSE),"")</f>
        <v/>
      </c>
    </row>
    <row r="87" spans="1:11" x14ac:dyDescent="0.35">
      <c r="A87" s="30"/>
      <c r="B87" s="31"/>
      <c r="C87" s="32" t="str">
        <f>IFERROR(VLOOKUP(B87,Names!$B$1:$E$253,2,FALSE),"")</f>
        <v/>
      </c>
      <c r="D87" s="33" t="str">
        <f>IFERROR(VLOOKUP(B87,Names!$B$1:$E$253,4,FALSE),"")</f>
        <v/>
      </c>
      <c r="E87" s="34"/>
      <c r="F87" s="35"/>
      <c r="G87" s="32"/>
      <c r="H87" s="36"/>
      <c r="I87" s="37" t="str">
        <f>IF(B87="","",Names!$G$21)</f>
        <v/>
      </c>
      <c r="J87" s="37" t="str">
        <f>IF(B87="","",Names!$H$21)</f>
        <v/>
      </c>
      <c r="K87" s="41" t="str">
        <f>IFERROR(VLOOKUP(B87,Names!$B$1:$E$253,3,FALSE),"")</f>
        <v/>
      </c>
    </row>
    <row r="88" spans="1:11" x14ac:dyDescent="0.35">
      <c r="A88" s="30"/>
      <c r="B88" s="31"/>
      <c r="C88" s="32" t="str">
        <f>IFERROR(VLOOKUP(B88,Names!$B$1:$E$253,2,FALSE),"")</f>
        <v/>
      </c>
      <c r="D88" s="33" t="str">
        <f>IFERROR(VLOOKUP(B88,Names!$B$1:$E$253,4,FALSE),"")</f>
        <v/>
      </c>
      <c r="E88" s="34"/>
      <c r="F88" s="35"/>
      <c r="G88" s="32"/>
      <c r="H88" s="36"/>
      <c r="I88" s="37" t="str">
        <f>IF(B88="","",Names!$G$21)</f>
        <v/>
      </c>
      <c r="J88" s="37" t="str">
        <f>IF(B88="","",Names!$H$21)</f>
        <v/>
      </c>
      <c r="K88" s="41" t="str">
        <f>IFERROR(VLOOKUP(B88,Names!$B$1:$E$253,3,FALSE),"")</f>
        <v/>
      </c>
    </row>
    <row r="89" spans="1:11" x14ac:dyDescent="0.35">
      <c r="A89" s="30"/>
      <c r="B89" s="31"/>
      <c r="C89" s="32" t="str">
        <f>IFERROR(VLOOKUP(B89,Names!$B$1:$E$253,2,FALSE),"")</f>
        <v/>
      </c>
      <c r="D89" s="33" t="str">
        <f>IFERROR(VLOOKUP(B89,Names!$B$1:$E$253,4,FALSE),"")</f>
        <v/>
      </c>
      <c r="E89" s="34"/>
      <c r="F89" s="35"/>
      <c r="G89" s="32"/>
      <c r="H89" s="36"/>
      <c r="I89" s="37" t="str">
        <f>IF(B89="","",Names!$G$21)</f>
        <v/>
      </c>
      <c r="J89" s="37" t="str">
        <f>IF(B89="","",Names!$H$21)</f>
        <v/>
      </c>
      <c r="K89" s="41" t="str">
        <f>IFERROR(VLOOKUP(B89,Names!$B$1:$E$253,3,FALSE),"")</f>
        <v/>
      </c>
    </row>
    <row r="90" spans="1:11" x14ac:dyDescent="0.35">
      <c r="A90" s="30"/>
      <c r="B90" s="31"/>
      <c r="C90" s="32" t="str">
        <f>IFERROR(VLOOKUP(B90,Names!$B$1:$E$253,2,FALSE),"")</f>
        <v/>
      </c>
      <c r="D90" s="33" t="str">
        <f>IFERROR(VLOOKUP(B90,Names!$B$1:$E$253,4,FALSE),"")</f>
        <v/>
      </c>
      <c r="E90" s="34"/>
      <c r="F90" s="35"/>
      <c r="G90" s="32"/>
      <c r="H90" s="36"/>
      <c r="I90" s="37" t="str">
        <f>IF(B90="","",Names!$G$21)</f>
        <v/>
      </c>
      <c r="J90" s="37" t="str">
        <f>IF(B90="","",Names!$H$21)</f>
        <v/>
      </c>
      <c r="K90" s="41" t="str">
        <f>IFERROR(VLOOKUP(B90,Names!$B$1:$E$253,3,FALSE),"")</f>
        <v/>
      </c>
    </row>
    <row r="91" spans="1:11" x14ac:dyDescent="0.35">
      <c r="A91" s="30"/>
      <c r="B91" s="31"/>
      <c r="C91" s="32" t="str">
        <f>IFERROR(VLOOKUP(B91,Names!$B$1:$E$253,2,FALSE),"")</f>
        <v/>
      </c>
      <c r="D91" s="33" t="str">
        <f>IFERROR(VLOOKUP(B91,Names!$B$1:$E$253,4,FALSE),"")</f>
        <v/>
      </c>
      <c r="E91" s="34"/>
      <c r="F91" s="35"/>
      <c r="G91" s="32"/>
      <c r="H91" s="36"/>
      <c r="I91" s="37" t="str">
        <f>IF(B91="","",Names!$G$21)</f>
        <v/>
      </c>
      <c r="J91" s="37" t="str">
        <f>IF(B91="","",Names!$H$21)</f>
        <v/>
      </c>
      <c r="K91" s="41" t="str">
        <f>IFERROR(VLOOKUP(B91,Names!$B$1:$E$253,3,FALSE),"")</f>
        <v/>
      </c>
    </row>
    <row r="92" spans="1:11" x14ac:dyDescent="0.35">
      <c r="A92" s="30"/>
      <c r="B92" s="31"/>
      <c r="C92" s="32" t="str">
        <f>IFERROR(VLOOKUP(B92,Names!$B$1:$E$253,2,FALSE),"")</f>
        <v/>
      </c>
      <c r="D92" s="33" t="str">
        <f>IFERROR(VLOOKUP(B92,Names!$B$1:$E$253,4,FALSE),"")</f>
        <v/>
      </c>
      <c r="E92" s="34"/>
      <c r="F92" s="35"/>
      <c r="G92" s="32"/>
      <c r="H92" s="36"/>
      <c r="I92" s="37" t="str">
        <f>IF(B92="","",Names!$G$21)</f>
        <v/>
      </c>
      <c r="J92" s="37" t="str">
        <f>IF(B92="","",Names!$H$21)</f>
        <v/>
      </c>
      <c r="K92" s="41" t="str">
        <f>IFERROR(VLOOKUP(B92,Names!$B$1:$E$253,3,FALSE),"")</f>
        <v/>
      </c>
    </row>
    <row r="93" spans="1:11" x14ac:dyDescent="0.35">
      <c r="A93" s="30"/>
      <c r="B93" s="31"/>
      <c r="C93" s="32" t="str">
        <f>IFERROR(VLOOKUP(B93,Names!$B$1:$E$253,2,FALSE),"")</f>
        <v/>
      </c>
      <c r="D93" s="33" t="str">
        <f>IFERROR(VLOOKUP(B93,Names!$B$1:$E$253,4,FALSE),"")</f>
        <v/>
      </c>
      <c r="E93" s="34"/>
      <c r="F93" s="35"/>
      <c r="G93" s="32"/>
      <c r="H93" s="36"/>
      <c r="I93" s="37" t="str">
        <f>IF(B93="","",Names!$G$21)</f>
        <v/>
      </c>
      <c r="J93" s="37" t="str">
        <f>IF(B93="","",Names!$H$21)</f>
        <v/>
      </c>
      <c r="K93" s="41" t="str">
        <f>IFERROR(VLOOKUP(B93,Names!$B$1:$E$253,3,FALSE),"")</f>
        <v/>
      </c>
    </row>
    <row r="94" spans="1:11" x14ac:dyDescent="0.35">
      <c r="A94" s="23"/>
      <c r="B94" s="42"/>
      <c r="C94" s="32" t="str">
        <f>IFERROR(VLOOKUP(B94,Names!$B$1:$E$253,2,FALSE),"")</f>
        <v/>
      </c>
      <c r="D94" s="33" t="str">
        <f>IFERROR(VLOOKUP(B94,Names!$B$1:$E$253,4,FALSE),"")</f>
        <v/>
      </c>
      <c r="E94" s="18"/>
      <c r="F94" s="28"/>
      <c r="G94" s="32"/>
      <c r="H94" s="17"/>
      <c r="I94" s="37" t="str">
        <f>IF(B94="","",Names!$G$21)</f>
        <v/>
      </c>
      <c r="J94" s="37" t="str">
        <f>IF(B94="","",Names!$H$21)</f>
        <v/>
      </c>
      <c r="K94" s="41" t="str">
        <f>IFERROR(VLOOKUP(B94,Names!$B$1:$E$253,3,FALSE),"")</f>
        <v/>
      </c>
    </row>
    <row r="95" spans="1:11" x14ac:dyDescent="0.35">
      <c r="A95" s="23"/>
      <c r="B95" s="42"/>
      <c r="C95" s="32" t="str">
        <f>IFERROR(VLOOKUP(B95,Names!$B$1:$E$253,2,FALSE),"")</f>
        <v/>
      </c>
      <c r="D95" s="33" t="str">
        <f>IFERROR(VLOOKUP(B95,Names!$B$1:$E$253,4,FALSE),"")</f>
        <v/>
      </c>
      <c r="E95" s="18"/>
      <c r="F95" s="28"/>
      <c r="G95" s="32"/>
      <c r="H95" s="17"/>
      <c r="I95" s="37" t="str">
        <f>IF(B95="","",Names!$G$21)</f>
        <v/>
      </c>
      <c r="J95" s="37" t="str">
        <f>IF(B95="","",Names!$H$21)</f>
        <v/>
      </c>
      <c r="K95" s="41" t="str">
        <f>IFERROR(VLOOKUP(B95,Names!$B$1:$E$253,3,FALSE),"")</f>
        <v/>
      </c>
    </row>
    <row r="96" spans="1:11" x14ac:dyDescent="0.35">
      <c r="A96" s="23"/>
      <c r="B96" s="42"/>
      <c r="C96" s="32" t="str">
        <f>IFERROR(VLOOKUP(B96,Names!$B$1:$E$253,2,FALSE),"")</f>
        <v/>
      </c>
      <c r="D96" s="33" t="str">
        <f>IFERROR(VLOOKUP(B96,Names!$B$1:$E$253,4,FALSE),"")</f>
        <v/>
      </c>
      <c r="E96" s="18"/>
      <c r="F96" s="28"/>
      <c r="G96" s="32"/>
      <c r="H96" s="17"/>
      <c r="I96" s="37" t="str">
        <f>IF(B96="","",Names!$G$21)</f>
        <v/>
      </c>
      <c r="J96" s="37" t="str">
        <f>IF(B96="","",Names!$H$21)</f>
        <v/>
      </c>
      <c r="K96" s="41" t="str">
        <f>IFERROR(VLOOKUP(B96,Names!$B$1:$E$253,3,FALSE),"")</f>
        <v/>
      </c>
    </row>
    <row r="97" spans="1:11" x14ac:dyDescent="0.35">
      <c r="A97" s="23"/>
      <c r="B97" s="42"/>
      <c r="C97" s="32" t="str">
        <f>IFERROR(VLOOKUP(B97,Names!$B$1:$E$253,2,FALSE),"")</f>
        <v/>
      </c>
      <c r="D97" s="33" t="str">
        <f>IFERROR(VLOOKUP(B97,Names!$B$1:$E$253,4,FALSE),"")</f>
        <v/>
      </c>
      <c r="E97" s="18"/>
      <c r="F97" s="28"/>
      <c r="G97" s="32"/>
      <c r="H97" s="17"/>
      <c r="I97" s="37" t="str">
        <f>IF(B97="","",Names!$G$21)</f>
        <v/>
      </c>
      <c r="J97" s="37" t="str">
        <f>IF(B97="","",Names!$H$21)</f>
        <v/>
      </c>
      <c r="K97" s="41" t="str">
        <f>IFERROR(VLOOKUP(B97,Names!$B$1:$E$253,3,FALSE),"")</f>
        <v/>
      </c>
    </row>
    <row r="98" spans="1:11" x14ac:dyDescent="0.35">
      <c r="A98" s="23"/>
      <c r="B98" s="42"/>
      <c r="C98" s="32" t="str">
        <f>IFERROR(VLOOKUP(B98,Names!$B$1:$E$253,2,FALSE),"")</f>
        <v/>
      </c>
      <c r="D98" s="33" t="str">
        <f>IFERROR(VLOOKUP(B98,Names!$B$1:$E$253,4,FALSE),"")</f>
        <v/>
      </c>
      <c r="E98" s="18"/>
      <c r="F98" s="28"/>
      <c r="G98" s="32"/>
      <c r="H98" s="17"/>
      <c r="I98" s="37" t="str">
        <f>IF(B98="","",Names!$G$21)</f>
        <v/>
      </c>
      <c r="J98" s="37" t="str">
        <f>IF(B98="","",Names!$H$21)</f>
        <v/>
      </c>
      <c r="K98" s="41" t="str">
        <f>IFERROR(VLOOKUP(B98,Names!$B$1:$E$253,3,FALSE),"")</f>
        <v/>
      </c>
    </row>
    <row r="99" spans="1:11" x14ac:dyDescent="0.35">
      <c r="A99" s="23"/>
      <c r="B99" s="42"/>
      <c r="C99" s="32" t="str">
        <f>IFERROR(VLOOKUP(B99,Names!$B$1:$E$253,2,FALSE),"")</f>
        <v/>
      </c>
      <c r="D99" s="33" t="str">
        <f>IFERROR(VLOOKUP(B99,Names!$B$1:$E$253,4,FALSE),"")</f>
        <v/>
      </c>
      <c r="E99" s="18"/>
      <c r="F99" s="28"/>
      <c r="G99" s="32"/>
      <c r="H99" s="17"/>
      <c r="I99" s="37" t="str">
        <f>IF(B99="","",Names!$G$21)</f>
        <v/>
      </c>
      <c r="J99" s="37" t="str">
        <f>IF(B99="","",Names!$H$21)</f>
        <v/>
      </c>
      <c r="K99" s="41" t="str">
        <f>IFERROR(VLOOKUP(B99,Names!$B$1:$E$253,3,FALSE),"")</f>
        <v/>
      </c>
    </row>
    <row r="100" spans="1:11" x14ac:dyDescent="0.35">
      <c r="A100" s="23"/>
      <c r="B100" s="42"/>
      <c r="C100" s="32" t="str">
        <f>IFERROR(VLOOKUP(B100,Names!$B$1:$E$253,2,FALSE),"")</f>
        <v/>
      </c>
      <c r="D100" s="33" t="str">
        <f>IFERROR(VLOOKUP(B100,Names!$B$1:$E$253,4,FALSE),"")</f>
        <v/>
      </c>
      <c r="E100" s="18"/>
      <c r="F100" s="28"/>
      <c r="G100" s="32"/>
      <c r="H100" s="17"/>
      <c r="I100" s="37" t="str">
        <f>IF(B100="","",Names!$G$21)</f>
        <v/>
      </c>
      <c r="J100" s="37" t="str">
        <f>IF(B100="","",Names!$H$21)</f>
        <v/>
      </c>
      <c r="K100" s="41" t="str">
        <f>IFERROR(VLOOKUP(B100,Names!$B$1:$E$253,3,FALSE),"")</f>
        <v/>
      </c>
    </row>
    <row r="101" spans="1:11" x14ac:dyDescent="0.35">
      <c r="A101" s="23"/>
      <c r="B101" s="42"/>
      <c r="C101" s="32" t="str">
        <f>IFERROR(VLOOKUP(B101,Names!$B$1:$E$253,2,FALSE),"")</f>
        <v/>
      </c>
      <c r="D101" s="33" t="str">
        <f>IFERROR(VLOOKUP(B101,Names!$B$1:$E$253,4,FALSE),"")</f>
        <v/>
      </c>
      <c r="E101" s="18"/>
      <c r="F101" s="28"/>
      <c r="G101" s="32"/>
      <c r="H101" s="17"/>
      <c r="I101" s="37" t="str">
        <f>IF(B101="","",Names!$G$21)</f>
        <v/>
      </c>
      <c r="J101" s="37" t="str">
        <f>IF(B101="","",Names!$H$21)</f>
        <v/>
      </c>
      <c r="K101" s="41" t="str">
        <f>IFERROR(VLOOKUP(B101,Names!$B$1:$E$253,3,FALSE),"")</f>
        <v/>
      </c>
    </row>
    <row r="102" spans="1:11" x14ac:dyDescent="0.35">
      <c r="A102" s="23"/>
      <c r="B102" s="42"/>
      <c r="C102" s="32" t="str">
        <f>IFERROR(VLOOKUP(B102,Names!$B$1:$E$253,2,FALSE),"")</f>
        <v/>
      </c>
      <c r="D102" s="33" t="str">
        <f>IFERROR(VLOOKUP(B102,Names!$B$1:$E$253,4,FALSE),"")</f>
        <v/>
      </c>
      <c r="E102" s="18"/>
      <c r="F102" s="28"/>
      <c r="G102" s="32"/>
      <c r="H102" s="17"/>
      <c r="I102" s="37" t="str">
        <f>IF(B102="","",Names!$G$21)</f>
        <v/>
      </c>
      <c r="J102" s="37" t="str">
        <f>IF(B102="","",Names!$H$21)</f>
        <v/>
      </c>
      <c r="K102" s="41" t="str">
        <f>IFERROR(VLOOKUP(B102,Names!$B$1:$E$253,3,FALSE),"")</f>
        <v/>
      </c>
    </row>
    <row r="103" spans="1:11" x14ac:dyDescent="0.35">
      <c r="A103" s="23"/>
      <c r="B103" s="42"/>
      <c r="C103" s="32" t="str">
        <f>IFERROR(VLOOKUP(B103,Names!$B$1:$E$253,2,FALSE),"")</f>
        <v/>
      </c>
      <c r="D103" s="33" t="str">
        <f>IFERROR(VLOOKUP(B103,Names!$B$1:$E$253,4,FALSE),"")</f>
        <v/>
      </c>
      <c r="E103" s="18"/>
      <c r="F103" s="28"/>
      <c r="G103" s="32"/>
      <c r="H103" s="17"/>
      <c r="I103" s="37" t="str">
        <f>IF(B103="","",Names!$G$21)</f>
        <v/>
      </c>
      <c r="J103" s="37" t="str">
        <f>IF(B103="","",Names!$H$21)</f>
        <v/>
      </c>
      <c r="K103" s="41" t="str">
        <f>IFERROR(VLOOKUP(B103,Names!$B$1:$E$253,3,FALSE),"")</f>
        <v/>
      </c>
    </row>
    <row r="104" spans="1:11" x14ac:dyDescent="0.35">
      <c r="A104" s="23"/>
      <c r="B104" s="42"/>
      <c r="C104" s="32" t="str">
        <f>IFERROR(VLOOKUP(B104,Names!$B$1:$E$253,2,FALSE),"")</f>
        <v/>
      </c>
      <c r="D104" s="33" t="str">
        <f>IFERROR(VLOOKUP(B104,Names!$B$1:$E$253,4,FALSE),"")</f>
        <v/>
      </c>
      <c r="E104" s="18"/>
      <c r="F104" s="28"/>
      <c r="G104" s="32"/>
      <c r="H104" s="17"/>
      <c r="I104" s="37" t="str">
        <f>IF(B104="","",Names!$G$21)</f>
        <v/>
      </c>
      <c r="J104" s="37" t="str">
        <f>IF(B104="","",Names!$H$21)</f>
        <v/>
      </c>
      <c r="K104" s="41" t="str">
        <f>IFERROR(VLOOKUP(B104,Names!$B$1:$E$253,3,FALSE),"")</f>
        <v/>
      </c>
    </row>
    <row r="105" spans="1:11" x14ac:dyDescent="0.35">
      <c r="A105" s="23"/>
      <c r="B105" s="42"/>
      <c r="C105" s="32" t="str">
        <f>IFERROR(VLOOKUP(B105,Names!$B$1:$E$253,2,FALSE),"")</f>
        <v/>
      </c>
      <c r="D105" s="33" t="str">
        <f>IFERROR(VLOOKUP(B105,Names!$B$1:$E$253,4,FALSE),"")</f>
        <v/>
      </c>
      <c r="E105" s="18"/>
      <c r="F105" s="28"/>
      <c r="G105" s="32"/>
      <c r="H105" s="17"/>
      <c r="I105" s="37" t="str">
        <f>IF(B105="","",Names!$G$21)</f>
        <v/>
      </c>
      <c r="J105" s="37" t="str">
        <f>IF(B105="","",Names!$H$21)</f>
        <v/>
      </c>
      <c r="K105" s="41" t="str">
        <f>IFERROR(VLOOKUP(B105,Names!$B$1:$E$253,3,FALSE),"")</f>
        <v/>
      </c>
    </row>
    <row r="106" spans="1:11" x14ac:dyDescent="0.35">
      <c r="A106" s="23"/>
      <c r="B106" s="42"/>
      <c r="C106" s="32" t="str">
        <f>IFERROR(VLOOKUP(B106,Names!$B$1:$E$253,2,FALSE),"")</f>
        <v/>
      </c>
      <c r="D106" s="33" t="str">
        <f>IFERROR(VLOOKUP(B106,Names!$B$1:$E$253,4,FALSE),"")</f>
        <v/>
      </c>
      <c r="E106" s="18"/>
      <c r="F106" s="28"/>
      <c r="G106" s="32"/>
      <c r="H106" s="17"/>
      <c r="I106" s="37" t="str">
        <f>IF(B106="","",Names!$G$21)</f>
        <v/>
      </c>
      <c r="J106" s="37" t="str">
        <f>IF(B106="","",Names!$H$21)</f>
        <v/>
      </c>
      <c r="K106" s="41" t="str">
        <f>IFERROR(VLOOKUP(B106,Names!$B$1:$E$253,3,FALSE),"")</f>
        <v/>
      </c>
    </row>
    <row r="107" spans="1:11" x14ac:dyDescent="0.35">
      <c r="A107" s="23"/>
      <c r="B107" s="42"/>
      <c r="C107" s="32" t="str">
        <f>IFERROR(VLOOKUP(B107,Names!$B$1:$E$253,2,FALSE),"")</f>
        <v/>
      </c>
      <c r="D107" s="33" t="str">
        <f>IFERROR(VLOOKUP(B107,Names!$B$1:$E$253,4,FALSE),"")</f>
        <v/>
      </c>
      <c r="E107" s="18"/>
      <c r="F107" s="28"/>
      <c r="G107" s="32"/>
      <c r="H107" s="17"/>
      <c r="I107" s="37" t="str">
        <f>IF(B107="","",Names!$G$21)</f>
        <v/>
      </c>
      <c r="J107" s="37" t="str">
        <f>IF(B107="","",Names!$H$21)</f>
        <v/>
      </c>
      <c r="K107" s="41" t="str">
        <f>IFERROR(VLOOKUP(B107,Names!$B$1:$E$253,3,FALSE),"")</f>
        <v/>
      </c>
    </row>
    <row r="108" spans="1:11" x14ac:dyDescent="0.35">
      <c r="A108" s="23"/>
      <c r="B108" s="42"/>
      <c r="C108" s="32" t="str">
        <f>IFERROR(VLOOKUP(B108,Names!$B$1:$E$253,2,FALSE),"")</f>
        <v/>
      </c>
      <c r="D108" s="33" t="str">
        <f>IFERROR(VLOOKUP(B108,Names!$B$1:$E$253,4,FALSE),"")</f>
        <v/>
      </c>
      <c r="E108" s="18"/>
      <c r="F108" s="28"/>
      <c r="G108" s="32"/>
      <c r="H108" s="17"/>
      <c r="I108" s="37" t="str">
        <f>IF(B108="","",Names!$G$21)</f>
        <v/>
      </c>
      <c r="J108" s="37" t="str">
        <f>IF(B108="","",Names!$H$21)</f>
        <v/>
      </c>
      <c r="K108" s="41" t="str">
        <f>IFERROR(VLOOKUP(B108,Names!$B$1:$E$253,3,FALSE),"")</f>
        <v/>
      </c>
    </row>
    <row r="109" spans="1:11" x14ac:dyDescent="0.35">
      <c r="A109" s="23"/>
      <c r="B109" s="42"/>
      <c r="C109" s="32" t="str">
        <f>IFERROR(VLOOKUP(B109,Names!$B$1:$E$253,2,FALSE),"")</f>
        <v/>
      </c>
      <c r="D109" s="33" t="str">
        <f>IFERROR(VLOOKUP(B109,Names!$B$1:$E$253,4,FALSE),"")</f>
        <v/>
      </c>
      <c r="E109" s="18"/>
      <c r="F109" s="28"/>
      <c r="G109" s="32"/>
      <c r="H109" s="17"/>
      <c r="I109" s="37" t="str">
        <f>IF(B109="","",Names!$G$21)</f>
        <v/>
      </c>
      <c r="J109" s="37" t="str">
        <f>IF(B109="","",Names!$H$21)</f>
        <v/>
      </c>
      <c r="K109" s="41" t="str">
        <f>IFERROR(VLOOKUP(B109,Names!$B$1:$E$253,3,FALSE),"")</f>
        <v/>
      </c>
    </row>
    <row r="110" spans="1:11" x14ac:dyDescent="0.35">
      <c r="A110" s="23"/>
      <c r="B110" s="42"/>
      <c r="C110" s="32" t="str">
        <f>IFERROR(VLOOKUP(B110,Names!$B$1:$E$253,2,FALSE),"")</f>
        <v/>
      </c>
      <c r="D110" s="33" t="str">
        <f>IFERROR(VLOOKUP(B110,Names!$B$1:$E$253,4,FALSE),"")</f>
        <v/>
      </c>
      <c r="E110" s="18"/>
      <c r="F110" s="28"/>
      <c r="G110" s="32"/>
      <c r="H110" s="17"/>
      <c r="I110" s="37" t="str">
        <f>IF(B110="","",Names!$G$21)</f>
        <v/>
      </c>
      <c r="J110" s="37" t="str">
        <f>IF(B110="","",Names!$H$21)</f>
        <v/>
      </c>
      <c r="K110" s="41" t="str">
        <f>IFERROR(VLOOKUP(B110,Names!$B$1:$E$253,3,FALSE),"")</f>
        <v/>
      </c>
    </row>
    <row r="111" spans="1:11" x14ac:dyDescent="0.35">
      <c r="A111" s="23"/>
      <c r="B111" s="42"/>
      <c r="C111" s="20" t="str">
        <f>IFERROR(VLOOKUP(B111,Names!$B$1:$E$253,2,FALSE),"")</f>
        <v/>
      </c>
      <c r="D111" s="22" t="str">
        <f>IFERROR(VLOOKUP(B111,Names!$B$1:$E$253,4,FALSE),"")</f>
        <v/>
      </c>
      <c r="E111" s="18"/>
      <c r="F111" s="28"/>
      <c r="G111" s="20"/>
      <c r="H111" s="17"/>
      <c r="I111" s="27" t="str">
        <f>IF(B111="","",Names!$G$21)</f>
        <v/>
      </c>
      <c r="J111" s="27" t="str">
        <f>IF(B111="","",Names!$H$21)</f>
        <v/>
      </c>
    </row>
    <row r="112" spans="1:11" x14ac:dyDescent="0.35">
      <c r="A112" s="23"/>
      <c r="B112" s="42"/>
      <c r="C112" s="20" t="str">
        <f>IFERROR(VLOOKUP(B112,Names!$B$1:$E$253,2,FALSE),"")</f>
        <v/>
      </c>
      <c r="D112" s="22" t="str">
        <f>IFERROR(VLOOKUP(B112,Names!$B$1:$E$253,4,FALSE),"")</f>
        <v/>
      </c>
      <c r="E112" s="18"/>
      <c r="F112" s="28"/>
      <c r="G112" s="20"/>
      <c r="H112" s="17"/>
      <c r="I112" s="27" t="str">
        <f>IF(B112="","",Names!$G$21)</f>
        <v/>
      </c>
      <c r="J112" s="27" t="str">
        <f>IF(B112="","",Names!$H$21)</f>
        <v/>
      </c>
    </row>
    <row r="113" spans="1:10" x14ac:dyDescent="0.35">
      <c r="A113" s="23"/>
      <c r="B113" s="42"/>
      <c r="C113" s="20" t="str">
        <f>IFERROR(VLOOKUP(B113,Names!$B$1:$E$253,2,FALSE),"")</f>
        <v/>
      </c>
      <c r="D113" s="22" t="str">
        <f>IFERROR(VLOOKUP(B113,Names!$B$1:$E$253,4,FALSE),"")</f>
        <v/>
      </c>
      <c r="E113" s="18"/>
      <c r="F113" s="28"/>
      <c r="G113" s="20"/>
      <c r="H113" s="17"/>
      <c r="I113" s="27" t="str">
        <f>IF(B113="","",Names!$G$21)</f>
        <v/>
      </c>
      <c r="J113" s="27" t="str">
        <f>IF(B113="","",Names!$H$21)</f>
        <v/>
      </c>
    </row>
    <row r="114" spans="1:10" x14ac:dyDescent="0.35">
      <c r="A114" s="23"/>
      <c r="B114" s="42"/>
      <c r="C114" s="20" t="str">
        <f>IFERROR(VLOOKUP(B114,Names!$B$1:$E$253,2,FALSE),"")</f>
        <v/>
      </c>
      <c r="D114" s="22" t="str">
        <f>IFERROR(VLOOKUP(B114,Names!$B$1:$E$253,4,FALSE),"")</f>
        <v/>
      </c>
      <c r="E114" s="18"/>
      <c r="F114" s="28"/>
      <c r="G114" s="20"/>
      <c r="H114" s="17"/>
      <c r="I114" s="27" t="str">
        <f>IF(B114="","",Names!$G$21)</f>
        <v/>
      </c>
      <c r="J114" s="27" t="str">
        <f>IF(B114="","",Names!$H$21)</f>
        <v/>
      </c>
    </row>
    <row r="115" spans="1:10" x14ac:dyDescent="0.35">
      <c r="A115" s="23"/>
      <c r="B115" s="42"/>
      <c r="C115" s="20" t="str">
        <f>IFERROR(VLOOKUP(B115,Names!$B$1:$E$253,2,FALSE),"")</f>
        <v/>
      </c>
      <c r="D115" s="22" t="str">
        <f>IFERROR(VLOOKUP(B115,Names!$B$1:$E$253,4,FALSE),"")</f>
        <v/>
      </c>
      <c r="E115" s="18"/>
      <c r="F115" s="28"/>
      <c r="G115" s="20"/>
      <c r="H115" s="17"/>
      <c r="I115" s="27" t="str">
        <f>IF(B115="","",Names!$G$21)</f>
        <v/>
      </c>
      <c r="J115" s="27" t="str">
        <f>IF(B115="","",Names!$H$21)</f>
        <v/>
      </c>
    </row>
    <row r="116" spans="1:10" x14ac:dyDescent="0.35">
      <c r="A116" s="23"/>
      <c r="B116" s="42"/>
      <c r="C116" s="20" t="str">
        <f>IFERROR(VLOOKUP(B116,Names!$B$1:$E$253,2,FALSE),"")</f>
        <v/>
      </c>
      <c r="D116" s="22" t="str">
        <f>IFERROR(VLOOKUP(B116,Names!$B$1:$E$253,4,FALSE),"")</f>
        <v/>
      </c>
      <c r="E116" s="18"/>
      <c r="F116" s="28"/>
      <c r="G116" s="20"/>
      <c r="H116" s="17"/>
      <c r="I116" s="27" t="str">
        <f>IF(B116="","",Names!$G$21)</f>
        <v/>
      </c>
      <c r="J116" s="27" t="str">
        <f>IF(B116="","",Names!$H$21)</f>
        <v/>
      </c>
    </row>
    <row r="117" spans="1:10" x14ac:dyDescent="0.35">
      <c r="A117" s="23"/>
      <c r="B117" s="42"/>
      <c r="C117" s="20" t="str">
        <f>IFERROR(VLOOKUP(B117,Names!$B$1:$E$253,2,FALSE),"")</f>
        <v/>
      </c>
      <c r="D117" s="22" t="str">
        <f>IFERROR(VLOOKUP(B117,Names!$B$1:$E$253,4,FALSE),"")</f>
        <v/>
      </c>
      <c r="E117" s="18"/>
      <c r="F117" s="28"/>
      <c r="G117" s="20"/>
      <c r="H117" s="17"/>
      <c r="I117" s="27" t="str">
        <f>IF(B117="","",Names!$G$21)</f>
        <v/>
      </c>
      <c r="J117" s="27" t="str">
        <f>IF(B117="","",Names!$H$21)</f>
        <v/>
      </c>
    </row>
    <row r="118" spans="1:10" x14ac:dyDescent="0.35">
      <c r="A118" s="23"/>
      <c r="B118" s="42"/>
      <c r="C118" s="20" t="str">
        <f>IFERROR(VLOOKUP(B118,Names!$B$1:$E$253,2,FALSE),"")</f>
        <v/>
      </c>
      <c r="D118" s="22" t="str">
        <f>IFERROR(VLOOKUP(B118,Names!$B$1:$E$253,4,FALSE),"")</f>
        <v/>
      </c>
      <c r="E118" s="18"/>
      <c r="F118" s="28"/>
      <c r="G118" s="20"/>
      <c r="H118" s="17"/>
      <c r="I118" s="27" t="str">
        <f>IF(B118="","",Names!$G$21)</f>
        <v/>
      </c>
      <c r="J118" s="27" t="str">
        <f>IF(B118="","",Names!$H$21)</f>
        <v/>
      </c>
    </row>
    <row r="119" spans="1:10" x14ac:dyDescent="0.35">
      <c r="A119" s="23"/>
      <c r="B119" s="42"/>
      <c r="C119" s="20" t="str">
        <f>IFERROR(VLOOKUP(B119,Names!$B$1:$E$253,2,FALSE),"")</f>
        <v/>
      </c>
      <c r="D119" s="22" t="str">
        <f>IFERROR(VLOOKUP(B119,Names!$B$1:$E$253,4,FALSE),"")</f>
        <v/>
      </c>
      <c r="E119" s="18"/>
      <c r="F119" s="28"/>
      <c r="G119" s="20"/>
      <c r="H119" s="17"/>
      <c r="I119" s="27" t="str">
        <f>IF(B119="","",Names!$G$21)</f>
        <v/>
      </c>
      <c r="J119" s="27" t="str">
        <f>IF(B119="","",Names!$H$21)</f>
        <v/>
      </c>
    </row>
    <row r="120" spans="1:10" x14ac:dyDescent="0.35">
      <c r="A120" s="23"/>
      <c r="B120" s="42"/>
      <c r="C120" s="20" t="str">
        <f>IFERROR(VLOOKUP(B120,Names!$B$1:$E$253,2,FALSE),"")</f>
        <v/>
      </c>
      <c r="D120" s="22" t="str">
        <f>IFERROR(VLOOKUP(B120,Names!$B$1:$E$253,4,FALSE),"")</f>
        <v/>
      </c>
      <c r="E120" s="18"/>
      <c r="F120" s="28"/>
      <c r="G120" s="20"/>
      <c r="H120" s="17"/>
      <c r="I120" s="27" t="str">
        <f>IF(B120="","",Names!$G$21)</f>
        <v/>
      </c>
      <c r="J120" s="27" t="str">
        <f>IF(B120="","",Names!$H$21)</f>
        <v/>
      </c>
    </row>
    <row r="121" spans="1:10" x14ac:dyDescent="0.35">
      <c r="A121" s="23"/>
      <c r="B121" s="42"/>
      <c r="C121" s="20" t="str">
        <f>IFERROR(VLOOKUP(B121,Names!$B$1:$E$253,2,FALSE),"")</f>
        <v/>
      </c>
      <c r="D121" s="22" t="str">
        <f>IFERROR(VLOOKUP(B121,Names!$B$1:$E$253,4,FALSE),"")</f>
        <v/>
      </c>
      <c r="E121" s="18"/>
      <c r="F121" s="28"/>
      <c r="G121" s="20"/>
      <c r="H121" s="17"/>
      <c r="I121" s="27" t="str">
        <f>IF(B121="","",Names!$G$21)</f>
        <v/>
      </c>
      <c r="J121" s="27" t="str">
        <f>IF(B121="","",Names!$H$21)</f>
        <v/>
      </c>
    </row>
    <row r="122" spans="1:10" x14ac:dyDescent="0.35">
      <c r="A122" s="23"/>
      <c r="B122" s="42"/>
      <c r="C122" s="20" t="str">
        <f>IFERROR(VLOOKUP(B122,Names!$B$1:$E$253,2,FALSE),"")</f>
        <v/>
      </c>
      <c r="D122" s="22" t="str">
        <f>IFERROR(VLOOKUP(B122,Names!$B$1:$E$253,4,FALSE),"")</f>
        <v/>
      </c>
      <c r="E122" s="18"/>
      <c r="F122" s="28"/>
      <c r="G122" s="20"/>
      <c r="H122" s="17"/>
      <c r="I122" s="27" t="str">
        <f>IF(B122="","",Names!$G$21)</f>
        <v/>
      </c>
      <c r="J122" s="27" t="str">
        <f>IF(B122="","",Names!$H$21)</f>
        <v/>
      </c>
    </row>
    <row r="123" spans="1:10" x14ac:dyDescent="0.35">
      <c r="A123" s="23"/>
      <c r="B123" s="42"/>
      <c r="C123" s="20" t="str">
        <f>IFERROR(VLOOKUP(B123,Names!$B$1:$E$253,2,FALSE),"")</f>
        <v/>
      </c>
      <c r="D123" s="22" t="str">
        <f>IFERROR(VLOOKUP(B123,Names!$B$1:$E$253,4,FALSE),"")</f>
        <v/>
      </c>
      <c r="E123" s="18"/>
      <c r="F123" s="28"/>
      <c r="G123" s="20"/>
      <c r="H123" s="17"/>
      <c r="I123" s="27" t="str">
        <f>IF(B123="","",Names!$G$21)</f>
        <v/>
      </c>
      <c r="J123" s="27" t="str">
        <f>IF(B123="","",Names!$H$21)</f>
        <v/>
      </c>
    </row>
    <row r="124" spans="1:10" x14ac:dyDescent="0.35">
      <c r="A124" s="23"/>
      <c r="B124" s="42"/>
      <c r="C124" s="20" t="str">
        <f>IFERROR(VLOOKUP(B124,Names!$B$1:$E$253,2,FALSE),"")</f>
        <v/>
      </c>
      <c r="D124" s="22" t="str">
        <f>IFERROR(VLOOKUP(B124,Names!$B$1:$E$253,4,FALSE),"")</f>
        <v/>
      </c>
      <c r="E124" s="18"/>
      <c r="F124" s="28"/>
      <c r="G124" s="20"/>
      <c r="H124" s="17"/>
      <c r="I124" s="27" t="str">
        <f>IF(B124="","",Names!$G$21)</f>
        <v/>
      </c>
      <c r="J124" s="27" t="str">
        <f>IF(B124="","",Names!$H$21)</f>
        <v/>
      </c>
    </row>
    <row r="125" spans="1:10" x14ac:dyDescent="0.35">
      <c r="A125" s="23"/>
      <c r="B125" s="42"/>
      <c r="C125" s="20" t="str">
        <f>IFERROR(VLOOKUP(B125,Names!$B$1:$E$253,2,FALSE),"")</f>
        <v/>
      </c>
      <c r="D125" s="22" t="str">
        <f>IFERROR(VLOOKUP(B125,Names!$B$1:$E$253,4,FALSE),"")</f>
        <v/>
      </c>
      <c r="E125" s="18"/>
      <c r="F125" s="28"/>
      <c r="G125" s="20"/>
      <c r="H125" s="17"/>
      <c r="I125" s="27" t="str">
        <f>IF(B125="","",Names!$G$21)</f>
        <v/>
      </c>
      <c r="J125" s="27" t="str">
        <f>IF(B125="","",Names!$H$21)</f>
        <v/>
      </c>
    </row>
    <row r="126" spans="1:10" x14ac:dyDescent="0.35">
      <c r="A126" s="23"/>
      <c r="B126" s="42"/>
      <c r="C126" s="20" t="str">
        <f>IFERROR(VLOOKUP(B126,Names!$B$1:$E$253,2,FALSE),"")</f>
        <v/>
      </c>
      <c r="D126" s="22" t="str">
        <f>IFERROR(VLOOKUP(B126,Names!$B$1:$E$253,4,FALSE),"")</f>
        <v/>
      </c>
      <c r="E126" s="18"/>
      <c r="F126" s="28"/>
      <c r="G126" s="20"/>
      <c r="H126" s="17"/>
      <c r="I126" s="27" t="str">
        <f>IF(B126="","",Names!$G$21)</f>
        <v/>
      </c>
      <c r="J126" s="27" t="str">
        <f>IF(B126="","",Names!$H$21)</f>
        <v/>
      </c>
    </row>
    <row r="127" spans="1:10" x14ac:dyDescent="0.35">
      <c r="A127" s="23"/>
      <c r="B127" s="42"/>
      <c r="C127" s="20" t="str">
        <f>IFERROR(VLOOKUP(B127,Names!$B$1:$E$253,2,FALSE),"")</f>
        <v/>
      </c>
      <c r="D127" s="22" t="str">
        <f>IFERROR(VLOOKUP(B127,Names!$B$1:$E$253,4,FALSE),"")</f>
        <v/>
      </c>
      <c r="E127" s="18"/>
      <c r="F127" s="28"/>
      <c r="G127" s="20"/>
      <c r="H127" s="17"/>
      <c r="I127" s="27" t="str">
        <f>IF(B127="","",Names!$G$21)</f>
        <v/>
      </c>
      <c r="J127" s="27" t="str">
        <f>IF(B127="","",Names!$H$21)</f>
        <v/>
      </c>
    </row>
    <row r="128" spans="1:10" x14ac:dyDescent="0.35">
      <c r="A128" s="23"/>
      <c r="B128" s="42"/>
      <c r="C128" s="20" t="str">
        <f>IFERROR(VLOOKUP(B128,Names!$B$1:$E$253,2,FALSE),"")</f>
        <v/>
      </c>
      <c r="D128" s="22" t="str">
        <f>IFERROR(VLOOKUP(B128,Names!$B$1:$E$253,4,FALSE),"")</f>
        <v/>
      </c>
      <c r="E128" s="18"/>
      <c r="F128" s="28"/>
      <c r="G128" s="20"/>
      <c r="H128" s="17"/>
      <c r="I128" s="27" t="str">
        <f>IF(B128="","",Names!$G$21)</f>
        <v/>
      </c>
      <c r="J128" s="27" t="str">
        <f>IF(B128="","",Names!$H$21)</f>
        <v/>
      </c>
    </row>
    <row r="129" spans="1:10" x14ac:dyDescent="0.35">
      <c r="A129" s="23"/>
      <c r="B129" s="42"/>
      <c r="C129" s="20" t="str">
        <f>IFERROR(VLOOKUP(B129,Names!$B$1:$E$253,2,FALSE),"")</f>
        <v/>
      </c>
      <c r="D129" s="22" t="str">
        <f>IFERROR(VLOOKUP(B129,Names!$B$1:$E$253,4,FALSE),"")</f>
        <v/>
      </c>
      <c r="E129" s="18"/>
      <c r="F129" s="28"/>
      <c r="G129" s="20"/>
      <c r="H129" s="17"/>
      <c r="I129" s="27" t="str">
        <f>IF(B129="","",Names!$G$21)</f>
        <v/>
      </c>
      <c r="J129" s="27" t="str">
        <f>IF(B129="","",Names!$H$21)</f>
        <v/>
      </c>
    </row>
    <row r="130" spans="1:10" x14ac:dyDescent="0.35">
      <c r="A130" s="23"/>
      <c r="B130" s="42"/>
      <c r="C130" s="20" t="str">
        <f>IFERROR(VLOOKUP(B130,Names!$B$1:$E$253,2,FALSE),"")</f>
        <v/>
      </c>
      <c r="D130" s="22" t="str">
        <f>IFERROR(VLOOKUP(B130,Names!$B$1:$E$253,4,FALSE),"")</f>
        <v/>
      </c>
      <c r="E130" s="18"/>
      <c r="F130" s="28"/>
      <c r="G130" s="20"/>
      <c r="H130" s="17"/>
      <c r="I130" s="27" t="str">
        <f>IF(B130="","",Names!$G$21)</f>
        <v/>
      </c>
      <c r="J130" s="27" t="str">
        <f>IF(B130="","",Names!$H$21)</f>
        <v/>
      </c>
    </row>
    <row r="131" spans="1:10" x14ac:dyDescent="0.35">
      <c r="A131" s="23"/>
      <c r="B131" s="42"/>
      <c r="C131" s="20" t="str">
        <f>IFERROR(VLOOKUP(B131,Names!$B$1:$E$253,2,FALSE),"")</f>
        <v/>
      </c>
      <c r="D131" s="22" t="str">
        <f>IFERROR(VLOOKUP(B131,Names!$B$1:$E$253,4,FALSE),"")</f>
        <v/>
      </c>
      <c r="E131" s="18"/>
      <c r="F131" s="28"/>
      <c r="G131" s="20"/>
      <c r="H131" s="17"/>
      <c r="I131" s="27" t="str">
        <f>IF(B131="","",Names!$G$21)</f>
        <v/>
      </c>
      <c r="J131" s="27" t="str">
        <f>IF(B131="","",Names!$H$21)</f>
        <v/>
      </c>
    </row>
    <row r="132" spans="1:10" x14ac:dyDescent="0.35">
      <c r="A132" s="23"/>
      <c r="B132" s="42"/>
      <c r="C132" s="20" t="str">
        <f>IFERROR(VLOOKUP(B132,Names!$B$1:$E$253,2,FALSE),"")</f>
        <v/>
      </c>
      <c r="D132" s="22" t="str">
        <f>IFERROR(VLOOKUP(B132,Names!$B$1:$E$253,4,FALSE),"")</f>
        <v/>
      </c>
      <c r="E132" s="18"/>
      <c r="F132" s="28"/>
      <c r="G132" s="20"/>
      <c r="H132" s="17"/>
      <c r="I132" s="27" t="str">
        <f>IF(B132="","",Names!$G$21)</f>
        <v/>
      </c>
      <c r="J132" s="27" t="str">
        <f>IF(B132="","",Names!$H$21)</f>
        <v/>
      </c>
    </row>
    <row r="133" spans="1:10" x14ac:dyDescent="0.35">
      <c r="A133" s="23"/>
      <c r="B133" s="42"/>
      <c r="C133" s="20" t="str">
        <f>IFERROR(VLOOKUP(B133,Names!$B$1:$E$253,2,FALSE),"")</f>
        <v/>
      </c>
      <c r="D133" s="22" t="str">
        <f>IFERROR(VLOOKUP(B133,Names!$B$1:$E$253,4,FALSE),"")</f>
        <v/>
      </c>
      <c r="E133" s="18"/>
      <c r="F133" s="28"/>
      <c r="G133" s="20"/>
      <c r="H133" s="17"/>
      <c r="I133" s="27" t="str">
        <f>IF(B133="","",Names!$G$21)</f>
        <v/>
      </c>
      <c r="J133" s="27" t="str">
        <f>IF(B133="","",Names!$H$21)</f>
        <v/>
      </c>
    </row>
    <row r="134" spans="1:10" x14ac:dyDescent="0.35">
      <c r="A134" s="23"/>
      <c r="B134" s="42"/>
      <c r="C134" s="20" t="str">
        <f>IFERROR(VLOOKUP(B134,Names!$B$1:$E$253,2,FALSE),"")</f>
        <v/>
      </c>
      <c r="D134" s="22" t="str">
        <f>IFERROR(VLOOKUP(B134,Names!$B$1:$E$253,4,FALSE),"")</f>
        <v/>
      </c>
      <c r="E134" s="18"/>
      <c r="F134" s="28"/>
      <c r="G134" s="20"/>
      <c r="H134" s="17"/>
      <c r="I134" s="27" t="str">
        <f>IF(B134="","",Names!$G$21)</f>
        <v/>
      </c>
      <c r="J134" s="27" t="str">
        <f>IF(B134="","",Names!$H$21)</f>
        <v/>
      </c>
    </row>
    <row r="135" spans="1:10" x14ac:dyDescent="0.35">
      <c r="A135" s="23"/>
      <c r="B135" s="42"/>
      <c r="C135" s="20" t="str">
        <f>IFERROR(VLOOKUP(B135,Names!$B$1:$E$253,2,FALSE),"")</f>
        <v/>
      </c>
      <c r="D135" s="22" t="str">
        <f>IFERROR(VLOOKUP(B135,Names!$B$1:$E$253,4,FALSE),"")</f>
        <v/>
      </c>
      <c r="E135" s="18"/>
      <c r="F135" s="28"/>
      <c r="G135" s="20"/>
      <c r="H135" s="17"/>
      <c r="I135" s="27" t="str">
        <f>IF(B135="","",Names!$G$21)</f>
        <v/>
      </c>
      <c r="J135" s="27" t="str">
        <f>IF(B135="","",Names!$H$21)</f>
        <v/>
      </c>
    </row>
    <row r="136" spans="1:10" x14ac:dyDescent="0.35">
      <c r="A136" s="23"/>
      <c r="B136" s="42"/>
      <c r="C136" s="20" t="str">
        <f>IFERROR(VLOOKUP(B136,Names!$B$1:$E$253,2,FALSE),"")</f>
        <v/>
      </c>
      <c r="D136" s="22" t="str">
        <f>IFERROR(VLOOKUP(B136,Names!$B$1:$E$253,4,FALSE),"")</f>
        <v/>
      </c>
      <c r="E136" s="18"/>
      <c r="F136" s="28"/>
      <c r="G136" s="20"/>
      <c r="H136" s="17"/>
      <c r="I136" s="27" t="str">
        <f>IF(B136="","",Names!$G$21)</f>
        <v/>
      </c>
      <c r="J136" s="27" t="str">
        <f>IF(B136="","",Names!$H$21)</f>
        <v/>
      </c>
    </row>
  </sheetData>
  <sheetProtection autoFilter="0"/>
  <dataConsolidate/>
  <mergeCells count="2">
    <mergeCell ref="H1:J1"/>
    <mergeCell ref="C1:F1"/>
  </mergeCells>
  <phoneticPr fontId="22" type="noConversion"/>
  <conditionalFormatting sqref="I4:J1048576">
    <cfRule type="notContainsBlanks" dxfId="0" priority="1">
      <formula>LEN(TRIM(I4))&gt;0</formula>
    </cfRule>
  </conditionalFormatting>
  <pageMargins left="0.7" right="0.7" top="0.75" bottom="0.75" header="0.3" footer="0.3"/>
  <pageSetup paperSize="9" scale="89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BFFC22-05E2-40B1-AB09-90A4B23CFDFD}">
          <x14:formula1>
            <xm:f>'Work Orders'!$B$2:$B$247</xm:f>
          </x14:formula1>
          <xm:sqref>F4:F159</xm:sqref>
        </x14:dataValidation>
        <x14:dataValidation type="list" allowBlank="1" showInputMessage="1" showErrorMessage="1" xr:uid="{57A703F9-7B94-4635-916E-38ABBFB89177}">
          <x14:formula1>
            <xm:f>Names!$B$2:$B$253</xm:f>
          </x14:formula1>
          <xm:sqref>B4:B136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B050"/>
  </sheetPr>
  <dimension ref="A1:T339"/>
  <sheetViews>
    <sheetView workbookViewId="0">
      <selection activeCell="L2" sqref="L2"/>
    </sheetView>
  </sheetViews>
  <sheetFormatPr defaultRowHeight="14.5" x14ac:dyDescent="0.35"/>
  <cols>
    <col min="1" max="1" width="11" bestFit="1" customWidth="1"/>
    <col min="2" max="2" width="18.26953125" bestFit="1" customWidth="1"/>
    <col min="3" max="4" width="12.7265625" bestFit="1" customWidth="1"/>
    <col min="5" max="5" width="18.26953125" customWidth="1"/>
    <col min="6" max="6" width="18.7265625" customWidth="1"/>
    <col min="8" max="8" width="10.1796875" customWidth="1"/>
    <col min="9" max="9" width="13.26953125" bestFit="1" customWidth="1"/>
    <col min="13" max="13" width="12.7265625" bestFit="1" customWidth="1"/>
    <col min="14" max="20" width="8.81640625" style="4"/>
  </cols>
  <sheetData>
    <row r="1" spans="1:20" s="2" customFormat="1" ht="72.5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9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</row>
    <row r="2" spans="1:20" x14ac:dyDescent="0.35">
      <c r="A2" s="6">
        <f>'Vendor Entry Sheet'!A4</f>
        <v>0</v>
      </c>
      <c r="B2" s="5">
        <f>'Vendor Entry Sheet'!C4</f>
        <v>0</v>
      </c>
      <c r="C2">
        <f>'Vendor Entry Sheet'!I4</f>
        <v>0</v>
      </c>
      <c r="D2" s="7">
        <f>'Vendor Entry Sheet'!J4</f>
        <v>0</v>
      </c>
      <c r="E2">
        <f>'Vendor Entry Sheet'!D4</f>
        <v>0</v>
      </c>
      <c r="F2">
        <f>'Vendor Entry Sheet'!E4</f>
        <v>0</v>
      </c>
      <c r="H2" s="50">
        <f>'Vendor Entry Sheet'!F4</f>
        <v>0</v>
      </c>
      <c r="I2">
        <f>'Vendor Entry Sheet'!G4</f>
        <v>0</v>
      </c>
      <c r="K2" s="8">
        <v>1005</v>
      </c>
      <c r="L2">
        <f>'Vendor Entry Sheet'!H4</f>
        <v>0</v>
      </c>
      <c r="M2" s="8" t="s">
        <v>39</v>
      </c>
    </row>
    <row r="3" spans="1:20" x14ac:dyDescent="0.35">
      <c r="A3" s="6">
        <f>'Vendor Entry Sheet'!A5</f>
        <v>0</v>
      </c>
      <c r="B3" s="5" t="str">
        <f>'Vendor Entry Sheet'!C5</f>
        <v/>
      </c>
      <c r="C3" t="str">
        <f>'Vendor Entry Sheet'!I5</f>
        <v/>
      </c>
      <c r="D3" s="7" t="str">
        <f>'Vendor Entry Sheet'!J5</f>
        <v/>
      </c>
      <c r="E3" t="str">
        <f>'Vendor Entry Sheet'!D5</f>
        <v/>
      </c>
      <c r="F3">
        <f>'Vendor Entry Sheet'!E5</f>
        <v>0</v>
      </c>
      <c r="H3" s="50">
        <f>'Vendor Entry Sheet'!F5</f>
        <v>0</v>
      </c>
      <c r="I3">
        <f>'Vendor Entry Sheet'!G5</f>
        <v>0</v>
      </c>
      <c r="K3" s="8">
        <v>1005</v>
      </c>
      <c r="L3">
        <f>'Vendor Entry Sheet'!H5</f>
        <v>0</v>
      </c>
      <c r="M3" s="8" t="s">
        <v>39</v>
      </c>
    </row>
    <row r="4" spans="1:20" x14ac:dyDescent="0.35">
      <c r="A4" s="6">
        <f>'Vendor Entry Sheet'!A6</f>
        <v>0</v>
      </c>
      <c r="B4" s="5" t="str">
        <f>'Vendor Entry Sheet'!C6</f>
        <v/>
      </c>
      <c r="C4" t="str">
        <f>'Vendor Entry Sheet'!I6</f>
        <v/>
      </c>
      <c r="D4" s="7" t="str">
        <f>'Vendor Entry Sheet'!J6</f>
        <v/>
      </c>
      <c r="E4" t="str">
        <f>'Vendor Entry Sheet'!D6</f>
        <v/>
      </c>
      <c r="F4">
        <f>'Vendor Entry Sheet'!E6</f>
        <v>0</v>
      </c>
      <c r="H4" s="50">
        <f>'Vendor Entry Sheet'!F6</f>
        <v>0</v>
      </c>
      <c r="I4">
        <f>'Vendor Entry Sheet'!G6</f>
        <v>0</v>
      </c>
      <c r="K4" s="8">
        <v>1005</v>
      </c>
      <c r="L4">
        <f>'Vendor Entry Sheet'!H6</f>
        <v>0</v>
      </c>
      <c r="M4" s="8" t="s">
        <v>39</v>
      </c>
    </row>
    <row r="5" spans="1:20" x14ac:dyDescent="0.35">
      <c r="A5" s="6">
        <f>'Vendor Entry Sheet'!A7</f>
        <v>0</v>
      </c>
      <c r="B5" s="5" t="str">
        <f>'Vendor Entry Sheet'!C7</f>
        <v/>
      </c>
      <c r="C5" t="str">
        <f>'Vendor Entry Sheet'!I7</f>
        <v/>
      </c>
      <c r="D5" s="7" t="str">
        <f>'Vendor Entry Sheet'!J7</f>
        <v/>
      </c>
      <c r="E5" t="str">
        <f>'Vendor Entry Sheet'!D7</f>
        <v/>
      </c>
      <c r="F5">
        <f>'Vendor Entry Sheet'!E7</f>
        <v>0</v>
      </c>
      <c r="H5" s="50">
        <f>'Vendor Entry Sheet'!F7</f>
        <v>0</v>
      </c>
      <c r="I5">
        <f>'Vendor Entry Sheet'!G7</f>
        <v>0</v>
      </c>
      <c r="K5" s="8">
        <v>1005</v>
      </c>
      <c r="L5">
        <f>'Vendor Entry Sheet'!H7</f>
        <v>0</v>
      </c>
      <c r="M5" s="8" t="s">
        <v>39</v>
      </c>
    </row>
    <row r="6" spans="1:20" x14ac:dyDescent="0.35">
      <c r="A6" s="6">
        <f>'Vendor Entry Sheet'!A8</f>
        <v>0</v>
      </c>
      <c r="B6" s="5" t="str">
        <f>'Vendor Entry Sheet'!C8</f>
        <v/>
      </c>
      <c r="C6" t="str">
        <f>'Vendor Entry Sheet'!I8</f>
        <v/>
      </c>
      <c r="D6" s="7" t="str">
        <f>'Vendor Entry Sheet'!J8</f>
        <v/>
      </c>
      <c r="E6" t="str">
        <f>'Vendor Entry Sheet'!D8</f>
        <v/>
      </c>
      <c r="F6">
        <f>'Vendor Entry Sheet'!E8</f>
        <v>0</v>
      </c>
      <c r="H6" s="50">
        <f>'Vendor Entry Sheet'!F8</f>
        <v>0</v>
      </c>
      <c r="I6">
        <f>'Vendor Entry Sheet'!G8</f>
        <v>0</v>
      </c>
      <c r="K6" s="8">
        <v>1005</v>
      </c>
      <c r="L6">
        <f>'Vendor Entry Sheet'!H8</f>
        <v>0</v>
      </c>
      <c r="M6" s="8" t="s">
        <v>39</v>
      </c>
    </row>
    <row r="7" spans="1:20" x14ac:dyDescent="0.35">
      <c r="A7" s="6">
        <f>'Vendor Entry Sheet'!A9</f>
        <v>0</v>
      </c>
      <c r="B7" s="5" t="str">
        <f>'Vendor Entry Sheet'!C9</f>
        <v/>
      </c>
      <c r="C7" t="str">
        <f>'Vendor Entry Sheet'!I9</f>
        <v/>
      </c>
      <c r="D7" s="7" t="str">
        <f>'Vendor Entry Sheet'!J9</f>
        <v/>
      </c>
      <c r="E7" t="str">
        <f>'Vendor Entry Sheet'!D9</f>
        <v/>
      </c>
      <c r="F7">
        <f>'Vendor Entry Sheet'!E9</f>
        <v>0</v>
      </c>
      <c r="H7" s="50">
        <f>'Vendor Entry Sheet'!F9</f>
        <v>0</v>
      </c>
      <c r="I7">
        <f>'Vendor Entry Sheet'!G9</f>
        <v>0</v>
      </c>
      <c r="K7" s="8">
        <v>1005</v>
      </c>
      <c r="L7">
        <f>'Vendor Entry Sheet'!H9</f>
        <v>0</v>
      </c>
      <c r="M7" s="8" t="s">
        <v>39</v>
      </c>
    </row>
    <row r="8" spans="1:20" x14ac:dyDescent="0.35">
      <c r="A8" s="6">
        <f>'Vendor Entry Sheet'!A10</f>
        <v>0</v>
      </c>
      <c r="B8" s="5" t="str">
        <f>'Vendor Entry Sheet'!C10</f>
        <v/>
      </c>
      <c r="C8" t="str">
        <f>'Vendor Entry Sheet'!I10</f>
        <v/>
      </c>
      <c r="D8" s="7" t="str">
        <f>'Vendor Entry Sheet'!J10</f>
        <v/>
      </c>
      <c r="E8" t="str">
        <f>'Vendor Entry Sheet'!D10</f>
        <v/>
      </c>
      <c r="F8">
        <f>'Vendor Entry Sheet'!E10</f>
        <v>0</v>
      </c>
      <c r="H8" s="50">
        <f>'Vendor Entry Sheet'!F10</f>
        <v>0</v>
      </c>
      <c r="I8">
        <f>'Vendor Entry Sheet'!G10</f>
        <v>0</v>
      </c>
      <c r="K8" s="8">
        <v>1005</v>
      </c>
      <c r="L8">
        <f>'Vendor Entry Sheet'!H10</f>
        <v>0</v>
      </c>
      <c r="M8" s="8" t="s">
        <v>39</v>
      </c>
    </row>
    <row r="9" spans="1:20" x14ac:dyDescent="0.35">
      <c r="A9" s="6">
        <f>'Vendor Entry Sheet'!A11</f>
        <v>0</v>
      </c>
      <c r="B9" s="5" t="str">
        <f>'Vendor Entry Sheet'!C11</f>
        <v/>
      </c>
      <c r="C9" t="str">
        <f>'Vendor Entry Sheet'!I11</f>
        <v/>
      </c>
      <c r="D9" s="7" t="str">
        <f>'Vendor Entry Sheet'!J11</f>
        <v/>
      </c>
      <c r="E9" t="str">
        <f>'Vendor Entry Sheet'!D11</f>
        <v/>
      </c>
      <c r="F9">
        <f>'Vendor Entry Sheet'!E11</f>
        <v>0</v>
      </c>
      <c r="H9" s="50">
        <f>'Vendor Entry Sheet'!F11</f>
        <v>0</v>
      </c>
      <c r="I9">
        <f>'Vendor Entry Sheet'!G11</f>
        <v>0</v>
      </c>
      <c r="K9" s="8">
        <v>1005</v>
      </c>
      <c r="L9">
        <f>'Vendor Entry Sheet'!H11</f>
        <v>0</v>
      </c>
      <c r="M9" s="8" t="s">
        <v>39</v>
      </c>
    </row>
    <row r="10" spans="1:20" x14ac:dyDescent="0.35">
      <c r="A10" s="6">
        <f>'Vendor Entry Sheet'!A12</f>
        <v>0</v>
      </c>
      <c r="B10" s="5" t="str">
        <f>'Vendor Entry Sheet'!C12</f>
        <v/>
      </c>
      <c r="C10" t="str">
        <f>'Vendor Entry Sheet'!I12</f>
        <v/>
      </c>
      <c r="D10" s="7" t="str">
        <f>'Vendor Entry Sheet'!J12</f>
        <v/>
      </c>
      <c r="E10" t="str">
        <f>'Vendor Entry Sheet'!D12</f>
        <v/>
      </c>
      <c r="F10">
        <f>'Vendor Entry Sheet'!E12</f>
        <v>0</v>
      </c>
      <c r="H10" s="50">
        <f>'Vendor Entry Sheet'!F12</f>
        <v>0</v>
      </c>
      <c r="I10">
        <f>'Vendor Entry Sheet'!G12</f>
        <v>0</v>
      </c>
      <c r="K10" s="8">
        <v>1005</v>
      </c>
      <c r="L10">
        <f>'Vendor Entry Sheet'!H12</f>
        <v>0</v>
      </c>
      <c r="M10" s="8" t="s">
        <v>39</v>
      </c>
    </row>
    <row r="11" spans="1:20" x14ac:dyDescent="0.35">
      <c r="A11" s="6">
        <f>'Vendor Entry Sheet'!A13</f>
        <v>0</v>
      </c>
      <c r="B11" s="5" t="str">
        <f>'Vendor Entry Sheet'!C13</f>
        <v/>
      </c>
      <c r="C11" t="str">
        <f>'Vendor Entry Sheet'!I13</f>
        <v/>
      </c>
      <c r="D11" s="7" t="str">
        <f>'Vendor Entry Sheet'!J13</f>
        <v/>
      </c>
      <c r="E11" t="str">
        <f>'Vendor Entry Sheet'!D13</f>
        <v/>
      </c>
      <c r="F11">
        <f>'Vendor Entry Sheet'!E13</f>
        <v>0</v>
      </c>
      <c r="H11" s="50">
        <f>'Vendor Entry Sheet'!F13</f>
        <v>0</v>
      </c>
      <c r="I11">
        <f>'Vendor Entry Sheet'!G13</f>
        <v>0</v>
      </c>
      <c r="K11" s="8">
        <v>1005</v>
      </c>
      <c r="L11">
        <f>'Vendor Entry Sheet'!H13</f>
        <v>0</v>
      </c>
      <c r="M11" s="8" t="s">
        <v>39</v>
      </c>
    </row>
    <row r="12" spans="1:20" x14ac:dyDescent="0.35">
      <c r="A12" s="6">
        <f>'Vendor Entry Sheet'!A14</f>
        <v>0</v>
      </c>
      <c r="B12" s="5" t="str">
        <f>'Vendor Entry Sheet'!C14</f>
        <v/>
      </c>
      <c r="C12" t="str">
        <f>'Vendor Entry Sheet'!I14</f>
        <v/>
      </c>
      <c r="D12" s="7" t="str">
        <f>'Vendor Entry Sheet'!J14</f>
        <v/>
      </c>
      <c r="E12" t="str">
        <f>'Vendor Entry Sheet'!D14</f>
        <v/>
      </c>
      <c r="F12">
        <f>'Vendor Entry Sheet'!E14</f>
        <v>0</v>
      </c>
      <c r="H12" s="50">
        <f>'Vendor Entry Sheet'!F14</f>
        <v>0</v>
      </c>
      <c r="I12">
        <f>'Vendor Entry Sheet'!G14</f>
        <v>0</v>
      </c>
      <c r="K12" s="8">
        <v>1005</v>
      </c>
      <c r="L12">
        <f>'Vendor Entry Sheet'!H14</f>
        <v>0</v>
      </c>
      <c r="M12" s="8" t="s">
        <v>39</v>
      </c>
    </row>
    <row r="13" spans="1:20" x14ac:dyDescent="0.35">
      <c r="A13" s="6">
        <f>'Vendor Entry Sheet'!A15</f>
        <v>0</v>
      </c>
      <c r="B13" s="5" t="str">
        <f>'Vendor Entry Sheet'!C15</f>
        <v/>
      </c>
      <c r="C13" t="str">
        <f>'Vendor Entry Sheet'!I15</f>
        <v/>
      </c>
      <c r="D13" s="7" t="str">
        <f>'Vendor Entry Sheet'!J15</f>
        <v/>
      </c>
      <c r="E13" t="str">
        <f>'Vendor Entry Sheet'!D15</f>
        <v/>
      </c>
      <c r="F13">
        <f>'Vendor Entry Sheet'!E15</f>
        <v>0</v>
      </c>
      <c r="H13" s="50">
        <f>'Vendor Entry Sheet'!F15</f>
        <v>0</v>
      </c>
      <c r="I13">
        <f>'Vendor Entry Sheet'!G15</f>
        <v>0</v>
      </c>
      <c r="K13" s="8">
        <v>1005</v>
      </c>
      <c r="L13">
        <f>'Vendor Entry Sheet'!H15</f>
        <v>0</v>
      </c>
      <c r="M13" s="8" t="s">
        <v>39</v>
      </c>
    </row>
    <row r="14" spans="1:20" x14ac:dyDescent="0.35">
      <c r="A14" s="6">
        <f>'Vendor Entry Sheet'!A16</f>
        <v>0</v>
      </c>
      <c r="B14" s="5" t="str">
        <f>'Vendor Entry Sheet'!C16</f>
        <v/>
      </c>
      <c r="C14" t="str">
        <f>'Vendor Entry Sheet'!I16</f>
        <v/>
      </c>
      <c r="D14" s="7" t="str">
        <f>'Vendor Entry Sheet'!J16</f>
        <v/>
      </c>
      <c r="E14" t="str">
        <f>'Vendor Entry Sheet'!D16</f>
        <v/>
      </c>
      <c r="F14">
        <f>'Vendor Entry Sheet'!E16</f>
        <v>0</v>
      </c>
      <c r="H14" s="50">
        <f>'Vendor Entry Sheet'!F16</f>
        <v>0</v>
      </c>
      <c r="I14">
        <f>'Vendor Entry Sheet'!G16</f>
        <v>0</v>
      </c>
      <c r="K14" s="8">
        <v>1005</v>
      </c>
      <c r="L14">
        <f>'Vendor Entry Sheet'!H16</f>
        <v>0</v>
      </c>
      <c r="M14" s="8" t="s">
        <v>39</v>
      </c>
    </row>
    <row r="15" spans="1:20" x14ac:dyDescent="0.35">
      <c r="A15" s="6">
        <f>'Vendor Entry Sheet'!A17</f>
        <v>0</v>
      </c>
      <c r="B15" s="5" t="str">
        <f>'Vendor Entry Sheet'!C17</f>
        <v/>
      </c>
      <c r="C15" t="str">
        <f>'Vendor Entry Sheet'!I17</f>
        <v/>
      </c>
      <c r="D15" s="7" t="str">
        <f>'Vendor Entry Sheet'!J17</f>
        <v/>
      </c>
      <c r="E15" t="str">
        <f>'Vendor Entry Sheet'!D17</f>
        <v/>
      </c>
      <c r="F15">
        <f>'Vendor Entry Sheet'!E17</f>
        <v>0</v>
      </c>
      <c r="H15" s="50">
        <f>'Vendor Entry Sheet'!F17</f>
        <v>0</v>
      </c>
      <c r="I15">
        <f>'Vendor Entry Sheet'!G17</f>
        <v>0</v>
      </c>
      <c r="K15" s="8">
        <v>1005</v>
      </c>
      <c r="L15">
        <f>'Vendor Entry Sheet'!H17</f>
        <v>0</v>
      </c>
      <c r="M15" s="8" t="s">
        <v>39</v>
      </c>
    </row>
    <row r="16" spans="1:20" x14ac:dyDescent="0.35">
      <c r="A16" s="6">
        <f>'Vendor Entry Sheet'!A18</f>
        <v>0</v>
      </c>
      <c r="B16" s="5" t="str">
        <f>'Vendor Entry Sheet'!C18</f>
        <v/>
      </c>
      <c r="C16" t="str">
        <f>'Vendor Entry Sheet'!I18</f>
        <v/>
      </c>
      <c r="D16" s="7" t="str">
        <f>'Vendor Entry Sheet'!J18</f>
        <v/>
      </c>
      <c r="E16" t="str">
        <f>'Vendor Entry Sheet'!D18</f>
        <v/>
      </c>
      <c r="F16">
        <f>'Vendor Entry Sheet'!E18</f>
        <v>0</v>
      </c>
      <c r="H16" s="50">
        <f>'Vendor Entry Sheet'!F18</f>
        <v>0</v>
      </c>
      <c r="I16">
        <f>'Vendor Entry Sheet'!G18</f>
        <v>0</v>
      </c>
      <c r="K16" s="8">
        <v>1005</v>
      </c>
      <c r="L16">
        <f>'Vendor Entry Sheet'!H18</f>
        <v>0</v>
      </c>
      <c r="M16" s="8" t="s">
        <v>39</v>
      </c>
    </row>
    <row r="17" spans="1:13" x14ac:dyDescent="0.35">
      <c r="A17" s="6">
        <f>'Vendor Entry Sheet'!A19</f>
        <v>0</v>
      </c>
      <c r="B17" s="5" t="str">
        <f>'Vendor Entry Sheet'!C19</f>
        <v/>
      </c>
      <c r="C17" t="str">
        <f>'Vendor Entry Sheet'!I19</f>
        <v/>
      </c>
      <c r="D17" s="7" t="str">
        <f>'Vendor Entry Sheet'!J19</f>
        <v/>
      </c>
      <c r="E17" t="str">
        <f>'Vendor Entry Sheet'!D19</f>
        <v/>
      </c>
      <c r="F17">
        <f>'Vendor Entry Sheet'!E19</f>
        <v>0</v>
      </c>
      <c r="H17" s="50">
        <f>'Vendor Entry Sheet'!F19</f>
        <v>0</v>
      </c>
      <c r="I17">
        <f>'Vendor Entry Sheet'!G19</f>
        <v>0</v>
      </c>
      <c r="K17" s="8">
        <v>1005</v>
      </c>
      <c r="L17">
        <f>'Vendor Entry Sheet'!H19</f>
        <v>0</v>
      </c>
      <c r="M17" s="8" t="s">
        <v>39</v>
      </c>
    </row>
    <row r="18" spans="1:13" x14ac:dyDescent="0.35">
      <c r="A18" s="6">
        <f>'Vendor Entry Sheet'!A20</f>
        <v>0</v>
      </c>
      <c r="B18" s="5" t="str">
        <f>'Vendor Entry Sheet'!C20</f>
        <v/>
      </c>
      <c r="C18" t="str">
        <f>'Vendor Entry Sheet'!I20</f>
        <v/>
      </c>
      <c r="D18" s="7" t="str">
        <f>'Vendor Entry Sheet'!J20</f>
        <v/>
      </c>
      <c r="E18" t="str">
        <f>'Vendor Entry Sheet'!D20</f>
        <v/>
      </c>
      <c r="F18">
        <f>'Vendor Entry Sheet'!E20</f>
        <v>0</v>
      </c>
      <c r="H18" s="50">
        <f>'Vendor Entry Sheet'!F20</f>
        <v>0</v>
      </c>
      <c r="I18">
        <f>'Vendor Entry Sheet'!G20</f>
        <v>0</v>
      </c>
      <c r="K18" s="8">
        <v>1005</v>
      </c>
      <c r="L18">
        <f>'Vendor Entry Sheet'!H20</f>
        <v>0</v>
      </c>
      <c r="M18" s="8" t="s">
        <v>39</v>
      </c>
    </row>
    <row r="19" spans="1:13" x14ac:dyDescent="0.35">
      <c r="A19" s="6">
        <f>'Vendor Entry Sheet'!A21</f>
        <v>0</v>
      </c>
      <c r="B19" s="5" t="str">
        <f>'Vendor Entry Sheet'!C21</f>
        <v/>
      </c>
      <c r="C19" t="str">
        <f>'Vendor Entry Sheet'!I21</f>
        <v/>
      </c>
      <c r="D19" s="7" t="str">
        <f>'Vendor Entry Sheet'!J21</f>
        <v/>
      </c>
      <c r="E19" t="str">
        <f>'Vendor Entry Sheet'!D21</f>
        <v/>
      </c>
      <c r="F19">
        <f>'Vendor Entry Sheet'!E21</f>
        <v>0</v>
      </c>
      <c r="H19" s="50">
        <f>'Vendor Entry Sheet'!F21</f>
        <v>0</v>
      </c>
      <c r="I19">
        <f>'Vendor Entry Sheet'!G21</f>
        <v>0</v>
      </c>
      <c r="K19" s="8">
        <v>1005</v>
      </c>
      <c r="L19">
        <f>'Vendor Entry Sheet'!H21</f>
        <v>0</v>
      </c>
      <c r="M19" s="8" t="s">
        <v>39</v>
      </c>
    </row>
    <row r="20" spans="1:13" x14ac:dyDescent="0.35">
      <c r="A20" s="6">
        <f>'Vendor Entry Sheet'!A22</f>
        <v>0</v>
      </c>
      <c r="B20" s="5" t="str">
        <f>'Vendor Entry Sheet'!C22</f>
        <v/>
      </c>
      <c r="C20" t="str">
        <f>'Vendor Entry Sheet'!I22</f>
        <v/>
      </c>
      <c r="D20" s="7" t="str">
        <f>'Vendor Entry Sheet'!J22</f>
        <v/>
      </c>
      <c r="E20" t="str">
        <f>'Vendor Entry Sheet'!D22</f>
        <v/>
      </c>
      <c r="F20">
        <f>'Vendor Entry Sheet'!E22</f>
        <v>0</v>
      </c>
      <c r="H20" s="50">
        <f>'Vendor Entry Sheet'!F22</f>
        <v>0</v>
      </c>
      <c r="I20">
        <f>'Vendor Entry Sheet'!G22</f>
        <v>0</v>
      </c>
      <c r="K20" s="8">
        <v>1005</v>
      </c>
      <c r="L20">
        <f>'Vendor Entry Sheet'!H22</f>
        <v>0</v>
      </c>
      <c r="M20" s="8" t="s">
        <v>39</v>
      </c>
    </row>
    <row r="21" spans="1:13" x14ac:dyDescent="0.35">
      <c r="A21" s="6">
        <f>'Vendor Entry Sheet'!A23</f>
        <v>0</v>
      </c>
      <c r="B21" s="5" t="str">
        <f>'Vendor Entry Sheet'!C23</f>
        <v/>
      </c>
      <c r="C21" t="str">
        <f>'Vendor Entry Sheet'!I23</f>
        <v/>
      </c>
      <c r="D21" s="7" t="str">
        <f>'Vendor Entry Sheet'!J23</f>
        <v/>
      </c>
      <c r="E21" t="str">
        <f>'Vendor Entry Sheet'!D23</f>
        <v/>
      </c>
      <c r="F21">
        <f>'Vendor Entry Sheet'!E23</f>
        <v>0</v>
      </c>
      <c r="H21" s="50">
        <f>'Vendor Entry Sheet'!F23</f>
        <v>0</v>
      </c>
      <c r="I21">
        <f>'Vendor Entry Sheet'!G23</f>
        <v>0</v>
      </c>
      <c r="K21" s="8">
        <v>1005</v>
      </c>
      <c r="L21">
        <f>'Vendor Entry Sheet'!H23</f>
        <v>0</v>
      </c>
      <c r="M21" s="8" t="s">
        <v>39</v>
      </c>
    </row>
    <row r="22" spans="1:13" x14ac:dyDescent="0.35">
      <c r="A22" s="6">
        <f>'Vendor Entry Sheet'!A24</f>
        <v>0</v>
      </c>
      <c r="B22" s="5" t="str">
        <f>'Vendor Entry Sheet'!C24</f>
        <v/>
      </c>
      <c r="C22" t="str">
        <f>'Vendor Entry Sheet'!I24</f>
        <v/>
      </c>
      <c r="D22" s="7" t="str">
        <f>'Vendor Entry Sheet'!J24</f>
        <v/>
      </c>
      <c r="E22" t="str">
        <f>'Vendor Entry Sheet'!D24</f>
        <v/>
      </c>
      <c r="F22">
        <f>'Vendor Entry Sheet'!E24</f>
        <v>0</v>
      </c>
      <c r="H22" s="50">
        <f>'Vendor Entry Sheet'!F24</f>
        <v>0</v>
      </c>
      <c r="I22">
        <f>'Vendor Entry Sheet'!G24</f>
        <v>0</v>
      </c>
      <c r="K22" s="8">
        <v>1005</v>
      </c>
      <c r="L22">
        <f>'Vendor Entry Sheet'!H24</f>
        <v>0</v>
      </c>
      <c r="M22" s="8" t="s">
        <v>39</v>
      </c>
    </row>
    <row r="23" spans="1:13" x14ac:dyDescent="0.35">
      <c r="A23" s="6">
        <f>'Vendor Entry Sheet'!A25</f>
        <v>0</v>
      </c>
      <c r="B23" s="5" t="str">
        <f>'Vendor Entry Sheet'!C25</f>
        <v/>
      </c>
      <c r="C23" t="str">
        <f>'Vendor Entry Sheet'!I25</f>
        <v/>
      </c>
      <c r="D23" s="7" t="str">
        <f>'Vendor Entry Sheet'!J25</f>
        <v/>
      </c>
      <c r="E23" t="str">
        <f>'Vendor Entry Sheet'!D25</f>
        <v/>
      </c>
      <c r="F23">
        <f>'Vendor Entry Sheet'!E25</f>
        <v>0</v>
      </c>
      <c r="H23" s="50">
        <f>'Vendor Entry Sheet'!F25</f>
        <v>0</v>
      </c>
      <c r="I23">
        <f>'Vendor Entry Sheet'!G25</f>
        <v>0</v>
      </c>
      <c r="K23" s="8">
        <v>1005</v>
      </c>
      <c r="L23">
        <f>'Vendor Entry Sheet'!H25</f>
        <v>0</v>
      </c>
      <c r="M23" s="8" t="s">
        <v>39</v>
      </c>
    </row>
    <row r="24" spans="1:13" x14ac:dyDescent="0.35">
      <c r="A24" s="6">
        <f>'Vendor Entry Sheet'!A26</f>
        <v>0</v>
      </c>
      <c r="B24" s="5" t="str">
        <f>'Vendor Entry Sheet'!C26</f>
        <v/>
      </c>
      <c r="C24" t="str">
        <f>'Vendor Entry Sheet'!I26</f>
        <v/>
      </c>
      <c r="D24" s="7" t="str">
        <f>'Vendor Entry Sheet'!J26</f>
        <v/>
      </c>
      <c r="E24" t="str">
        <f>'Vendor Entry Sheet'!D26</f>
        <v/>
      </c>
      <c r="F24">
        <f>'Vendor Entry Sheet'!E26</f>
        <v>0</v>
      </c>
      <c r="H24" s="50">
        <f>'Vendor Entry Sheet'!F26</f>
        <v>0</v>
      </c>
      <c r="I24">
        <f>'Vendor Entry Sheet'!G26</f>
        <v>0</v>
      </c>
      <c r="K24" s="8">
        <v>1005</v>
      </c>
      <c r="L24">
        <f>'Vendor Entry Sheet'!H26</f>
        <v>0</v>
      </c>
      <c r="M24" s="8" t="s">
        <v>39</v>
      </c>
    </row>
    <row r="25" spans="1:13" x14ac:dyDescent="0.35">
      <c r="A25" s="6">
        <f>'Vendor Entry Sheet'!A27</f>
        <v>0</v>
      </c>
      <c r="B25" s="5" t="str">
        <f>'Vendor Entry Sheet'!C27</f>
        <v/>
      </c>
      <c r="C25" t="str">
        <f>'Vendor Entry Sheet'!I27</f>
        <v/>
      </c>
      <c r="D25" s="7" t="str">
        <f>'Vendor Entry Sheet'!J27</f>
        <v/>
      </c>
      <c r="E25" t="str">
        <f>'Vendor Entry Sheet'!D27</f>
        <v/>
      </c>
      <c r="F25">
        <f>'Vendor Entry Sheet'!E27</f>
        <v>0</v>
      </c>
      <c r="H25" s="50">
        <f>'Vendor Entry Sheet'!F27</f>
        <v>0</v>
      </c>
      <c r="I25">
        <f>'Vendor Entry Sheet'!G27</f>
        <v>0</v>
      </c>
      <c r="K25" s="8">
        <v>1005</v>
      </c>
      <c r="L25">
        <f>'Vendor Entry Sheet'!H27</f>
        <v>0</v>
      </c>
      <c r="M25" s="8" t="s">
        <v>39</v>
      </c>
    </row>
    <row r="26" spans="1:13" x14ac:dyDescent="0.35">
      <c r="A26" s="6">
        <f>'Vendor Entry Sheet'!A28</f>
        <v>0</v>
      </c>
      <c r="B26" s="5" t="str">
        <f>'Vendor Entry Sheet'!C28</f>
        <v/>
      </c>
      <c r="C26" t="str">
        <f>'Vendor Entry Sheet'!I28</f>
        <v/>
      </c>
      <c r="D26" s="7" t="str">
        <f>'Vendor Entry Sheet'!J28</f>
        <v/>
      </c>
      <c r="E26" t="str">
        <f>'Vendor Entry Sheet'!D28</f>
        <v/>
      </c>
      <c r="F26">
        <f>'Vendor Entry Sheet'!E28</f>
        <v>0</v>
      </c>
      <c r="H26" s="50">
        <f>'Vendor Entry Sheet'!F28</f>
        <v>0</v>
      </c>
      <c r="I26">
        <f>'Vendor Entry Sheet'!G28</f>
        <v>0</v>
      </c>
      <c r="K26" s="8">
        <v>1005</v>
      </c>
      <c r="L26">
        <f>'Vendor Entry Sheet'!H28</f>
        <v>0</v>
      </c>
      <c r="M26" s="8" t="s">
        <v>39</v>
      </c>
    </row>
    <row r="27" spans="1:13" x14ac:dyDescent="0.35">
      <c r="A27" s="6">
        <f>'Vendor Entry Sheet'!A29</f>
        <v>0</v>
      </c>
      <c r="B27" s="5" t="str">
        <f>'Vendor Entry Sheet'!C29</f>
        <v/>
      </c>
      <c r="C27" t="str">
        <f>'Vendor Entry Sheet'!I29</f>
        <v/>
      </c>
      <c r="D27" s="7" t="str">
        <f>'Vendor Entry Sheet'!J29</f>
        <v/>
      </c>
      <c r="E27" t="str">
        <f>'Vendor Entry Sheet'!D29</f>
        <v/>
      </c>
      <c r="F27">
        <f>'Vendor Entry Sheet'!E29</f>
        <v>0</v>
      </c>
      <c r="H27" s="50">
        <f>'Vendor Entry Sheet'!F29</f>
        <v>0</v>
      </c>
      <c r="I27">
        <f>'Vendor Entry Sheet'!G29</f>
        <v>0</v>
      </c>
      <c r="K27" s="8">
        <v>1005</v>
      </c>
      <c r="L27">
        <f>'Vendor Entry Sheet'!H29</f>
        <v>0</v>
      </c>
      <c r="M27" s="8" t="s">
        <v>39</v>
      </c>
    </row>
    <row r="28" spans="1:13" x14ac:dyDescent="0.35">
      <c r="A28" s="6">
        <f>'Vendor Entry Sheet'!A30</f>
        <v>0</v>
      </c>
      <c r="B28" s="5" t="str">
        <f>'Vendor Entry Sheet'!C30</f>
        <v/>
      </c>
      <c r="C28" t="str">
        <f>'Vendor Entry Sheet'!I30</f>
        <v/>
      </c>
      <c r="D28" s="7" t="str">
        <f>'Vendor Entry Sheet'!J30</f>
        <v/>
      </c>
      <c r="E28" t="str">
        <f>'Vendor Entry Sheet'!D30</f>
        <v/>
      </c>
      <c r="F28">
        <f>'Vendor Entry Sheet'!E30</f>
        <v>0</v>
      </c>
      <c r="H28" s="50">
        <f>'Vendor Entry Sheet'!F30</f>
        <v>0</v>
      </c>
      <c r="I28">
        <f>'Vendor Entry Sheet'!G30</f>
        <v>0</v>
      </c>
      <c r="K28" s="8">
        <v>1005</v>
      </c>
      <c r="L28">
        <f>'Vendor Entry Sheet'!H30</f>
        <v>0</v>
      </c>
      <c r="M28" s="8" t="s">
        <v>39</v>
      </c>
    </row>
    <row r="29" spans="1:13" x14ac:dyDescent="0.35">
      <c r="A29" s="6">
        <f>'Vendor Entry Sheet'!A31</f>
        <v>0</v>
      </c>
      <c r="B29" s="5" t="str">
        <f>'Vendor Entry Sheet'!C31</f>
        <v/>
      </c>
      <c r="C29" t="str">
        <f>'Vendor Entry Sheet'!I31</f>
        <v/>
      </c>
      <c r="D29" s="7" t="str">
        <f>'Vendor Entry Sheet'!J31</f>
        <v/>
      </c>
      <c r="E29" t="str">
        <f>'Vendor Entry Sheet'!D31</f>
        <v/>
      </c>
      <c r="F29">
        <f>'Vendor Entry Sheet'!E31</f>
        <v>0</v>
      </c>
      <c r="H29" s="50">
        <f>'Vendor Entry Sheet'!F31</f>
        <v>0</v>
      </c>
      <c r="I29">
        <f>'Vendor Entry Sheet'!G31</f>
        <v>0</v>
      </c>
      <c r="K29" s="8">
        <v>1005</v>
      </c>
      <c r="L29">
        <f>'Vendor Entry Sheet'!H31</f>
        <v>0</v>
      </c>
      <c r="M29" s="8" t="s">
        <v>39</v>
      </c>
    </row>
    <row r="30" spans="1:13" x14ac:dyDescent="0.35">
      <c r="A30" s="6">
        <f>'Vendor Entry Sheet'!A32</f>
        <v>0</v>
      </c>
      <c r="B30" s="5" t="str">
        <f>'Vendor Entry Sheet'!C32</f>
        <v/>
      </c>
      <c r="C30" t="str">
        <f>'Vendor Entry Sheet'!I32</f>
        <v/>
      </c>
      <c r="D30" s="7" t="str">
        <f>'Vendor Entry Sheet'!J32</f>
        <v/>
      </c>
      <c r="E30" t="str">
        <f>'Vendor Entry Sheet'!D32</f>
        <v/>
      </c>
      <c r="F30">
        <f>'Vendor Entry Sheet'!E32</f>
        <v>0</v>
      </c>
      <c r="H30" s="50">
        <f>'Vendor Entry Sheet'!F32</f>
        <v>0</v>
      </c>
      <c r="I30">
        <f>'Vendor Entry Sheet'!G32</f>
        <v>0</v>
      </c>
      <c r="K30" s="8">
        <v>1005</v>
      </c>
      <c r="L30">
        <f>'Vendor Entry Sheet'!H32</f>
        <v>0</v>
      </c>
      <c r="M30" s="8" t="s">
        <v>39</v>
      </c>
    </row>
    <row r="31" spans="1:13" x14ac:dyDescent="0.35">
      <c r="A31" s="6">
        <f>'Vendor Entry Sheet'!A33</f>
        <v>0</v>
      </c>
      <c r="B31" s="5" t="str">
        <f>'Vendor Entry Sheet'!C33</f>
        <v/>
      </c>
      <c r="C31" t="str">
        <f>'Vendor Entry Sheet'!I33</f>
        <v/>
      </c>
      <c r="D31" s="7" t="str">
        <f>'Vendor Entry Sheet'!J33</f>
        <v/>
      </c>
      <c r="E31" t="str">
        <f>'Vendor Entry Sheet'!D33</f>
        <v/>
      </c>
      <c r="F31">
        <f>'Vendor Entry Sheet'!E33</f>
        <v>0</v>
      </c>
      <c r="H31" s="50">
        <f>'Vendor Entry Sheet'!F33</f>
        <v>0</v>
      </c>
      <c r="I31">
        <f>'Vendor Entry Sheet'!G33</f>
        <v>0</v>
      </c>
      <c r="K31" s="8">
        <v>1005</v>
      </c>
      <c r="L31">
        <f>'Vendor Entry Sheet'!H33</f>
        <v>0</v>
      </c>
      <c r="M31" s="8" t="s">
        <v>39</v>
      </c>
    </row>
    <row r="32" spans="1:13" x14ac:dyDescent="0.35">
      <c r="A32" s="6">
        <f>'Vendor Entry Sheet'!A34</f>
        <v>0</v>
      </c>
      <c r="B32" s="5" t="str">
        <f>'Vendor Entry Sheet'!C34</f>
        <v/>
      </c>
      <c r="C32" t="str">
        <f>'Vendor Entry Sheet'!I34</f>
        <v/>
      </c>
      <c r="D32" s="7" t="str">
        <f>'Vendor Entry Sheet'!J34</f>
        <v/>
      </c>
      <c r="E32" t="str">
        <f>'Vendor Entry Sheet'!D34</f>
        <v/>
      </c>
      <c r="F32">
        <f>'Vendor Entry Sheet'!E34</f>
        <v>0</v>
      </c>
      <c r="H32" s="50">
        <f>'Vendor Entry Sheet'!F34</f>
        <v>0</v>
      </c>
      <c r="I32">
        <f>'Vendor Entry Sheet'!G34</f>
        <v>0</v>
      </c>
      <c r="K32" s="8">
        <v>1005</v>
      </c>
      <c r="L32">
        <f>'Vendor Entry Sheet'!H34</f>
        <v>0</v>
      </c>
      <c r="M32" s="8" t="s">
        <v>39</v>
      </c>
    </row>
    <row r="33" spans="1:13" x14ac:dyDescent="0.35">
      <c r="A33" s="6">
        <f>'Vendor Entry Sheet'!A35</f>
        <v>0</v>
      </c>
      <c r="B33" s="5" t="str">
        <f>'Vendor Entry Sheet'!C35</f>
        <v/>
      </c>
      <c r="C33" t="str">
        <f>'Vendor Entry Sheet'!I35</f>
        <v/>
      </c>
      <c r="D33" s="7" t="str">
        <f>'Vendor Entry Sheet'!J35</f>
        <v/>
      </c>
      <c r="E33" t="str">
        <f>'Vendor Entry Sheet'!D35</f>
        <v/>
      </c>
      <c r="F33">
        <f>'Vendor Entry Sheet'!E35</f>
        <v>0</v>
      </c>
      <c r="H33" s="50">
        <f>'Vendor Entry Sheet'!F35</f>
        <v>0</v>
      </c>
      <c r="I33">
        <f>'Vendor Entry Sheet'!G35</f>
        <v>0</v>
      </c>
      <c r="K33" s="8">
        <v>1005</v>
      </c>
      <c r="L33">
        <f>'Vendor Entry Sheet'!H35</f>
        <v>0</v>
      </c>
      <c r="M33" s="8" t="s">
        <v>39</v>
      </c>
    </row>
    <row r="34" spans="1:13" x14ac:dyDescent="0.35">
      <c r="A34" s="6">
        <f>'Vendor Entry Sheet'!A36</f>
        <v>0</v>
      </c>
      <c r="B34" s="5" t="str">
        <f>'Vendor Entry Sheet'!C36</f>
        <v/>
      </c>
      <c r="C34" t="str">
        <f>'Vendor Entry Sheet'!I36</f>
        <v/>
      </c>
      <c r="D34" s="7" t="str">
        <f>'Vendor Entry Sheet'!J36</f>
        <v/>
      </c>
      <c r="E34" t="str">
        <f>'Vendor Entry Sheet'!D36</f>
        <v/>
      </c>
      <c r="F34">
        <f>'Vendor Entry Sheet'!E36</f>
        <v>0</v>
      </c>
      <c r="H34" s="50">
        <f>'Vendor Entry Sheet'!F36</f>
        <v>0</v>
      </c>
      <c r="I34">
        <f>'Vendor Entry Sheet'!G36</f>
        <v>0</v>
      </c>
      <c r="K34" s="8">
        <v>1005</v>
      </c>
      <c r="L34">
        <f>'Vendor Entry Sheet'!H36</f>
        <v>0</v>
      </c>
      <c r="M34" s="8" t="s">
        <v>39</v>
      </c>
    </row>
    <row r="35" spans="1:13" x14ac:dyDescent="0.35">
      <c r="A35" s="6">
        <f>'Vendor Entry Sheet'!A37</f>
        <v>0</v>
      </c>
      <c r="B35" s="5" t="str">
        <f>'Vendor Entry Sheet'!C37</f>
        <v/>
      </c>
      <c r="C35" t="str">
        <f>'Vendor Entry Sheet'!I37</f>
        <v/>
      </c>
      <c r="D35" s="7" t="str">
        <f>'Vendor Entry Sheet'!J37</f>
        <v/>
      </c>
      <c r="E35" t="str">
        <f>'Vendor Entry Sheet'!D37</f>
        <v/>
      </c>
      <c r="F35">
        <f>'Vendor Entry Sheet'!E37</f>
        <v>0</v>
      </c>
      <c r="H35" s="50">
        <f>'Vendor Entry Sheet'!F37</f>
        <v>0</v>
      </c>
      <c r="I35">
        <f>'Vendor Entry Sheet'!G37</f>
        <v>0</v>
      </c>
      <c r="K35" s="8">
        <v>1005</v>
      </c>
      <c r="L35">
        <f>'Vendor Entry Sheet'!H37</f>
        <v>0</v>
      </c>
      <c r="M35" s="8" t="s">
        <v>39</v>
      </c>
    </row>
    <row r="36" spans="1:13" x14ac:dyDescent="0.35">
      <c r="A36" s="6">
        <f>'Vendor Entry Sheet'!A38</f>
        <v>0</v>
      </c>
      <c r="B36" s="5" t="str">
        <f>'Vendor Entry Sheet'!C38</f>
        <v/>
      </c>
      <c r="C36" t="str">
        <f>'Vendor Entry Sheet'!I38</f>
        <v/>
      </c>
      <c r="D36" s="7" t="str">
        <f>'Vendor Entry Sheet'!J38</f>
        <v/>
      </c>
      <c r="E36" t="str">
        <f>'Vendor Entry Sheet'!D38</f>
        <v/>
      </c>
      <c r="F36">
        <f>'Vendor Entry Sheet'!E38</f>
        <v>0</v>
      </c>
      <c r="H36" s="50">
        <f>'Vendor Entry Sheet'!F38</f>
        <v>0</v>
      </c>
      <c r="I36">
        <f>'Vendor Entry Sheet'!G38</f>
        <v>0</v>
      </c>
      <c r="K36" s="8">
        <v>1005</v>
      </c>
      <c r="L36">
        <f>'Vendor Entry Sheet'!H38</f>
        <v>0</v>
      </c>
      <c r="M36" s="8" t="s">
        <v>39</v>
      </c>
    </row>
    <row r="37" spans="1:13" x14ac:dyDescent="0.35">
      <c r="A37" s="6">
        <f>'Vendor Entry Sheet'!A39</f>
        <v>0</v>
      </c>
      <c r="B37" s="5" t="str">
        <f>'Vendor Entry Sheet'!C39</f>
        <v/>
      </c>
      <c r="C37" t="str">
        <f>'Vendor Entry Sheet'!I39</f>
        <v/>
      </c>
      <c r="D37" s="7" t="str">
        <f>'Vendor Entry Sheet'!J39</f>
        <v/>
      </c>
      <c r="E37" t="str">
        <f>'Vendor Entry Sheet'!D39</f>
        <v/>
      </c>
      <c r="F37">
        <f>'Vendor Entry Sheet'!E39</f>
        <v>0</v>
      </c>
      <c r="H37" s="50">
        <f>'Vendor Entry Sheet'!F39</f>
        <v>0</v>
      </c>
      <c r="I37">
        <f>'Vendor Entry Sheet'!G39</f>
        <v>0</v>
      </c>
      <c r="K37" s="8">
        <v>1005</v>
      </c>
      <c r="L37">
        <f>'Vendor Entry Sheet'!H39</f>
        <v>0</v>
      </c>
      <c r="M37" s="8" t="s">
        <v>39</v>
      </c>
    </row>
    <row r="38" spans="1:13" x14ac:dyDescent="0.35">
      <c r="A38" s="6">
        <f>'Vendor Entry Sheet'!A40</f>
        <v>0</v>
      </c>
      <c r="B38" s="5" t="str">
        <f>'Vendor Entry Sheet'!C40</f>
        <v/>
      </c>
      <c r="C38" t="str">
        <f>'Vendor Entry Sheet'!I40</f>
        <v/>
      </c>
      <c r="D38" s="7" t="str">
        <f>'Vendor Entry Sheet'!J40</f>
        <v/>
      </c>
      <c r="E38" t="str">
        <f>'Vendor Entry Sheet'!D40</f>
        <v/>
      </c>
      <c r="F38">
        <f>'Vendor Entry Sheet'!E40</f>
        <v>0</v>
      </c>
      <c r="H38" s="50">
        <f>'Vendor Entry Sheet'!F40</f>
        <v>0</v>
      </c>
      <c r="I38">
        <f>'Vendor Entry Sheet'!G40</f>
        <v>0</v>
      </c>
      <c r="K38" s="8">
        <v>1005</v>
      </c>
      <c r="L38">
        <f>'Vendor Entry Sheet'!H40</f>
        <v>0</v>
      </c>
      <c r="M38" s="8" t="s">
        <v>39</v>
      </c>
    </row>
    <row r="39" spans="1:13" x14ac:dyDescent="0.35">
      <c r="A39" s="6">
        <f>'Vendor Entry Sheet'!A41</f>
        <v>0</v>
      </c>
      <c r="B39" s="5" t="str">
        <f>'Vendor Entry Sheet'!C41</f>
        <v/>
      </c>
      <c r="C39" t="str">
        <f>'Vendor Entry Sheet'!I41</f>
        <v/>
      </c>
      <c r="D39" s="7" t="str">
        <f>'Vendor Entry Sheet'!J41</f>
        <v/>
      </c>
      <c r="E39" t="str">
        <f>'Vendor Entry Sheet'!D41</f>
        <v/>
      </c>
      <c r="F39">
        <f>'Vendor Entry Sheet'!E41</f>
        <v>0</v>
      </c>
      <c r="H39" s="50">
        <f>'Vendor Entry Sheet'!F41</f>
        <v>0</v>
      </c>
      <c r="I39">
        <f>'Vendor Entry Sheet'!G41</f>
        <v>0</v>
      </c>
      <c r="K39" s="8">
        <v>1005</v>
      </c>
      <c r="L39">
        <f>'Vendor Entry Sheet'!H41</f>
        <v>0</v>
      </c>
      <c r="M39" s="8" t="s">
        <v>39</v>
      </c>
    </row>
    <row r="40" spans="1:13" x14ac:dyDescent="0.35">
      <c r="A40" s="6">
        <f>'Vendor Entry Sheet'!A42</f>
        <v>0</v>
      </c>
      <c r="B40" s="5" t="str">
        <f>'Vendor Entry Sheet'!C42</f>
        <v/>
      </c>
      <c r="C40" t="str">
        <f>'Vendor Entry Sheet'!I42</f>
        <v/>
      </c>
      <c r="D40" s="7" t="str">
        <f>'Vendor Entry Sheet'!J42</f>
        <v/>
      </c>
      <c r="E40" t="str">
        <f>'Vendor Entry Sheet'!D42</f>
        <v/>
      </c>
      <c r="F40">
        <f>'Vendor Entry Sheet'!E42</f>
        <v>0</v>
      </c>
      <c r="H40" s="50">
        <f>'Vendor Entry Sheet'!F42</f>
        <v>0</v>
      </c>
      <c r="I40">
        <f>'Vendor Entry Sheet'!G42</f>
        <v>0</v>
      </c>
      <c r="K40" s="8">
        <v>1005</v>
      </c>
      <c r="L40">
        <f>'Vendor Entry Sheet'!H42</f>
        <v>0</v>
      </c>
      <c r="M40" s="8" t="s">
        <v>39</v>
      </c>
    </row>
    <row r="41" spans="1:13" x14ac:dyDescent="0.35">
      <c r="A41" s="6">
        <f>'Vendor Entry Sheet'!A43</f>
        <v>0</v>
      </c>
      <c r="B41" s="5" t="str">
        <f>'Vendor Entry Sheet'!C43</f>
        <v/>
      </c>
      <c r="C41" t="str">
        <f>'Vendor Entry Sheet'!I43</f>
        <v/>
      </c>
      <c r="D41" s="7" t="str">
        <f>'Vendor Entry Sheet'!J43</f>
        <v/>
      </c>
      <c r="E41" t="str">
        <f>'Vendor Entry Sheet'!D43</f>
        <v/>
      </c>
      <c r="F41">
        <f>'Vendor Entry Sheet'!E43</f>
        <v>0</v>
      </c>
      <c r="H41" s="50">
        <f>'Vendor Entry Sheet'!F43</f>
        <v>0</v>
      </c>
      <c r="I41">
        <f>'Vendor Entry Sheet'!G43</f>
        <v>0</v>
      </c>
      <c r="K41" s="8">
        <v>1005</v>
      </c>
      <c r="L41">
        <f>'Vendor Entry Sheet'!H43</f>
        <v>0</v>
      </c>
      <c r="M41" s="8" t="s">
        <v>39</v>
      </c>
    </row>
    <row r="42" spans="1:13" x14ac:dyDescent="0.35">
      <c r="A42" s="6">
        <f>'Vendor Entry Sheet'!A44</f>
        <v>0</v>
      </c>
      <c r="B42" s="5" t="str">
        <f>'Vendor Entry Sheet'!C44</f>
        <v/>
      </c>
      <c r="C42" t="str">
        <f>'Vendor Entry Sheet'!I44</f>
        <v/>
      </c>
      <c r="D42" s="7" t="str">
        <f>'Vendor Entry Sheet'!J44</f>
        <v/>
      </c>
      <c r="E42" t="str">
        <f>'Vendor Entry Sheet'!D44</f>
        <v/>
      </c>
      <c r="F42">
        <f>'Vendor Entry Sheet'!E44</f>
        <v>0</v>
      </c>
      <c r="H42" s="50">
        <f>'Vendor Entry Sheet'!F44</f>
        <v>0</v>
      </c>
      <c r="I42">
        <f>'Vendor Entry Sheet'!G44</f>
        <v>0</v>
      </c>
      <c r="K42" s="8">
        <v>1005</v>
      </c>
      <c r="L42">
        <f>'Vendor Entry Sheet'!H44</f>
        <v>0</v>
      </c>
      <c r="M42" s="8" t="s">
        <v>39</v>
      </c>
    </row>
    <row r="43" spans="1:13" x14ac:dyDescent="0.35">
      <c r="A43" s="6">
        <f>'Vendor Entry Sheet'!A45</f>
        <v>0</v>
      </c>
      <c r="B43" s="5" t="str">
        <f>'Vendor Entry Sheet'!C45</f>
        <v/>
      </c>
      <c r="C43" t="str">
        <f>'Vendor Entry Sheet'!I45</f>
        <v/>
      </c>
      <c r="D43" s="7" t="str">
        <f>'Vendor Entry Sheet'!J45</f>
        <v/>
      </c>
      <c r="E43" t="str">
        <f>'Vendor Entry Sheet'!D45</f>
        <v/>
      </c>
      <c r="F43">
        <f>'Vendor Entry Sheet'!E45</f>
        <v>0</v>
      </c>
      <c r="H43" s="50">
        <f>'Vendor Entry Sheet'!F45</f>
        <v>0</v>
      </c>
      <c r="I43">
        <f>'Vendor Entry Sheet'!G45</f>
        <v>0</v>
      </c>
      <c r="K43" s="8">
        <v>1005</v>
      </c>
      <c r="L43">
        <f>'Vendor Entry Sheet'!H45</f>
        <v>0</v>
      </c>
      <c r="M43" s="8" t="s">
        <v>39</v>
      </c>
    </row>
    <row r="44" spans="1:13" x14ac:dyDescent="0.35">
      <c r="A44" s="6">
        <f>'Vendor Entry Sheet'!A46</f>
        <v>0</v>
      </c>
      <c r="B44" s="5" t="str">
        <f>'Vendor Entry Sheet'!C46</f>
        <v/>
      </c>
      <c r="C44" t="str">
        <f>'Vendor Entry Sheet'!I46</f>
        <v/>
      </c>
      <c r="D44" s="7" t="str">
        <f>'Vendor Entry Sheet'!J46</f>
        <v/>
      </c>
      <c r="E44" t="str">
        <f>'Vendor Entry Sheet'!D46</f>
        <v/>
      </c>
      <c r="F44">
        <f>'Vendor Entry Sheet'!E46</f>
        <v>0</v>
      </c>
      <c r="H44" s="50">
        <f>'Vendor Entry Sheet'!F46</f>
        <v>0</v>
      </c>
      <c r="I44">
        <f>'Vendor Entry Sheet'!G46</f>
        <v>0</v>
      </c>
      <c r="K44" s="8">
        <v>1005</v>
      </c>
      <c r="L44">
        <f>'Vendor Entry Sheet'!H46</f>
        <v>0</v>
      </c>
      <c r="M44" s="8" t="s">
        <v>39</v>
      </c>
    </row>
    <row r="45" spans="1:13" x14ac:dyDescent="0.35">
      <c r="A45" s="6">
        <f>'Vendor Entry Sheet'!A47</f>
        <v>0</v>
      </c>
      <c r="B45" s="5" t="str">
        <f>'Vendor Entry Sheet'!C47</f>
        <v/>
      </c>
      <c r="C45" t="str">
        <f>'Vendor Entry Sheet'!I47</f>
        <v/>
      </c>
      <c r="D45" s="7" t="str">
        <f>'Vendor Entry Sheet'!J47</f>
        <v/>
      </c>
      <c r="E45" t="str">
        <f>'Vendor Entry Sheet'!D47</f>
        <v/>
      </c>
      <c r="F45">
        <f>'Vendor Entry Sheet'!E47</f>
        <v>0</v>
      </c>
      <c r="H45" s="50">
        <f>'Vendor Entry Sheet'!F47</f>
        <v>0</v>
      </c>
      <c r="I45">
        <f>'Vendor Entry Sheet'!G47</f>
        <v>0</v>
      </c>
      <c r="K45" s="8">
        <v>1005</v>
      </c>
      <c r="L45">
        <f>'Vendor Entry Sheet'!H47</f>
        <v>0</v>
      </c>
      <c r="M45" s="8" t="s">
        <v>39</v>
      </c>
    </row>
    <row r="46" spans="1:13" x14ac:dyDescent="0.35">
      <c r="A46" s="6">
        <f>'Vendor Entry Sheet'!A48</f>
        <v>0</v>
      </c>
      <c r="B46" s="5" t="str">
        <f>'Vendor Entry Sheet'!C48</f>
        <v/>
      </c>
      <c r="C46" t="str">
        <f>'Vendor Entry Sheet'!I48</f>
        <v/>
      </c>
      <c r="D46" s="7" t="str">
        <f>'Vendor Entry Sheet'!J48</f>
        <v/>
      </c>
      <c r="E46" t="str">
        <f>'Vendor Entry Sheet'!D48</f>
        <v/>
      </c>
      <c r="F46">
        <f>'Vendor Entry Sheet'!E48</f>
        <v>0</v>
      </c>
      <c r="H46" s="50">
        <f>'Vendor Entry Sheet'!F48</f>
        <v>0</v>
      </c>
      <c r="I46">
        <f>'Vendor Entry Sheet'!G48</f>
        <v>0</v>
      </c>
      <c r="K46" s="8">
        <v>1005</v>
      </c>
      <c r="L46">
        <f>'Vendor Entry Sheet'!H48</f>
        <v>0</v>
      </c>
      <c r="M46" s="8" t="s">
        <v>39</v>
      </c>
    </row>
    <row r="47" spans="1:13" x14ac:dyDescent="0.35">
      <c r="A47" s="6">
        <f>'Vendor Entry Sheet'!A49</f>
        <v>0</v>
      </c>
      <c r="B47" s="5" t="str">
        <f>'Vendor Entry Sheet'!C49</f>
        <v/>
      </c>
      <c r="C47" t="str">
        <f>'Vendor Entry Sheet'!I49</f>
        <v/>
      </c>
      <c r="D47" s="7" t="str">
        <f>'Vendor Entry Sheet'!J49</f>
        <v/>
      </c>
      <c r="E47" t="str">
        <f>'Vendor Entry Sheet'!D49</f>
        <v/>
      </c>
      <c r="F47">
        <f>'Vendor Entry Sheet'!E49</f>
        <v>0</v>
      </c>
      <c r="H47" s="50">
        <f>'Vendor Entry Sheet'!F49</f>
        <v>0</v>
      </c>
      <c r="I47">
        <f>'Vendor Entry Sheet'!G49</f>
        <v>0</v>
      </c>
      <c r="K47" s="8">
        <v>1005</v>
      </c>
      <c r="L47">
        <f>'Vendor Entry Sheet'!H49</f>
        <v>0</v>
      </c>
      <c r="M47" s="8" t="s">
        <v>39</v>
      </c>
    </row>
    <row r="48" spans="1:13" x14ac:dyDescent="0.35">
      <c r="A48" s="6">
        <f>'Vendor Entry Sheet'!A50</f>
        <v>0</v>
      </c>
      <c r="B48" s="5" t="str">
        <f>'Vendor Entry Sheet'!C50</f>
        <v/>
      </c>
      <c r="C48" t="str">
        <f>'Vendor Entry Sheet'!I50</f>
        <v/>
      </c>
      <c r="D48" s="7" t="str">
        <f>'Vendor Entry Sheet'!J50</f>
        <v/>
      </c>
      <c r="E48" t="str">
        <f>'Vendor Entry Sheet'!D50</f>
        <v/>
      </c>
      <c r="F48">
        <f>'Vendor Entry Sheet'!E50</f>
        <v>0</v>
      </c>
      <c r="H48" s="50">
        <f>'Vendor Entry Sheet'!F50</f>
        <v>0</v>
      </c>
      <c r="I48">
        <f>'Vendor Entry Sheet'!G50</f>
        <v>0</v>
      </c>
      <c r="K48" s="8">
        <v>1005</v>
      </c>
      <c r="L48">
        <f>'Vendor Entry Sheet'!H50</f>
        <v>0</v>
      </c>
      <c r="M48" s="8" t="s">
        <v>39</v>
      </c>
    </row>
    <row r="49" spans="1:13" x14ac:dyDescent="0.35">
      <c r="A49" s="6">
        <f>'Vendor Entry Sheet'!A51</f>
        <v>0</v>
      </c>
      <c r="B49" s="5" t="str">
        <f>'Vendor Entry Sheet'!C51</f>
        <v/>
      </c>
      <c r="C49" t="str">
        <f>'Vendor Entry Sheet'!I51</f>
        <v/>
      </c>
      <c r="D49" s="7" t="str">
        <f>'Vendor Entry Sheet'!J51</f>
        <v/>
      </c>
      <c r="E49" t="str">
        <f>'Vendor Entry Sheet'!D51</f>
        <v/>
      </c>
      <c r="F49">
        <f>'Vendor Entry Sheet'!E51</f>
        <v>0</v>
      </c>
      <c r="H49" s="50">
        <f>'Vendor Entry Sheet'!F51</f>
        <v>0</v>
      </c>
      <c r="I49">
        <f>'Vendor Entry Sheet'!G51</f>
        <v>0</v>
      </c>
      <c r="K49" s="8">
        <v>1005</v>
      </c>
      <c r="L49">
        <f>'Vendor Entry Sheet'!H51</f>
        <v>0</v>
      </c>
      <c r="M49" s="8" t="s">
        <v>39</v>
      </c>
    </row>
    <row r="50" spans="1:13" x14ac:dyDescent="0.35">
      <c r="A50" s="6">
        <f>'Vendor Entry Sheet'!A52</f>
        <v>0</v>
      </c>
      <c r="B50" s="5" t="str">
        <f>'Vendor Entry Sheet'!C52</f>
        <v/>
      </c>
      <c r="C50" t="str">
        <f>'Vendor Entry Sheet'!I52</f>
        <v/>
      </c>
      <c r="D50" s="7" t="str">
        <f>'Vendor Entry Sheet'!J52</f>
        <v/>
      </c>
      <c r="E50" t="str">
        <f>'Vendor Entry Sheet'!D52</f>
        <v/>
      </c>
      <c r="F50">
        <f>'Vendor Entry Sheet'!E52</f>
        <v>0</v>
      </c>
      <c r="H50" s="50">
        <f>'Vendor Entry Sheet'!F52</f>
        <v>0</v>
      </c>
      <c r="I50">
        <f>'Vendor Entry Sheet'!G52</f>
        <v>0</v>
      </c>
      <c r="K50" s="8">
        <v>1005</v>
      </c>
      <c r="L50">
        <f>'Vendor Entry Sheet'!H52</f>
        <v>0</v>
      </c>
      <c r="M50" s="8" t="s">
        <v>39</v>
      </c>
    </row>
    <row r="51" spans="1:13" x14ac:dyDescent="0.35">
      <c r="A51" s="6">
        <f>'Vendor Entry Sheet'!A53</f>
        <v>0</v>
      </c>
      <c r="B51" s="5" t="str">
        <f>'Vendor Entry Sheet'!C53</f>
        <v/>
      </c>
      <c r="C51" t="str">
        <f>'Vendor Entry Sheet'!I53</f>
        <v/>
      </c>
      <c r="D51" s="7" t="str">
        <f>'Vendor Entry Sheet'!J53</f>
        <v/>
      </c>
      <c r="E51" t="str">
        <f>'Vendor Entry Sheet'!D53</f>
        <v/>
      </c>
      <c r="F51">
        <f>'Vendor Entry Sheet'!E53</f>
        <v>0</v>
      </c>
      <c r="H51" s="50">
        <f>'Vendor Entry Sheet'!F53</f>
        <v>0</v>
      </c>
      <c r="I51">
        <f>'Vendor Entry Sheet'!G53</f>
        <v>0</v>
      </c>
      <c r="K51" s="8">
        <v>1005</v>
      </c>
      <c r="L51">
        <f>'Vendor Entry Sheet'!H53</f>
        <v>0</v>
      </c>
      <c r="M51" s="8" t="s">
        <v>39</v>
      </c>
    </row>
    <row r="52" spans="1:13" x14ac:dyDescent="0.35">
      <c r="A52" s="6">
        <f>'Vendor Entry Sheet'!A54</f>
        <v>0</v>
      </c>
      <c r="B52" s="5" t="str">
        <f>'Vendor Entry Sheet'!C54</f>
        <v/>
      </c>
      <c r="C52" t="str">
        <f>'Vendor Entry Sheet'!I54</f>
        <v/>
      </c>
      <c r="D52" s="7" t="str">
        <f>'Vendor Entry Sheet'!J54</f>
        <v/>
      </c>
      <c r="E52" t="str">
        <f>'Vendor Entry Sheet'!D54</f>
        <v/>
      </c>
      <c r="F52">
        <f>'Vendor Entry Sheet'!E54</f>
        <v>0</v>
      </c>
      <c r="H52" s="50">
        <f>'Vendor Entry Sheet'!F54</f>
        <v>0</v>
      </c>
      <c r="I52">
        <f>'Vendor Entry Sheet'!G54</f>
        <v>0</v>
      </c>
      <c r="K52" s="8">
        <v>1005</v>
      </c>
      <c r="L52">
        <f>'Vendor Entry Sheet'!H54</f>
        <v>0</v>
      </c>
      <c r="M52" s="8" t="s">
        <v>39</v>
      </c>
    </row>
    <row r="53" spans="1:13" x14ac:dyDescent="0.35">
      <c r="A53" s="6">
        <f>'Vendor Entry Sheet'!A55</f>
        <v>0</v>
      </c>
      <c r="B53" s="5" t="str">
        <f>'Vendor Entry Sheet'!C55</f>
        <v/>
      </c>
      <c r="C53" t="str">
        <f>'Vendor Entry Sheet'!I55</f>
        <v/>
      </c>
      <c r="D53" s="7" t="str">
        <f>'Vendor Entry Sheet'!J55</f>
        <v/>
      </c>
      <c r="E53" t="str">
        <f>'Vendor Entry Sheet'!D55</f>
        <v/>
      </c>
      <c r="F53">
        <f>'Vendor Entry Sheet'!E55</f>
        <v>0</v>
      </c>
      <c r="H53" s="50">
        <f>'Vendor Entry Sheet'!F55</f>
        <v>0</v>
      </c>
      <c r="I53">
        <f>'Vendor Entry Sheet'!G55</f>
        <v>0</v>
      </c>
      <c r="K53" s="8">
        <v>1005</v>
      </c>
      <c r="L53">
        <f>'Vendor Entry Sheet'!H55</f>
        <v>0</v>
      </c>
      <c r="M53" s="8" t="s">
        <v>39</v>
      </c>
    </row>
    <row r="54" spans="1:13" x14ac:dyDescent="0.35">
      <c r="A54" s="6">
        <f>'Vendor Entry Sheet'!A56</f>
        <v>0</v>
      </c>
      <c r="B54" s="5" t="str">
        <f>'Vendor Entry Sheet'!C56</f>
        <v/>
      </c>
      <c r="C54" t="str">
        <f>'Vendor Entry Sheet'!I56</f>
        <v/>
      </c>
      <c r="D54" s="7" t="str">
        <f>'Vendor Entry Sheet'!J56</f>
        <v/>
      </c>
      <c r="E54" t="str">
        <f>'Vendor Entry Sheet'!D56</f>
        <v/>
      </c>
      <c r="F54">
        <f>'Vendor Entry Sheet'!E56</f>
        <v>0</v>
      </c>
      <c r="H54" s="50">
        <f>'Vendor Entry Sheet'!F56</f>
        <v>0</v>
      </c>
      <c r="I54">
        <f>'Vendor Entry Sheet'!G56</f>
        <v>0</v>
      </c>
      <c r="K54" s="8">
        <v>1005</v>
      </c>
      <c r="L54">
        <f>'Vendor Entry Sheet'!H56</f>
        <v>0</v>
      </c>
      <c r="M54" s="8" t="s">
        <v>39</v>
      </c>
    </row>
    <row r="55" spans="1:13" x14ac:dyDescent="0.35">
      <c r="A55" s="6">
        <f>'Vendor Entry Sheet'!A57</f>
        <v>0</v>
      </c>
      <c r="B55" s="5" t="str">
        <f>'Vendor Entry Sheet'!C57</f>
        <v/>
      </c>
      <c r="C55" t="str">
        <f>'Vendor Entry Sheet'!I57</f>
        <v/>
      </c>
      <c r="D55" s="7" t="str">
        <f>'Vendor Entry Sheet'!J57</f>
        <v/>
      </c>
      <c r="E55" t="str">
        <f>'Vendor Entry Sheet'!D57</f>
        <v/>
      </c>
      <c r="F55">
        <f>'Vendor Entry Sheet'!E57</f>
        <v>0</v>
      </c>
      <c r="H55" s="50">
        <f>'Vendor Entry Sheet'!F57</f>
        <v>0</v>
      </c>
      <c r="I55">
        <f>'Vendor Entry Sheet'!G57</f>
        <v>0</v>
      </c>
      <c r="K55" s="8">
        <v>1005</v>
      </c>
      <c r="L55">
        <f>'Vendor Entry Sheet'!H57</f>
        <v>0</v>
      </c>
      <c r="M55" s="8" t="s">
        <v>39</v>
      </c>
    </row>
    <row r="56" spans="1:13" x14ac:dyDescent="0.35">
      <c r="A56" s="6">
        <f>'Vendor Entry Sheet'!A58</f>
        <v>0</v>
      </c>
      <c r="B56" s="5" t="str">
        <f>'Vendor Entry Sheet'!C58</f>
        <v/>
      </c>
      <c r="C56" t="str">
        <f>'Vendor Entry Sheet'!I58</f>
        <v/>
      </c>
      <c r="D56" s="7" t="str">
        <f>'Vendor Entry Sheet'!J58</f>
        <v/>
      </c>
      <c r="E56" t="str">
        <f>'Vendor Entry Sheet'!D58</f>
        <v/>
      </c>
      <c r="F56">
        <f>'Vendor Entry Sheet'!E58</f>
        <v>0</v>
      </c>
      <c r="H56" s="50">
        <f>'Vendor Entry Sheet'!F58</f>
        <v>0</v>
      </c>
      <c r="I56">
        <f>'Vendor Entry Sheet'!G58</f>
        <v>0</v>
      </c>
      <c r="K56" s="8">
        <v>1005</v>
      </c>
      <c r="L56">
        <f>'Vendor Entry Sheet'!H58</f>
        <v>0</v>
      </c>
      <c r="M56" s="8" t="s">
        <v>39</v>
      </c>
    </row>
    <row r="57" spans="1:13" x14ac:dyDescent="0.35">
      <c r="A57" s="6">
        <f>'Vendor Entry Sheet'!A59</f>
        <v>0</v>
      </c>
      <c r="B57" s="5" t="str">
        <f>'Vendor Entry Sheet'!C59</f>
        <v/>
      </c>
      <c r="C57" t="str">
        <f>'Vendor Entry Sheet'!I59</f>
        <v/>
      </c>
      <c r="D57" s="7" t="str">
        <f>'Vendor Entry Sheet'!J59</f>
        <v/>
      </c>
      <c r="E57" t="str">
        <f>'Vendor Entry Sheet'!D59</f>
        <v/>
      </c>
      <c r="F57">
        <f>'Vendor Entry Sheet'!E59</f>
        <v>0</v>
      </c>
      <c r="H57" s="50">
        <f>'Vendor Entry Sheet'!F59</f>
        <v>0</v>
      </c>
      <c r="I57">
        <f>'Vendor Entry Sheet'!G59</f>
        <v>0</v>
      </c>
      <c r="K57" s="8">
        <v>1005</v>
      </c>
      <c r="L57">
        <f>'Vendor Entry Sheet'!H59</f>
        <v>0</v>
      </c>
      <c r="M57" s="8" t="s">
        <v>39</v>
      </c>
    </row>
    <row r="58" spans="1:13" x14ac:dyDescent="0.35">
      <c r="A58" s="6">
        <f>'Vendor Entry Sheet'!A60</f>
        <v>0</v>
      </c>
      <c r="B58" s="5" t="str">
        <f>'Vendor Entry Sheet'!C60</f>
        <v/>
      </c>
      <c r="C58" t="str">
        <f>'Vendor Entry Sheet'!I60</f>
        <v/>
      </c>
      <c r="D58" s="7" t="str">
        <f>'Vendor Entry Sheet'!J60</f>
        <v/>
      </c>
      <c r="E58" t="str">
        <f>'Vendor Entry Sheet'!D60</f>
        <v/>
      </c>
      <c r="F58">
        <f>'Vendor Entry Sheet'!E60</f>
        <v>0</v>
      </c>
      <c r="H58" s="50">
        <f>'Vendor Entry Sheet'!F60</f>
        <v>0</v>
      </c>
      <c r="I58">
        <f>'Vendor Entry Sheet'!G60</f>
        <v>0</v>
      </c>
      <c r="K58" s="8">
        <v>1005</v>
      </c>
      <c r="L58">
        <f>'Vendor Entry Sheet'!H60</f>
        <v>0</v>
      </c>
      <c r="M58" s="8" t="s">
        <v>39</v>
      </c>
    </row>
    <row r="59" spans="1:13" x14ac:dyDescent="0.35">
      <c r="A59" s="6">
        <f>'Vendor Entry Sheet'!A61</f>
        <v>0</v>
      </c>
      <c r="B59" s="5" t="str">
        <f>'Vendor Entry Sheet'!C61</f>
        <v/>
      </c>
      <c r="C59" t="str">
        <f>'Vendor Entry Sheet'!I61</f>
        <v/>
      </c>
      <c r="D59" s="7" t="str">
        <f>'Vendor Entry Sheet'!J61</f>
        <v/>
      </c>
      <c r="E59" t="str">
        <f>'Vendor Entry Sheet'!D61</f>
        <v/>
      </c>
      <c r="F59">
        <f>'Vendor Entry Sheet'!E61</f>
        <v>0</v>
      </c>
      <c r="H59" s="50">
        <f>'Vendor Entry Sheet'!F61</f>
        <v>0</v>
      </c>
      <c r="I59">
        <f>'Vendor Entry Sheet'!G61</f>
        <v>0</v>
      </c>
      <c r="K59" s="8">
        <v>1005</v>
      </c>
      <c r="L59">
        <f>'Vendor Entry Sheet'!H61</f>
        <v>0</v>
      </c>
      <c r="M59" s="8" t="s">
        <v>39</v>
      </c>
    </row>
    <row r="60" spans="1:13" x14ac:dyDescent="0.35">
      <c r="A60" s="6">
        <f>'Vendor Entry Sheet'!A62</f>
        <v>0</v>
      </c>
      <c r="B60" s="5" t="str">
        <f>'Vendor Entry Sheet'!C62</f>
        <v/>
      </c>
      <c r="C60" t="str">
        <f>'Vendor Entry Sheet'!I62</f>
        <v/>
      </c>
      <c r="D60" s="7" t="str">
        <f>'Vendor Entry Sheet'!J62</f>
        <v/>
      </c>
      <c r="E60" t="str">
        <f>'Vendor Entry Sheet'!D62</f>
        <v/>
      </c>
      <c r="F60">
        <f>'Vendor Entry Sheet'!E62</f>
        <v>0</v>
      </c>
      <c r="H60" s="50">
        <f>'Vendor Entry Sheet'!F62</f>
        <v>0</v>
      </c>
      <c r="I60">
        <f>'Vendor Entry Sheet'!G62</f>
        <v>0</v>
      </c>
      <c r="K60" s="8">
        <v>1005</v>
      </c>
      <c r="L60">
        <f>'Vendor Entry Sheet'!H62</f>
        <v>0</v>
      </c>
      <c r="M60" s="8" t="s">
        <v>39</v>
      </c>
    </row>
    <row r="61" spans="1:13" x14ac:dyDescent="0.35">
      <c r="A61" s="6">
        <f>'Vendor Entry Sheet'!A63</f>
        <v>0</v>
      </c>
      <c r="B61" s="5" t="str">
        <f>'Vendor Entry Sheet'!C63</f>
        <v/>
      </c>
      <c r="C61" t="str">
        <f>'Vendor Entry Sheet'!I63</f>
        <v/>
      </c>
      <c r="D61" s="7" t="str">
        <f>'Vendor Entry Sheet'!J63</f>
        <v/>
      </c>
      <c r="E61" t="str">
        <f>'Vendor Entry Sheet'!D63</f>
        <v/>
      </c>
      <c r="F61">
        <f>'Vendor Entry Sheet'!E63</f>
        <v>0</v>
      </c>
      <c r="H61" s="50">
        <f>'Vendor Entry Sheet'!F63</f>
        <v>0</v>
      </c>
      <c r="I61">
        <f>'Vendor Entry Sheet'!G63</f>
        <v>0</v>
      </c>
      <c r="K61" s="8">
        <v>1005</v>
      </c>
      <c r="L61">
        <f>'Vendor Entry Sheet'!H63</f>
        <v>0</v>
      </c>
      <c r="M61" s="8" t="s">
        <v>39</v>
      </c>
    </row>
    <row r="62" spans="1:13" x14ac:dyDescent="0.35">
      <c r="A62" s="6">
        <f>'Vendor Entry Sheet'!A64</f>
        <v>0</v>
      </c>
      <c r="B62" s="5" t="str">
        <f>'Vendor Entry Sheet'!C64</f>
        <v/>
      </c>
      <c r="C62" t="str">
        <f>'Vendor Entry Sheet'!I64</f>
        <v/>
      </c>
      <c r="D62" s="7" t="str">
        <f>'Vendor Entry Sheet'!J64</f>
        <v/>
      </c>
      <c r="E62" t="str">
        <f>'Vendor Entry Sheet'!D64</f>
        <v/>
      </c>
      <c r="F62">
        <f>'Vendor Entry Sheet'!E64</f>
        <v>0</v>
      </c>
      <c r="H62" s="50">
        <f>'Vendor Entry Sheet'!F64</f>
        <v>0</v>
      </c>
      <c r="I62">
        <f>'Vendor Entry Sheet'!G64</f>
        <v>0</v>
      </c>
      <c r="K62" s="8">
        <v>1005</v>
      </c>
      <c r="L62">
        <f>'Vendor Entry Sheet'!H64</f>
        <v>0</v>
      </c>
      <c r="M62" s="8" t="s">
        <v>39</v>
      </c>
    </row>
    <row r="63" spans="1:13" x14ac:dyDescent="0.35">
      <c r="A63" s="6">
        <f>'Vendor Entry Sheet'!A65</f>
        <v>0</v>
      </c>
      <c r="B63" s="5" t="str">
        <f>'Vendor Entry Sheet'!C65</f>
        <v/>
      </c>
      <c r="C63" t="str">
        <f>'Vendor Entry Sheet'!I65</f>
        <v/>
      </c>
      <c r="D63" s="7" t="str">
        <f>'Vendor Entry Sheet'!J65</f>
        <v/>
      </c>
      <c r="E63" t="str">
        <f>'Vendor Entry Sheet'!D65</f>
        <v/>
      </c>
      <c r="F63">
        <f>'Vendor Entry Sheet'!E65</f>
        <v>0</v>
      </c>
      <c r="H63" s="50">
        <f>'Vendor Entry Sheet'!F65</f>
        <v>0</v>
      </c>
      <c r="I63">
        <f>'Vendor Entry Sheet'!G65</f>
        <v>0</v>
      </c>
      <c r="K63" s="8">
        <v>1005</v>
      </c>
      <c r="L63">
        <f>'Vendor Entry Sheet'!H65</f>
        <v>0</v>
      </c>
      <c r="M63" s="8" t="s">
        <v>39</v>
      </c>
    </row>
    <row r="64" spans="1:13" x14ac:dyDescent="0.35">
      <c r="A64" s="6">
        <f>'Vendor Entry Sheet'!A66</f>
        <v>0</v>
      </c>
      <c r="B64" s="5" t="str">
        <f>'Vendor Entry Sheet'!C66</f>
        <v/>
      </c>
      <c r="C64" t="str">
        <f>'Vendor Entry Sheet'!I66</f>
        <v/>
      </c>
      <c r="D64" s="7" t="str">
        <f>'Vendor Entry Sheet'!J66</f>
        <v/>
      </c>
      <c r="E64" t="str">
        <f>'Vendor Entry Sheet'!D66</f>
        <v/>
      </c>
      <c r="F64">
        <f>'Vendor Entry Sheet'!E66</f>
        <v>0</v>
      </c>
      <c r="H64" s="50">
        <f>'Vendor Entry Sheet'!F66</f>
        <v>0</v>
      </c>
      <c r="I64">
        <f>'Vendor Entry Sheet'!G66</f>
        <v>0</v>
      </c>
      <c r="K64" s="8">
        <v>1005</v>
      </c>
      <c r="L64">
        <f>'Vendor Entry Sheet'!H66</f>
        <v>0</v>
      </c>
      <c r="M64" s="8" t="s">
        <v>39</v>
      </c>
    </row>
    <row r="65" spans="1:13" x14ac:dyDescent="0.35">
      <c r="A65" s="6">
        <f>'Vendor Entry Sheet'!A67</f>
        <v>0</v>
      </c>
      <c r="B65" s="5" t="str">
        <f>'Vendor Entry Sheet'!C67</f>
        <v/>
      </c>
      <c r="C65" t="str">
        <f>'Vendor Entry Sheet'!I67</f>
        <v/>
      </c>
      <c r="D65" s="7" t="str">
        <f>'Vendor Entry Sheet'!J67</f>
        <v/>
      </c>
      <c r="E65" t="str">
        <f>'Vendor Entry Sheet'!D67</f>
        <v/>
      </c>
      <c r="F65">
        <f>'Vendor Entry Sheet'!E67</f>
        <v>0</v>
      </c>
      <c r="H65" s="50">
        <f>'Vendor Entry Sheet'!F67</f>
        <v>0</v>
      </c>
      <c r="I65">
        <f>'Vendor Entry Sheet'!G67</f>
        <v>0</v>
      </c>
      <c r="K65" s="8">
        <v>1005</v>
      </c>
      <c r="L65">
        <f>'Vendor Entry Sheet'!H67</f>
        <v>0</v>
      </c>
      <c r="M65" s="8" t="s">
        <v>39</v>
      </c>
    </row>
    <row r="66" spans="1:13" x14ac:dyDescent="0.35">
      <c r="A66" s="6">
        <f>'Vendor Entry Sheet'!A68</f>
        <v>0</v>
      </c>
      <c r="B66" s="5" t="str">
        <f>'Vendor Entry Sheet'!C68</f>
        <v/>
      </c>
      <c r="C66" t="str">
        <f>'Vendor Entry Sheet'!I68</f>
        <v/>
      </c>
      <c r="D66" s="7" t="str">
        <f>'Vendor Entry Sheet'!J68</f>
        <v/>
      </c>
      <c r="E66" t="str">
        <f>'Vendor Entry Sheet'!D68</f>
        <v/>
      </c>
      <c r="F66">
        <f>'Vendor Entry Sheet'!E68</f>
        <v>0</v>
      </c>
      <c r="H66" s="50">
        <f>'Vendor Entry Sheet'!F68</f>
        <v>0</v>
      </c>
      <c r="I66">
        <f>'Vendor Entry Sheet'!G68</f>
        <v>0</v>
      </c>
      <c r="K66" s="8">
        <v>1005</v>
      </c>
      <c r="L66">
        <f>'Vendor Entry Sheet'!H68</f>
        <v>0</v>
      </c>
      <c r="M66" s="8" t="s">
        <v>39</v>
      </c>
    </row>
    <row r="67" spans="1:13" x14ac:dyDescent="0.35">
      <c r="A67" s="6">
        <f>'Vendor Entry Sheet'!A69</f>
        <v>0</v>
      </c>
      <c r="B67" s="5" t="str">
        <f>'Vendor Entry Sheet'!C69</f>
        <v/>
      </c>
      <c r="C67" t="str">
        <f>'Vendor Entry Sheet'!I69</f>
        <v/>
      </c>
      <c r="D67" s="7" t="str">
        <f>'Vendor Entry Sheet'!J69</f>
        <v/>
      </c>
      <c r="E67" t="str">
        <f>'Vendor Entry Sheet'!D69</f>
        <v/>
      </c>
      <c r="F67">
        <f>'Vendor Entry Sheet'!E69</f>
        <v>0</v>
      </c>
      <c r="H67" s="50">
        <f>'Vendor Entry Sheet'!F69</f>
        <v>0</v>
      </c>
      <c r="I67">
        <f>'Vendor Entry Sheet'!G69</f>
        <v>0</v>
      </c>
      <c r="K67" s="8">
        <v>1005</v>
      </c>
      <c r="L67">
        <f>'Vendor Entry Sheet'!H69</f>
        <v>0</v>
      </c>
      <c r="M67" s="8" t="s">
        <v>39</v>
      </c>
    </row>
    <row r="68" spans="1:13" x14ac:dyDescent="0.35">
      <c r="A68" s="6">
        <f>'Vendor Entry Sheet'!A70</f>
        <v>0</v>
      </c>
      <c r="B68" s="5" t="str">
        <f>'Vendor Entry Sheet'!C70</f>
        <v/>
      </c>
      <c r="C68" t="str">
        <f>'Vendor Entry Sheet'!I70</f>
        <v/>
      </c>
      <c r="D68" s="7" t="str">
        <f>'Vendor Entry Sheet'!J70</f>
        <v/>
      </c>
      <c r="E68" t="str">
        <f>'Vendor Entry Sheet'!D70</f>
        <v/>
      </c>
      <c r="F68">
        <f>'Vendor Entry Sheet'!E70</f>
        <v>0</v>
      </c>
      <c r="H68" s="50">
        <f>'Vendor Entry Sheet'!F70</f>
        <v>0</v>
      </c>
      <c r="I68">
        <f>'Vendor Entry Sheet'!G70</f>
        <v>0</v>
      </c>
      <c r="K68" s="8">
        <v>1005</v>
      </c>
      <c r="L68">
        <f>'Vendor Entry Sheet'!H70</f>
        <v>0</v>
      </c>
      <c r="M68" s="8" t="s">
        <v>39</v>
      </c>
    </row>
    <row r="69" spans="1:13" x14ac:dyDescent="0.35">
      <c r="A69" s="6">
        <f>'Vendor Entry Sheet'!A71</f>
        <v>0</v>
      </c>
      <c r="B69" s="5" t="str">
        <f>'Vendor Entry Sheet'!C71</f>
        <v/>
      </c>
      <c r="C69" t="str">
        <f>'Vendor Entry Sheet'!I71</f>
        <v/>
      </c>
      <c r="D69" s="7" t="str">
        <f>'Vendor Entry Sheet'!J71</f>
        <v/>
      </c>
      <c r="E69" t="str">
        <f>'Vendor Entry Sheet'!D71</f>
        <v/>
      </c>
      <c r="F69">
        <f>'Vendor Entry Sheet'!E71</f>
        <v>0</v>
      </c>
      <c r="H69" s="50">
        <f>'Vendor Entry Sheet'!F71</f>
        <v>0</v>
      </c>
      <c r="I69">
        <f>'Vendor Entry Sheet'!G71</f>
        <v>0</v>
      </c>
      <c r="K69" s="8">
        <v>1005</v>
      </c>
      <c r="L69">
        <f>'Vendor Entry Sheet'!H71</f>
        <v>0</v>
      </c>
      <c r="M69" s="8" t="s">
        <v>39</v>
      </c>
    </row>
    <row r="70" spans="1:13" x14ac:dyDescent="0.35">
      <c r="A70" s="6">
        <f>'Vendor Entry Sheet'!A72</f>
        <v>0</v>
      </c>
      <c r="B70" s="5" t="str">
        <f>'Vendor Entry Sheet'!C72</f>
        <v/>
      </c>
      <c r="C70" t="str">
        <f>'Vendor Entry Sheet'!I72</f>
        <v/>
      </c>
      <c r="D70" s="7" t="str">
        <f>'Vendor Entry Sheet'!J72</f>
        <v/>
      </c>
      <c r="E70" t="str">
        <f>'Vendor Entry Sheet'!D72</f>
        <v/>
      </c>
      <c r="F70">
        <f>'Vendor Entry Sheet'!E72</f>
        <v>0</v>
      </c>
      <c r="H70" s="50">
        <f>'Vendor Entry Sheet'!F72</f>
        <v>0</v>
      </c>
      <c r="I70">
        <f>'Vendor Entry Sheet'!G72</f>
        <v>0</v>
      </c>
      <c r="K70" s="8">
        <v>1005</v>
      </c>
      <c r="L70">
        <f>'Vendor Entry Sheet'!H72</f>
        <v>0</v>
      </c>
      <c r="M70" s="8" t="s">
        <v>39</v>
      </c>
    </row>
    <row r="71" spans="1:13" x14ac:dyDescent="0.35">
      <c r="A71" s="6">
        <f>'Vendor Entry Sheet'!A73</f>
        <v>0</v>
      </c>
      <c r="B71" s="5" t="str">
        <f>'Vendor Entry Sheet'!C73</f>
        <v/>
      </c>
      <c r="C71" t="str">
        <f>'Vendor Entry Sheet'!I73</f>
        <v/>
      </c>
      <c r="D71" s="7" t="str">
        <f>'Vendor Entry Sheet'!J73</f>
        <v/>
      </c>
      <c r="E71" t="str">
        <f>'Vendor Entry Sheet'!D73</f>
        <v/>
      </c>
      <c r="F71">
        <f>'Vendor Entry Sheet'!E73</f>
        <v>0</v>
      </c>
      <c r="H71" s="50">
        <f>'Vendor Entry Sheet'!F73</f>
        <v>0</v>
      </c>
      <c r="I71">
        <f>'Vendor Entry Sheet'!G73</f>
        <v>0</v>
      </c>
      <c r="K71" s="8">
        <v>1005</v>
      </c>
      <c r="L71">
        <f>'Vendor Entry Sheet'!H73</f>
        <v>0</v>
      </c>
      <c r="M71" s="8" t="s">
        <v>39</v>
      </c>
    </row>
    <row r="72" spans="1:13" x14ac:dyDescent="0.35">
      <c r="A72" s="6">
        <f>'Vendor Entry Sheet'!A74</f>
        <v>0</v>
      </c>
      <c r="B72" s="5" t="str">
        <f>'Vendor Entry Sheet'!C74</f>
        <v/>
      </c>
      <c r="C72" t="str">
        <f>'Vendor Entry Sheet'!I74</f>
        <v/>
      </c>
      <c r="D72" s="7" t="str">
        <f>'Vendor Entry Sheet'!J74</f>
        <v/>
      </c>
      <c r="E72" t="str">
        <f>'Vendor Entry Sheet'!D74</f>
        <v/>
      </c>
      <c r="F72">
        <f>'Vendor Entry Sheet'!E74</f>
        <v>0</v>
      </c>
      <c r="H72" s="50">
        <f>'Vendor Entry Sheet'!F74</f>
        <v>0</v>
      </c>
      <c r="I72">
        <f>'Vendor Entry Sheet'!G74</f>
        <v>0</v>
      </c>
      <c r="K72" s="8">
        <v>1005</v>
      </c>
      <c r="L72">
        <f>'Vendor Entry Sheet'!H74</f>
        <v>0</v>
      </c>
      <c r="M72" s="8" t="s">
        <v>39</v>
      </c>
    </row>
    <row r="73" spans="1:13" x14ac:dyDescent="0.35">
      <c r="A73" s="6">
        <f>'Vendor Entry Sheet'!A75</f>
        <v>0</v>
      </c>
      <c r="B73" s="5" t="str">
        <f>'Vendor Entry Sheet'!C75</f>
        <v/>
      </c>
      <c r="C73" t="str">
        <f>'Vendor Entry Sheet'!I75</f>
        <v/>
      </c>
      <c r="D73" s="7" t="str">
        <f>'Vendor Entry Sheet'!J75</f>
        <v/>
      </c>
      <c r="E73" t="str">
        <f>'Vendor Entry Sheet'!D75</f>
        <v/>
      </c>
      <c r="F73">
        <f>'Vendor Entry Sheet'!E75</f>
        <v>0</v>
      </c>
      <c r="H73" s="50">
        <f>'Vendor Entry Sheet'!F75</f>
        <v>0</v>
      </c>
      <c r="I73">
        <f>'Vendor Entry Sheet'!G75</f>
        <v>0</v>
      </c>
      <c r="K73" s="8">
        <v>1005</v>
      </c>
      <c r="L73">
        <f>'Vendor Entry Sheet'!H75</f>
        <v>0</v>
      </c>
      <c r="M73" s="8" t="s">
        <v>39</v>
      </c>
    </row>
    <row r="74" spans="1:13" x14ac:dyDescent="0.35">
      <c r="A74" s="6">
        <f>'Vendor Entry Sheet'!A76</f>
        <v>0</v>
      </c>
      <c r="B74" s="5" t="str">
        <f>'Vendor Entry Sheet'!C76</f>
        <v/>
      </c>
      <c r="C74" t="str">
        <f>'Vendor Entry Sheet'!I76</f>
        <v/>
      </c>
      <c r="D74" s="7" t="str">
        <f>'Vendor Entry Sheet'!J76</f>
        <v/>
      </c>
      <c r="E74" t="str">
        <f>'Vendor Entry Sheet'!D76</f>
        <v/>
      </c>
      <c r="F74">
        <f>'Vendor Entry Sheet'!E76</f>
        <v>0</v>
      </c>
      <c r="H74" s="50">
        <f>'Vendor Entry Sheet'!F76</f>
        <v>0</v>
      </c>
      <c r="I74">
        <f>'Vendor Entry Sheet'!G76</f>
        <v>0</v>
      </c>
      <c r="K74" s="8">
        <v>1005</v>
      </c>
      <c r="L74">
        <f>'Vendor Entry Sheet'!H76</f>
        <v>0</v>
      </c>
      <c r="M74" s="8" t="s">
        <v>39</v>
      </c>
    </row>
    <row r="75" spans="1:13" x14ac:dyDescent="0.35">
      <c r="A75" s="6">
        <f>'Vendor Entry Sheet'!A77</f>
        <v>0</v>
      </c>
      <c r="B75" s="5" t="str">
        <f>'Vendor Entry Sheet'!C77</f>
        <v/>
      </c>
      <c r="C75" t="str">
        <f>'Vendor Entry Sheet'!I77</f>
        <v/>
      </c>
      <c r="D75" s="7" t="str">
        <f>'Vendor Entry Sheet'!J77</f>
        <v/>
      </c>
      <c r="E75" t="str">
        <f>'Vendor Entry Sheet'!D77</f>
        <v/>
      </c>
      <c r="F75">
        <f>'Vendor Entry Sheet'!E77</f>
        <v>0</v>
      </c>
      <c r="H75" s="50">
        <f>'Vendor Entry Sheet'!F77</f>
        <v>0</v>
      </c>
      <c r="I75">
        <f>'Vendor Entry Sheet'!G77</f>
        <v>0</v>
      </c>
      <c r="K75" s="8">
        <v>1005</v>
      </c>
      <c r="L75">
        <f>'Vendor Entry Sheet'!H77</f>
        <v>0</v>
      </c>
      <c r="M75" s="8" t="s">
        <v>39</v>
      </c>
    </row>
    <row r="76" spans="1:13" x14ac:dyDescent="0.35">
      <c r="A76" s="6">
        <f>'Vendor Entry Sheet'!A78</f>
        <v>0</v>
      </c>
      <c r="B76" s="5" t="str">
        <f>'Vendor Entry Sheet'!C78</f>
        <v/>
      </c>
      <c r="C76" t="str">
        <f>'Vendor Entry Sheet'!I78</f>
        <v/>
      </c>
      <c r="D76" s="7" t="str">
        <f>'Vendor Entry Sheet'!J78</f>
        <v/>
      </c>
      <c r="E76" t="str">
        <f>'Vendor Entry Sheet'!D78</f>
        <v/>
      </c>
      <c r="F76">
        <f>'Vendor Entry Sheet'!E78</f>
        <v>0</v>
      </c>
      <c r="H76" s="50">
        <f>'Vendor Entry Sheet'!F78</f>
        <v>0</v>
      </c>
      <c r="I76">
        <f>'Vendor Entry Sheet'!G78</f>
        <v>0</v>
      </c>
      <c r="K76" s="8">
        <v>1005</v>
      </c>
      <c r="L76">
        <f>'Vendor Entry Sheet'!H78</f>
        <v>0</v>
      </c>
      <c r="M76" s="8" t="s">
        <v>39</v>
      </c>
    </row>
    <row r="77" spans="1:13" x14ac:dyDescent="0.35">
      <c r="A77" s="6">
        <f>'Vendor Entry Sheet'!A79</f>
        <v>0</v>
      </c>
      <c r="B77" s="5" t="str">
        <f>'Vendor Entry Sheet'!C79</f>
        <v/>
      </c>
      <c r="C77" t="str">
        <f>'Vendor Entry Sheet'!I79</f>
        <v/>
      </c>
      <c r="D77" s="7" t="str">
        <f>'Vendor Entry Sheet'!J79</f>
        <v/>
      </c>
      <c r="E77" t="str">
        <f>'Vendor Entry Sheet'!D79</f>
        <v/>
      </c>
      <c r="F77">
        <f>'Vendor Entry Sheet'!E79</f>
        <v>0</v>
      </c>
      <c r="H77" s="50">
        <f>'Vendor Entry Sheet'!F79</f>
        <v>0</v>
      </c>
      <c r="I77">
        <f>'Vendor Entry Sheet'!G79</f>
        <v>0</v>
      </c>
      <c r="K77" s="8">
        <v>1005</v>
      </c>
      <c r="L77">
        <f>'Vendor Entry Sheet'!H79</f>
        <v>0</v>
      </c>
      <c r="M77" s="8" t="s">
        <v>39</v>
      </c>
    </row>
    <row r="78" spans="1:13" x14ac:dyDescent="0.35">
      <c r="A78" s="6">
        <f>'Vendor Entry Sheet'!A80</f>
        <v>0</v>
      </c>
      <c r="B78" s="5" t="str">
        <f>'Vendor Entry Sheet'!C80</f>
        <v/>
      </c>
      <c r="C78" t="str">
        <f>'Vendor Entry Sheet'!I80</f>
        <v/>
      </c>
      <c r="D78" s="7" t="str">
        <f>'Vendor Entry Sheet'!J80</f>
        <v/>
      </c>
      <c r="E78" t="str">
        <f>'Vendor Entry Sheet'!D80</f>
        <v/>
      </c>
      <c r="F78">
        <f>'Vendor Entry Sheet'!E80</f>
        <v>0</v>
      </c>
      <c r="H78" s="50">
        <f>'Vendor Entry Sheet'!F80</f>
        <v>0</v>
      </c>
      <c r="I78">
        <f>'Vendor Entry Sheet'!G80</f>
        <v>0</v>
      </c>
      <c r="K78" s="8">
        <v>1005</v>
      </c>
      <c r="L78">
        <f>'Vendor Entry Sheet'!H80</f>
        <v>0</v>
      </c>
      <c r="M78" s="8" t="s">
        <v>39</v>
      </c>
    </row>
    <row r="79" spans="1:13" x14ac:dyDescent="0.35">
      <c r="A79" s="6">
        <f>'Vendor Entry Sheet'!A81</f>
        <v>0</v>
      </c>
      <c r="B79" s="5" t="str">
        <f>'Vendor Entry Sheet'!C81</f>
        <v/>
      </c>
      <c r="C79" t="str">
        <f>'Vendor Entry Sheet'!I81</f>
        <v/>
      </c>
      <c r="D79" s="7" t="str">
        <f>'Vendor Entry Sheet'!J81</f>
        <v/>
      </c>
      <c r="E79" t="str">
        <f>'Vendor Entry Sheet'!D81</f>
        <v/>
      </c>
      <c r="F79">
        <f>'Vendor Entry Sheet'!E81</f>
        <v>0</v>
      </c>
      <c r="H79" s="50">
        <f>'Vendor Entry Sheet'!F81</f>
        <v>0</v>
      </c>
      <c r="I79">
        <f>'Vendor Entry Sheet'!G81</f>
        <v>0</v>
      </c>
      <c r="K79" s="8">
        <v>1005</v>
      </c>
      <c r="L79">
        <f>'Vendor Entry Sheet'!H81</f>
        <v>0</v>
      </c>
      <c r="M79" s="8" t="s">
        <v>39</v>
      </c>
    </row>
    <row r="80" spans="1:13" x14ac:dyDescent="0.35">
      <c r="A80" s="6">
        <f>'Vendor Entry Sheet'!A82</f>
        <v>0</v>
      </c>
      <c r="B80" s="5" t="str">
        <f>'Vendor Entry Sheet'!C82</f>
        <v/>
      </c>
      <c r="C80" t="str">
        <f>'Vendor Entry Sheet'!I82</f>
        <v/>
      </c>
      <c r="D80" s="7" t="str">
        <f>'Vendor Entry Sheet'!J82</f>
        <v/>
      </c>
      <c r="E80" t="str">
        <f>'Vendor Entry Sheet'!D82</f>
        <v/>
      </c>
      <c r="F80">
        <f>'Vendor Entry Sheet'!E82</f>
        <v>0</v>
      </c>
      <c r="H80" s="50">
        <f>'Vendor Entry Sheet'!F82</f>
        <v>0</v>
      </c>
      <c r="I80">
        <f>'Vendor Entry Sheet'!G82</f>
        <v>0</v>
      </c>
      <c r="K80" s="8">
        <v>1005</v>
      </c>
      <c r="L80">
        <f>'Vendor Entry Sheet'!H82</f>
        <v>0</v>
      </c>
      <c r="M80" s="8" t="s">
        <v>39</v>
      </c>
    </row>
    <row r="81" spans="1:13" x14ac:dyDescent="0.35">
      <c r="A81" s="6">
        <f>'Vendor Entry Sheet'!A83</f>
        <v>0</v>
      </c>
      <c r="B81" s="5" t="str">
        <f>'Vendor Entry Sheet'!C83</f>
        <v/>
      </c>
      <c r="C81" t="str">
        <f>'Vendor Entry Sheet'!I83</f>
        <v/>
      </c>
      <c r="D81" s="7" t="str">
        <f>'Vendor Entry Sheet'!J83</f>
        <v/>
      </c>
      <c r="E81" t="str">
        <f>'Vendor Entry Sheet'!D83</f>
        <v/>
      </c>
      <c r="F81">
        <f>'Vendor Entry Sheet'!E83</f>
        <v>0</v>
      </c>
      <c r="H81" s="50">
        <f>'Vendor Entry Sheet'!F83</f>
        <v>0</v>
      </c>
      <c r="I81">
        <f>'Vendor Entry Sheet'!G83</f>
        <v>0</v>
      </c>
      <c r="K81" s="8">
        <v>1005</v>
      </c>
      <c r="L81">
        <f>'Vendor Entry Sheet'!H83</f>
        <v>0</v>
      </c>
      <c r="M81" s="8" t="s">
        <v>39</v>
      </c>
    </row>
    <row r="82" spans="1:13" x14ac:dyDescent="0.35">
      <c r="A82" s="6">
        <f>'Vendor Entry Sheet'!A84</f>
        <v>0</v>
      </c>
      <c r="B82" s="5" t="str">
        <f>'Vendor Entry Sheet'!C84</f>
        <v/>
      </c>
      <c r="C82" t="str">
        <f>'Vendor Entry Sheet'!I84</f>
        <v/>
      </c>
      <c r="D82" s="7" t="str">
        <f>'Vendor Entry Sheet'!J84</f>
        <v/>
      </c>
      <c r="E82" t="str">
        <f>'Vendor Entry Sheet'!D84</f>
        <v/>
      </c>
      <c r="F82">
        <f>'Vendor Entry Sheet'!E84</f>
        <v>0</v>
      </c>
      <c r="H82" s="50">
        <f>'Vendor Entry Sheet'!F84</f>
        <v>0</v>
      </c>
      <c r="I82">
        <f>'Vendor Entry Sheet'!G84</f>
        <v>0</v>
      </c>
      <c r="K82" s="8">
        <v>1005</v>
      </c>
      <c r="L82">
        <f>'Vendor Entry Sheet'!H84</f>
        <v>0</v>
      </c>
      <c r="M82" s="8" t="s">
        <v>39</v>
      </c>
    </row>
    <row r="83" spans="1:13" x14ac:dyDescent="0.35">
      <c r="A83" s="6">
        <f>'Vendor Entry Sheet'!A85</f>
        <v>0</v>
      </c>
      <c r="B83" s="5" t="str">
        <f>'Vendor Entry Sheet'!C85</f>
        <v/>
      </c>
      <c r="C83" t="str">
        <f>'Vendor Entry Sheet'!I85</f>
        <v/>
      </c>
      <c r="D83" s="7" t="str">
        <f>'Vendor Entry Sheet'!J85</f>
        <v/>
      </c>
      <c r="E83" t="str">
        <f>'Vendor Entry Sheet'!D85</f>
        <v/>
      </c>
      <c r="F83">
        <f>'Vendor Entry Sheet'!E85</f>
        <v>0</v>
      </c>
      <c r="H83" s="50">
        <f>'Vendor Entry Sheet'!F85</f>
        <v>0</v>
      </c>
      <c r="I83">
        <f>'Vendor Entry Sheet'!G85</f>
        <v>0</v>
      </c>
      <c r="K83" s="8">
        <v>1005</v>
      </c>
      <c r="L83">
        <f>'Vendor Entry Sheet'!H85</f>
        <v>0</v>
      </c>
      <c r="M83" s="8" t="s">
        <v>39</v>
      </c>
    </row>
    <row r="84" spans="1:13" x14ac:dyDescent="0.35">
      <c r="A84" s="6">
        <f>'Vendor Entry Sheet'!A86</f>
        <v>0</v>
      </c>
      <c r="B84" s="5" t="str">
        <f>'Vendor Entry Sheet'!C86</f>
        <v/>
      </c>
      <c r="C84" t="str">
        <f>'Vendor Entry Sheet'!I86</f>
        <v/>
      </c>
      <c r="D84" s="7" t="str">
        <f>'Vendor Entry Sheet'!J86</f>
        <v/>
      </c>
      <c r="E84" t="str">
        <f>'Vendor Entry Sheet'!D86</f>
        <v/>
      </c>
      <c r="F84">
        <f>'Vendor Entry Sheet'!E86</f>
        <v>0</v>
      </c>
      <c r="H84" s="50">
        <f>'Vendor Entry Sheet'!F86</f>
        <v>0</v>
      </c>
      <c r="I84">
        <f>'Vendor Entry Sheet'!G86</f>
        <v>0</v>
      </c>
      <c r="K84" s="8">
        <v>1005</v>
      </c>
      <c r="L84">
        <f>'Vendor Entry Sheet'!H86</f>
        <v>0</v>
      </c>
      <c r="M84" s="8" t="s">
        <v>39</v>
      </c>
    </row>
    <row r="85" spans="1:13" x14ac:dyDescent="0.35">
      <c r="A85" s="6">
        <f>'Vendor Entry Sheet'!A87</f>
        <v>0</v>
      </c>
      <c r="B85" s="5" t="str">
        <f>'Vendor Entry Sheet'!C87</f>
        <v/>
      </c>
      <c r="C85" t="str">
        <f>'Vendor Entry Sheet'!I87</f>
        <v/>
      </c>
      <c r="D85" s="7" t="str">
        <f>'Vendor Entry Sheet'!J87</f>
        <v/>
      </c>
      <c r="E85" t="str">
        <f>'Vendor Entry Sheet'!D87</f>
        <v/>
      </c>
      <c r="F85">
        <f>'Vendor Entry Sheet'!E87</f>
        <v>0</v>
      </c>
      <c r="H85" s="50">
        <f>'Vendor Entry Sheet'!F87</f>
        <v>0</v>
      </c>
      <c r="I85">
        <f>'Vendor Entry Sheet'!G87</f>
        <v>0</v>
      </c>
      <c r="K85" s="8">
        <v>1005</v>
      </c>
      <c r="L85">
        <f>'Vendor Entry Sheet'!H87</f>
        <v>0</v>
      </c>
      <c r="M85" s="8" t="s">
        <v>39</v>
      </c>
    </row>
    <row r="86" spans="1:13" x14ac:dyDescent="0.35">
      <c r="A86" s="6">
        <f>'Vendor Entry Sheet'!A88</f>
        <v>0</v>
      </c>
      <c r="B86" s="5" t="str">
        <f>'Vendor Entry Sheet'!C88</f>
        <v/>
      </c>
      <c r="C86" t="str">
        <f>'Vendor Entry Sheet'!I88</f>
        <v/>
      </c>
      <c r="D86" s="7" t="str">
        <f>'Vendor Entry Sheet'!J88</f>
        <v/>
      </c>
      <c r="E86" t="str">
        <f>'Vendor Entry Sheet'!D88</f>
        <v/>
      </c>
      <c r="F86">
        <f>'Vendor Entry Sheet'!E88</f>
        <v>0</v>
      </c>
      <c r="H86" s="50">
        <f>'Vendor Entry Sheet'!F88</f>
        <v>0</v>
      </c>
      <c r="I86">
        <f>'Vendor Entry Sheet'!G88</f>
        <v>0</v>
      </c>
      <c r="K86" s="8">
        <v>1005</v>
      </c>
      <c r="L86">
        <f>'Vendor Entry Sheet'!H88</f>
        <v>0</v>
      </c>
      <c r="M86" s="8" t="s">
        <v>39</v>
      </c>
    </row>
    <row r="87" spans="1:13" x14ac:dyDescent="0.35">
      <c r="A87" s="6">
        <f>'Vendor Entry Sheet'!A89</f>
        <v>0</v>
      </c>
      <c r="B87" s="5" t="str">
        <f>'Vendor Entry Sheet'!C89</f>
        <v/>
      </c>
      <c r="C87" t="str">
        <f>'Vendor Entry Sheet'!I89</f>
        <v/>
      </c>
      <c r="D87" s="7" t="str">
        <f>'Vendor Entry Sheet'!J89</f>
        <v/>
      </c>
      <c r="E87" t="str">
        <f>'Vendor Entry Sheet'!D89</f>
        <v/>
      </c>
      <c r="F87">
        <f>'Vendor Entry Sheet'!E89</f>
        <v>0</v>
      </c>
      <c r="H87" s="50">
        <f>'Vendor Entry Sheet'!F89</f>
        <v>0</v>
      </c>
      <c r="I87">
        <f>'Vendor Entry Sheet'!G89</f>
        <v>0</v>
      </c>
      <c r="K87" s="8">
        <v>1005</v>
      </c>
      <c r="L87">
        <f>'Vendor Entry Sheet'!H89</f>
        <v>0</v>
      </c>
      <c r="M87" s="8" t="s">
        <v>39</v>
      </c>
    </row>
    <row r="88" spans="1:13" x14ac:dyDescent="0.35">
      <c r="A88" s="6">
        <f>'Vendor Entry Sheet'!A90</f>
        <v>0</v>
      </c>
      <c r="B88" s="5" t="str">
        <f>'Vendor Entry Sheet'!C90</f>
        <v/>
      </c>
      <c r="C88" t="str">
        <f>'Vendor Entry Sheet'!I90</f>
        <v/>
      </c>
      <c r="D88" s="7" t="str">
        <f>'Vendor Entry Sheet'!J90</f>
        <v/>
      </c>
      <c r="E88" t="str">
        <f>'Vendor Entry Sheet'!D90</f>
        <v/>
      </c>
      <c r="F88">
        <f>'Vendor Entry Sheet'!E90</f>
        <v>0</v>
      </c>
      <c r="H88" s="50">
        <f>'Vendor Entry Sheet'!F90</f>
        <v>0</v>
      </c>
      <c r="I88">
        <f>'Vendor Entry Sheet'!G90</f>
        <v>0</v>
      </c>
      <c r="K88" s="8">
        <v>1005</v>
      </c>
      <c r="L88">
        <f>'Vendor Entry Sheet'!H90</f>
        <v>0</v>
      </c>
      <c r="M88" s="8" t="s">
        <v>39</v>
      </c>
    </row>
    <row r="89" spans="1:13" x14ac:dyDescent="0.35">
      <c r="A89" s="6">
        <f>'Vendor Entry Sheet'!A91</f>
        <v>0</v>
      </c>
      <c r="B89" s="5" t="str">
        <f>'Vendor Entry Sheet'!C91</f>
        <v/>
      </c>
      <c r="C89" t="str">
        <f>'Vendor Entry Sheet'!I91</f>
        <v/>
      </c>
      <c r="D89" s="7" t="str">
        <f>'Vendor Entry Sheet'!J91</f>
        <v/>
      </c>
      <c r="E89" t="str">
        <f>'Vendor Entry Sheet'!D91</f>
        <v/>
      </c>
      <c r="F89">
        <f>'Vendor Entry Sheet'!E91</f>
        <v>0</v>
      </c>
      <c r="H89" s="50">
        <f>'Vendor Entry Sheet'!F91</f>
        <v>0</v>
      </c>
      <c r="I89">
        <f>'Vendor Entry Sheet'!G91</f>
        <v>0</v>
      </c>
      <c r="K89" s="8">
        <v>1005</v>
      </c>
      <c r="L89">
        <f>'Vendor Entry Sheet'!H91</f>
        <v>0</v>
      </c>
      <c r="M89" s="8" t="s">
        <v>39</v>
      </c>
    </row>
    <row r="90" spans="1:13" x14ac:dyDescent="0.35">
      <c r="A90" s="6">
        <f>'Vendor Entry Sheet'!A92</f>
        <v>0</v>
      </c>
      <c r="B90" s="5" t="str">
        <f>'Vendor Entry Sheet'!C92</f>
        <v/>
      </c>
      <c r="C90" t="str">
        <f>'Vendor Entry Sheet'!I92</f>
        <v/>
      </c>
      <c r="D90" s="7" t="str">
        <f>'Vendor Entry Sheet'!J92</f>
        <v/>
      </c>
      <c r="E90" t="str">
        <f>'Vendor Entry Sheet'!D92</f>
        <v/>
      </c>
      <c r="F90">
        <f>'Vendor Entry Sheet'!E92</f>
        <v>0</v>
      </c>
      <c r="H90" s="50">
        <f>'Vendor Entry Sheet'!F92</f>
        <v>0</v>
      </c>
      <c r="I90">
        <f>'Vendor Entry Sheet'!G92</f>
        <v>0</v>
      </c>
      <c r="K90" s="8">
        <v>1005</v>
      </c>
      <c r="L90">
        <f>'Vendor Entry Sheet'!H92</f>
        <v>0</v>
      </c>
      <c r="M90" s="8" t="s">
        <v>39</v>
      </c>
    </row>
    <row r="91" spans="1:13" x14ac:dyDescent="0.35">
      <c r="A91" s="6">
        <f>'Vendor Entry Sheet'!A93</f>
        <v>0</v>
      </c>
      <c r="B91" s="5" t="str">
        <f>'Vendor Entry Sheet'!C93</f>
        <v/>
      </c>
      <c r="C91" t="str">
        <f>'Vendor Entry Sheet'!I93</f>
        <v/>
      </c>
      <c r="D91" s="7" t="str">
        <f>'Vendor Entry Sheet'!J93</f>
        <v/>
      </c>
      <c r="E91" t="str">
        <f>'Vendor Entry Sheet'!D93</f>
        <v/>
      </c>
      <c r="F91">
        <f>'Vendor Entry Sheet'!E93</f>
        <v>0</v>
      </c>
      <c r="H91" s="50">
        <f>'Vendor Entry Sheet'!F93</f>
        <v>0</v>
      </c>
      <c r="I91">
        <f>'Vendor Entry Sheet'!G93</f>
        <v>0</v>
      </c>
      <c r="K91" s="8">
        <v>1005</v>
      </c>
      <c r="L91">
        <f>'Vendor Entry Sheet'!H93</f>
        <v>0</v>
      </c>
      <c r="M91" s="8" t="s">
        <v>39</v>
      </c>
    </row>
    <row r="92" spans="1:13" x14ac:dyDescent="0.35">
      <c r="A92" s="6">
        <f>'Vendor Entry Sheet'!A94</f>
        <v>0</v>
      </c>
      <c r="B92" s="5" t="str">
        <f>'Vendor Entry Sheet'!C94</f>
        <v/>
      </c>
      <c r="C92" t="str">
        <f>'Vendor Entry Sheet'!I94</f>
        <v/>
      </c>
      <c r="D92" s="7" t="str">
        <f>'Vendor Entry Sheet'!J94</f>
        <v/>
      </c>
      <c r="E92" t="str">
        <f>'Vendor Entry Sheet'!D94</f>
        <v/>
      </c>
      <c r="F92">
        <f>'Vendor Entry Sheet'!E94</f>
        <v>0</v>
      </c>
      <c r="H92" s="50">
        <f>'Vendor Entry Sheet'!F94</f>
        <v>0</v>
      </c>
      <c r="I92">
        <f>'Vendor Entry Sheet'!G94</f>
        <v>0</v>
      </c>
      <c r="K92" s="8">
        <v>1005</v>
      </c>
      <c r="L92">
        <f>'Vendor Entry Sheet'!H94</f>
        <v>0</v>
      </c>
      <c r="M92" s="8" t="s">
        <v>39</v>
      </c>
    </row>
    <row r="93" spans="1:13" x14ac:dyDescent="0.35">
      <c r="A93" s="6">
        <f>'Vendor Entry Sheet'!A95</f>
        <v>0</v>
      </c>
      <c r="B93" s="5" t="str">
        <f>'Vendor Entry Sheet'!C95</f>
        <v/>
      </c>
      <c r="C93" t="str">
        <f>'Vendor Entry Sheet'!I95</f>
        <v/>
      </c>
      <c r="D93" s="7" t="str">
        <f>'Vendor Entry Sheet'!J95</f>
        <v/>
      </c>
      <c r="E93" t="str">
        <f>'Vendor Entry Sheet'!D95</f>
        <v/>
      </c>
      <c r="F93">
        <f>'Vendor Entry Sheet'!E95</f>
        <v>0</v>
      </c>
      <c r="H93" s="50">
        <f>'Vendor Entry Sheet'!F95</f>
        <v>0</v>
      </c>
      <c r="I93">
        <f>'Vendor Entry Sheet'!G95</f>
        <v>0</v>
      </c>
      <c r="K93" s="8">
        <v>1005</v>
      </c>
      <c r="L93">
        <f>'Vendor Entry Sheet'!H95</f>
        <v>0</v>
      </c>
      <c r="M93" s="8" t="s">
        <v>39</v>
      </c>
    </row>
    <row r="94" spans="1:13" x14ac:dyDescent="0.35">
      <c r="A94" s="6">
        <f>'Vendor Entry Sheet'!A96</f>
        <v>0</v>
      </c>
      <c r="B94" s="5" t="str">
        <f>'Vendor Entry Sheet'!C96</f>
        <v/>
      </c>
      <c r="C94" t="str">
        <f>'Vendor Entry Sheet'!I96</f>
        <v/>
      </c>
      <c r="D94" s="7" t="str">
        <f>'Vendor Entry Sheet'!J96</f>
        <v/>
      </c>
      <c r="E94" t="str">
        <f>'Vendor Entry Sheet'!D96</f>
        <v/>
      </c>
      <c r="F94">
        <f>'Vendor Entry Sheet'!E96</f>
        <v>0</v>
      </c>
      <c r="H94" s="50">
        <f>'Vendor Entry Sheet'!F96</f>
        <v>0</v>
      </c>
      <c r="I94">
        <f>'Vendor Entry Sheet'!G96</f>
        <v>0</v>
      </c>
      <c r="K94" s="8">
        <v>1005</v>
      </c>
      <c r="L94">
        <f>'Vendor Entry Sheet'!H96</f>
        <v>0</v>
      </c>
      <c r="M94" s="8" t="s">
        <v>39</v>
      </c>
    </row>
    <row r="95" spans="1:13" x14ac:dyDescent="0.35">
      <c r="A95" s="6">
        <f>'Vendor Entry Sheet'!A97</f>
        <v>0</v>
      </c>
      <c r="B95" s="5" t="str">
        <f>'Vendor Entry Sheet'!C97</f>
        <v/>
      </c>
      <c r="C95" t="str">
        <f>'Vendor Entry Sheet'!I97</f>
        <v/>
      </c>
      <c r="D95" s="7" t="str">
        <f>'Vendor Entry Sheet'!J97</f>
        <v/>
      </c>
      <c r="E95" t="str">
        <f>'Vendor Entry Sheet'!D97</f>
        <v/>
      </c>
      <c r="F95">
        <f>'Vendor Entry Sheet'!E97</f>
        <v>0</v>
      </c>
      <c r="H95" s="50">
        <f>'Vendor Entry Sheet'!F97</f>
        <v>0</v>
      </c>
      <c r="I95">
        <f>'Vendor Entry Sheet'!G97</f>
        <v>0</v>
      </c>
      <c r="K95" s="8">
        <v>1005</v>
      </c>
      <c r="L95">
        <f>'Vendor Entry Sheet'!H97</f>
        <v>0</v>
      </c>
      <c r="M95" s="8" t="s">
        <v>39</v>
      </c>
    </row>
    <row r="96" spans="1:13" x14ac:dyDescent="0.35">
      <c r="A96" s="6">
        <f>'Vendor Entry Sheet'!A98</f>
        <v>0</v>
      </c>
      <c r="B96" s="5" t="str">
        <f>'Vendor Entry Sheet'!C98</f>
        <v/>
      </c>
      <c r="C96" t="str">
        <f>'Vendor Entry Sheet'!I98</f>
        <v/>
      </c>
      <c r="D96" s="7" t="str">
        <f>'Vendor Entry Sheet'!J98</f>
        <v/>
      </c>
      <c r="E96" t="str">
        <f>'Vendor Entry Sheet'!D98</f>
        <v/>
      </c>
      <c r="F96">
        <f>'Vendor Entry Sheet'!E98</f>
        <v>0</v>
      </c>
      <c r="H96" s="50">
        <f>'Vendor Entry Sheet'!F98</f>
        <v>0</v>
      </c>
      <c r="I96">
        <f>'Vendor Entry Sheet'!G98</f>
        <v>0</v>
      </c>
      <c r="K96" s="8">
        <v>1005</v>
      </c>
      <c r="L96">
        <f>'Vendor Entry Sheet'!H98</f>
        <v>0</v>
      </c>
      <c r="M96" s="8" t="s">
        <v>39</v>
      </c>
    </row>
    <row r="97" spans="1:13" x14ac:dyDescent="0.35">
      <c r="A97" s="6">
        <f>'Vendor Entry Sheet'!A99</f>
        <v>0</v>
      </c>
      <c r="B97" s="5" t="str">
        <f>'Vendor Entry Sheet'!C99</f>
        <v/>
      </c>
      <c r="C97" t="str">
        <f>'Vendor Entry Sheet'!I99</f>
        <v/>
      </c>
      <c r="D97" s="7" t="str">
        <f>'Vendor Entry Sheet'!J99</f>
        <v/>
      </c>
      <c r="E97" t="str">
        <f>'Vendor Entry Sheet'!D99</f>
        <v/>
      </c>
      <c r="F97">
        <f>'Vendor Entry Sheet'!E99</f>
        <v>0</v>
      </c>
      <c r="H97" s="50">
        <f>'Vendor Entry Sheet'!F99</f>
        <v>0</v>
      </c>
      <c r="I97">
        <f>'Vendor Entry Sheet'!G99</f>
        <v>0</v>
      </c>
      <c r="K97" s="8">
        <v>1005</v>
      </c>
      <c r="L97">
        <f>'Vendor Entry Sheet'!H99</f>
        <v>0</v>
      </c>
      <c r="M97" s="8" t="s">
        <v>39</v>
      </c>
    </row>
    <row r="98" spans="1:13" x14ac:dyDescent="0.35">
      <c r="A98" s="6">
        <f>'Vendor Entry Sheet'!A100</f>
        <v>0</v>
      </c>
      <c r="B98" s="5" t="str">
        <f>'Vendor Entry Sheet'!C100</f>
        <v/>
      </c>
      <c r="C98" t="str">
        <f>'Vendor Entry Sheet'!I100</f>
        <v/>
      </c>
      <c r="D98" s="7" t="str">
        <f>'Vendor Entry Sheet'!J100</f>
        <v/>
      </c>
      <c r="E98" t="str">
        <f>'Vendor Entry Sheet'!D100</f>
        <v/>
      </c>
      <c r="F98">
        <f>'Vendor Entry Sheet'!E100</f>
        <v>0</v>
      </c>
      <c r="H98" s="50">
        <f>'Vendor Entry Sheet'!F100</f>
        <v>0</v>
      </c>
      <c r="I98">
        <f>'Vendor Entry Sheet'!G100</f>
        <v>0</v>
      </c>
      <c r="K98" s="8">
        <v>1005</v>
      </c>
      <c r="L98">
        <f>'Vendor Entry Sheet'!H100</f>
        <v>0</v>
      </c>
      <c r="M98" s="8" t="s">
        <v>39</v>
      </c>
    </row>
    <row r="99" spans="1:13" x14ac:dyDescent="0.35">
      <c r="A99" s="6">
        <f>'Vendor Entry Sheet'!A101</f>
        <v>0</v>
      </c>
      <c r="B99" s="5" t="str">
        <f>'Vendor Entry Sheet'!C101</f>
        <v/>
      </c>
      <c r="C99" t="str">
        <f>'Vendor Entry Sheet'!I101</f>
        <v/>
      </c>
      <c r="D99" s="7" t="str">
        <f>'Vendor Entry Sheet'!J101</f>
        <v/>
      </c>
      <c r="E99" t="str">
        <f>'Vendor Entry Sheet'!D101</f>
        <v/>
      </c>
      <c r="F99">
        <f>'Vendor Entry Sheet'!E101</f>
        <v>0</v>
      </c>
      <c r="H99" s="50">
        <f>'Vendor Entry Sheet'!F101</f>
        <v>0</v>
      </c>
      <c r="I99">
        <f>'Vendor Entry Sheet'!G101</f>
        <v>0</v>
      </c>
      <c r="K99" s="8">
        <v>1005</v>
      </c>
      <c r="L99">
        <f>'Vendor Entry Sheet'!H101</f>
        <v>0</v>
      </c>
      <c r="M99" s="8" t="s">
        <v>39</v>
      </c>
    </row>
    <row r="100" spans="1:13" x14ac:dyDescent="0.35">
      <c r="A100" s="6">
        <f>'Vendor Entry Sheet'!A102</f>
        <v>0</v>
      </c>
      <c r="B100" s="5" t="str">
        <f>'Vendor Entry Sheet'!C102</f>
        <v/>
      </c>
      <c r="C100" t="str">
        <f>'Vendor Entry Sheet'!I102</f>
        <v/>
      </c>
      <c r="D100" s="7" t="str">
        <f>'Vendor Entry Sheet'!J102</f>
        <v/>
      </c>
      <c r="E100" t="str">
        <f>'Vendor Entry Sheet'!D102</f>
        <v/>
      </c>
      <c r="F100">
        <f>'Vendor Entry Sheet'!E102</f>
        <v>0</v>
      </c>
      <c r="H100" s="50">
        <f>'Vendor Entry Sheet'!F102</f>
        <v>0</v>
      </c>
      <c r="I100">
        <f>'Vendor Entry Sheet'!G102</f>
        <v>0</v>
      </c>
      <c r="K100" s="8">
        <v>1005</v>
      </c>
      <c r="L100">
        <f>'Vendor Entry Sheet'!H102</f>
        <v>0</v>
      </c>
      <c r="M100" s="8" t="s">
        <v>39</v>
      </c>
    </row>
    <row r="101" spans="1:13" x14ac:dyDescent="0.35">
      <c r="A101" s="6">
        <f>'Vendor Entry Sheet'!A103</f>
        <v>0</v>
      </c>
      <c r="B101" s="5" t="str">
        <f>'Vendor Entry Sheet'!C103</f>
        <v/>
      </c>
      <c r="C101" t="str">
        <f>'Vendor Entry Sheet'!I103</f>
        <v/>
      </c>
      <c r="D101" s="7" t="str">
        <f>'Vendor Entry Sheet'!J103</f>
        <v/>
      </c>
      <c r="E101" t="str">
        <f>'Vendor Entry Sheet'!D103</f>
        <v/>
      </c>
      <c r="F101">
        <f>'Vendor Entry Sheet'!E103</f>
        <v>0</v>
      </c>
      <c r="H101" s="50">
        <f>'Vendor Entry Sheet'!F103</f>
        <v>0</v>
      </c>
      <c r="I101">
        <f>'Vendor Entry Sheet'!G103</f>
        <v>0</v>
      </c>
      <c r="K101" s="8">
        <v>1005</v>
      </c>
      <c r="L101">
        <f>'Vendor Entry Sheet'!H103</f>
        <v>0</v>
      </c>
      <c r="M101" s="8" t="s">
        <v>39</v>
      </c>
    </row>
    <row r="102" spans="1:13" x14ac:dyDescent="0.35">
      <c r="A102" s="6">
        <f>'Vendor Entry Sheet'!A104</f>
        <v>0</v>
      </c>
      <c r="B102" s="5" t="str">
        <f>'Vendor Entry Sheet'!C104</f>
        <v/>
      </c>
      <c r="C102" t="str">
        <f>'Vendor Entry Sheet'!I104</f>
        <v/>
      </c>
      <c r="D102" s="7" t="str">
        <f>'Vendor Entry Sheet'!J104</f>
        <v/>
      </c>
      <c r="E102" t="str">
        <f>'Vendor Entry Sheet'!D104</f>
        <v/>
      </c>
      <c r="F102">
        <f>'Vendor Entry Sheet'!E104</f>
        <v>0</v>
      </c>
      <c r="H102" s="50">
        <f>'Vendor Entry Sheet'!F104</f>
        <v>0</v>
      </c>
      <c r="I102">
        <f>'Vendor Entry Sheet'!G104</f>
        <v>0</v>
      </c>
      <c r="K102" s="8">
        <v>1005</v>
      </c>
      <c r="L102">
        <f>'Vendor Entry Sheet'!H104</f>
        <v>0</v>
      </c>
      <c r="M102" s="8" t="s">
        <v>39</v>
      </c>
    </row>
    <row r="103" spans="1:13" x14ac:dyDescent="0.35">
      <c r="A103" s="6">
        <f>'Vendor Entry Sheet'!A105</f>
        <v>0</v>
      </c>
      <c r="B103" s="5" t="str">
        <f>'Vendor Entry Sheet'!C105</f>
        <v/>
      </c>
      <c r="C103" t="str">
        <f>'Vendor Entry Sheet'!I105</f>
        <v/>
      </c>
      <c r="D103" s="7" t="str">
        <f>'Vendor Entry Sheet'!J105</f>
        <v/>
      </c>
      <c r="E103" t="str">
        <f>'Vendor Entry Sheet'!D105</f>
        <v/>
      </c>
      <c r="F103">
        <f>'Vendor Entry Sheet'!E105</f>
        <v>0</v>
      </c>
      <c r="H103" s="50">
        <f>'Vendor Entry Sheet'!F105</f>
        <v>0</v>
      </c>
      <c r="I103">
        <f>'Vendor Entry Sheet'!G105</f>
        <v>0</v>
      </c>
      <c r="K103" s="8">
        <v>1005</v>
      </c>
      <c r="L103">
        <f>'Vendor Entry Sheet'!H105</f>
        <v>0</v>
      </c>
      <c r="M103" s="8" t="s">
        <v>39</v>
      </c>
    </row>
    <row r="104" spans="1:13" x14ac:dyDescent="0.35">
      <c r="A104" s="6">
        <f>'Vendor Entry Sheet'!A106</f>
        <v>0</v>
      </c>
      <c r="B104" s="5" t="str">
        <f>'Vendor Entry Sheet'!C106</f>
        <v/>
      </c>
      <c r="C104" t="str">
        <f>'Vendor Entry Sheet'!I106</f>
        <v/>
      </c>
      <c r="D104" s="7" t="str">
        <f>'Vendor Entry Sheet'!J106</f>
        <v/>
      </c>
      <c r="E104" t="str">
        <f>'Vendor Entry Sheet'!D106</f>
        <v/>
      </c>
      <c r="F104">
        <f>'Vendor Entry Sheet'!E106</f>
        <v>0</v>
      </c>
      <c r="H104" s="50">
        <f>'Vendor Entry Sheet'!F106</f>
        <v>0</v>
      </c>
      <c r="I104">
        <f>'Vendor Entry Sheet'!G106</f>
        <v>0</v>
      </c>
      <c r="K104" s="8">
        <v>1005</v>
      </c>
      <c r="L104">
        <f>'Vendor Entry Sheet'!H106</f>
        <v>0</v>
      </c>
      <c r="M104" s="8" t="s">
        <v>39</v>
      </c>
    </row>
    <row r="105" spans="1:13" x14ac:dyDescent="0.35">
      <c r="A105" s="6">
        <f>'Vendor Entry Sheet'!A107</f>
        <v>0</v>
      </c>
      <c r="B105" s="5" t="str">
        <f>'Vendor Entry Sheet'!C107</f>
        <v/>
      </c>
      <c r="C105" t="str">
        <f>'Vendor Entry Sheet'!I107</f>
        <v/>
      </c>
      <c r="D105" s="7" t="str">
        <f>'Vendor Entry Sheet'!J107</f>
        <v/>
      </c>
      <c r="E105" t="str">
        <f>'Vendor Entry Sheet'!D107</f>
        <v/>
      </c>
      <c r="F105">
        <f>'Vendor Entry Sheet'!E107</f>
        <v>0</v>
      </c>
      <c r="H105" s="50">
        <f>'Vendor Entry Sheet'!F107</f>
        <v>0</v>
      </c>
      <c r="I105">
        <f>'Vendor Entry Sheet'!G107</f>
        <v>0</v>
      </c>
      <c r="K105" s="8">
        <v>1005</v>
      </c>
      <c r="L105">
        <f>'Vendor Entry Sheet'!H107</f>
        <v>0</v>
      </c>
      <c r="M105" s="8" t="s">
        <v>39</v>
      </c>
    </row>
    <row r="106" spans="1:13" x14ac:dyDescent="0.35">
      <c r="A106" s="6">
        <f>'Vendor Entry Sheet'!A108</f>
        <v>0</v>
      </c>
      <c r="B106" s="5" t="str">
        <f>'Vendor Entry Sheet'!C108</f>
        <v/>
      </c>
      <c r="C106" t="str">
        <f>'Vendor Entry Sheet'!I108</f>
        <v/>
      </c>
      <c r="D106" s="7" t="str">
        <f>'Vendor Entry Sheet'!J108</f>
        <v/>
      </c>
      <c r="E106" t="str">
        <f>'Vendor Entry Sheet'!D108</f>
        <v/>
      </c>
      <c r="F106">
        <f>'Vendor Entry Sheet'!E108</f>
        <v>0</v>
      </c>
      <c r="H106" s="50">
        <f>'Vendor Entry Sheet'!F108</f>
        <v>0</v>
      </c>
      <c r="I106">
        <f>'Vendor Entry Sheet'!G108</f>
        <v>0</v>
      </c>
      <c r="K106" s="8">
        <v>1005</v>
      </c>
      <c r="L106">
        <f>'Vendor Entry Sheet'!H108</f>
        <v>0</v>
      </c>
      <c r="M106" s="8" t="s">
        <v>39</v>
      </c>
    </row>
    <row r="107" spans="1:13" x14ac:dyDescent="0.35">
      <c r="A107" s="6">
        <f>'Vendor Entry Sheet'!A109</f>
        <v>0</v>
      </c>
      <c r="B107" s="5" t="str">
        <f>'Vendor Entry Sheet'!C109</f>
        <v/>
      </c>
      <c r="C107" t="str">
        <f>'Vendor Entry Sheet'!I109</f>
        <v/>
      </c>
      <c r="D107" s="7" t="str">
        <f>'Vendor Entry Sheet'!J109</f>
        <v/>
      </c>
      <c r="E107" t="str">
        <f>'Vendor Entry Sheet'!D109</f>
        <v/>
      </c>
      <c r="F107">
        <f>'Vendor Entry Sheet'!E109</f>
        <v>0</v>
      </c>
      <c r="H107" s="50">
        <f>'Vendor Entry Sheet'!F109</f>
        <v>0</v>
      </c>
      <c r="I107">
        <f>'Vendor Entry Sheet'!G109</f>
        <v>0</v>
      </c>
      <c r="K107" s="8">
        <v>1005</v>
      </c>
      <c r="L107">
        <f>'Vendor Entry Sheet'!H109</f>
        <v>0</v>
      </c>
      <c r="M107" s="8" t="s">
        <v>39</v>
      </c>
    </row>
    <row r="108" spans="1:13" x14ac:dyDescent="0.35">
      <c r="A108" s="6">
        <f>'Vendor Entry Sheet'!A110</f>
        <v>0</v>
      </c>
      <c r="B108" s="5" t="str">
        <f>'Vendor Entry Sheet'!C110</f>
        <v/>
      </c>
      <c r="C108" t="str">
        <f>'Vendor Entry Sheet'!I110</f>
        <v/>
      </c>
      <c r="D108" s="7" t="str">
        <f>'Vendor Entry Sheet'!J110</f>
        <v/>
      </c>
      <c r="E108" t="str">
        <f>'Vendor Entry Sheet'!D110</f>
        <v/>
      </c>
      <c r="F108">
        <f>'Vendor Entry Sheet'!E110</f>
        <v>0</v>
      </c>
      <c r="H108" s="50">
        <f>'Vendor Entry Sheet'!F110</f>
        <v>0</v>
      </c>
      <c r="I108">
        <f>'Vendor Entry Sheet'!G110</f>
        <v>0</v>
      </c>
      <c r="K108" s="8">
        <v>1005</v>
      </c>
      <c r="L108">
        <f>'Vendor Entry Sheet'!H110</f>
        <v>0</v>
      </c>
      <c r="M108" s="8" t="s">
        <v>39</v>
      </c>
    </row>
    <row r="109" spans="1:13" x14ac:dyDescent="0.35">
      <c r="A109" s="6">
        <f>'Vendor Entry Sheet'!A111</f>
        <v>0</v>
      </c>
      <c r="B109" s="5" t="str">
        <f>'Vendor Entry Sheet'!C111</f>
        <v/>
      </c>
      <c r="C109" t="str">
        <f>'Vendor Entry Sheet'!I111</f>
        <v/>
      </c>
      <c r="D109" s="7" t="str">
        <f>'Vendor Entry Sheet'!J111</f>
        <v/>
      </c>
      <c r="E109" t="str">
        <f>'Vendor Entry Sheet'!D111</f>
        <v/>
      </c>
      <c r="F109">
        <f>'Vendor Entry Sheet'!E111</f>
        <v>0</v>
      </c>
      <c r="H109" s="50">
        <f>'Vendor Entry Sheet'!F111</f>
        <v>0</v>
      </c>
      <c r="I109">
        <f>'Vendor Entry Sheet'!G111</f>
        <v>0</v>
      </c>
      <c r="K109" s="8">
        <v>1005</v>
      </c>
      <c r="L109">
        <f>'Vendor Entry Sheet'!H111</f>
        <v>0</v>
      </c>
      <c r="M109" s="8" t="s">
        <v>39</v>
      </c>
    </row>
    <row r="110" spans="1:13" x14ac:dyDescent="0.35">
      <c r="A110" s="6">
        <f>'Vendor Entry Sheet'!A112</f>
        <v>0</v>
      </c>
      <c r="B110" s="5" t="str">
        <f>'Vendor Entry Sheet'!C112</f>
        <v/>
      </c>
      <c r="C110" t="str">
        <f>'Vendor Entry Sheet'!I112</f>
        <v/>
      </c>
      <c r="D110" s="7" t="str">
        <f>'Vendor Entry Sheet'!J112</f>
        <v/>
      </c>
      <c r="E110" t="str">
        <f>'Vendor Entry Sheet'!D112</f>
        <v/>
      </c>
      <c r="F110">
        <f>'Vendor Entry Sheet'!E112</f>
        <v>0</v>
      </c>
      <c r="H110" s="50">
        <f>'Vendor Entry Sheet'!F112</f>
        <v>0</v>
      </c>
      <c r="I110">
        <f>'Vendor Entry Sheet'!G112</f>
        <v>0</v>
      </c>
      <c r="K110" s="8">
        <v>1005</v>
      </c>
      <c r="L110">
        <f>'Vendor Entry Sheet'!H112</f>
        <v>0</v>
      </c>
      <c r="M110" s="8" t="s">
        <v>39</v>
      </c>
    </row>
    <row r="111" spans="1:13" x14ac:dyDescent="0.35">
      <c r="A111" s="6">
        <f>'Vendor Entry Sheet'!A113</f>
        <v>0</v>
      </c>
      <c r="B111" s="5" t="str">
        <f>'Vendor Entry Sheet'!C113</f>
        <v/>
      </c>
      <c r="C111" t="str">
        <f>'Vendor Entry Sheet'!I113</f>
        <v/>
      </c>
      <c r="D111" s="7" t="str">
        <f>'Vendor Entry Sheet'!J113</f>
        <v/>
      </c>
      <c r="E111" t="str">
        <f>'Vendor Entry Sheet'!D113</f>
        <v/>
      </c>
      <c r="F111">
        <f>'Vendor Entry Sheet'!E113</f>
        <v>0</v>
      </c>
      <c r="H111" s="50">
        <f>'Vendor Entry Sheet'!F113</f>
        <v>0</v>
      </c>
      <c r="I111">
        <f>'Vendor Entry Sheet'!G113</f>
        <v>0</v>
      </c>
      <c r="K111" s="8">
        <v>1005</v>
      </c>
      <c r="L111">
        <f>'Vendor Entry Sheet'!H113</f>
        <v>0</v>
      </c>
      <c r="M111" s="8" t="s">
        <v>39</v>
      </c>
    </row>
    <row r="112" spans="1:13" x14ac:dyDescent="0.35">
      <c r="A112" s="6">
        <f>'Vendor Entry Sheet'!A114</f>
        <v>0</v>
      </c>
      <c r="B112" s="5" t="str">
        <f>'Vendor Entry Sheet'!C114</f>
        <v/>
      </c>
      <c r="C112" t="str">
        <f>'Vendor Entry Sheet'!I114</f>
        <v/>
      </c>
      <c r="D112" s="7" t="str">
        <f>'Vendor Entry Sheet'!J114</f>
        <v/>
      </c>
      <c r="E112" t="str">
        <f>'Vendor Entry Sheet'!D114</f>
        <v/>
      </c>
      <c r="F112">
        <f>'Vendor Entry Sheet'!E114</f>
        <v>0</v>
      </c>
      <c r="H112" s="50">
        <f>'Vendor Entry Sheet'!F114</f>
        <v>0</v>
      </c>
      <c r="I112">
        <f>'Vendor Entry Sheet'!G114</f>
        <v>0</v>
      </c>
      <c r="K112" s="8">
        <v>1005</v>
      </c>
      <c r="L112">
        <f>'Vendor Entry Sheet'!H114</f>
        <v>0</v>
      </c>
      <c r="M112" s="8" t="s">
        <v>39</v>
      </c>
    </row>
    <row r="113" spans="1:13" x14ac:dyDescent="0.35">
      <c r="A113" s="6">
        <f>'Vendor Entry Sheet'!A115</f>
        <v>0</v>
      </c>
      <c r="B113" s="5" t="str">
        <f>'Vendor Entry Sheet'!C115</f>
        <v/>
      </c>
      <c r="C113" t="str">
        <f>'Vendor Entry Sheet'!I115</f>
        <v/>
      </c>
      <c r="D113" s="7" t="str">
        <f>'Vendor Entry Sheet'!J115</f>
        <v/>
      </c>
      <c r="E113" t="str">
        <f>'Vendor Entry Sheet'!D115</f>
        <v/>
      </c>
      <c r="F113">
        <f>'Vendor Entry Sheet'!E115</f>
        <v>0</v>
      </c>
      <c r="H113" s="50">
        <f>'Vendor Entry Sheet'!F115</f>
        <v>0</v>
      </c>
      <c r="I113">
        <f>'Vendor Entry Sheet'!G115</f>
        <v>0</v>
      </c>
      <c r="K113" s="8">
        <v>1005</v>
      </c>
      <c r="L113">
        <f>'Vendor Entry Sheet'!H115</f>
        <v>0</v>
      </c>
      <c r="M113" s="8" t="s">
        <v>39</v>
      </c>
    </row>
    <row r="114" spans="1:13" x14ac:dyDescent="0.35">
      <c r="A114" s="6">
        <f>'Vendor Entry Sheet'!A116</f>
        <v>0</v>
      </c>
      <c r="B114" s="5" t="str">
        <f>'Vendor Entry Sheet'!C116</f>
        <v/>
      </c>
      <c r="C114" t="str">
        <f>'Vendor Entry Sheet'!I116</f>
        <v/>
      </c>
      <c r="D114" s="7" t="str">
        <f>'Vendor Entry Sheet'!J116</f>
        <v/>
      </c>
      <c r="E114" t="str">
        <f>'Vendor Entry Sheet'!D116</f>
        <v/>
      </c>
      <c r="F114">
        <f>'Vendor Entry Sheet'!E116</f>
        <v>0</v>
      </c>
      <c r="H114" s="50">
        <f>'Vendor Entry Sheet'!F116</f>
        <v>0</v>
      </c>
      <c r="I114">
        <f>'Vendor Entry Sheet'!G116</f>
        <v>0</v>
      </c>
      <c r="K114" s="8">
        <v>1005</v>
      </c>
      <c r="L114">
        <f>'Vendor Entry Sheet'!H116</f>
        <v>0</v>
      </c>
      <c r="M114" s="8" t="s">
        <v>39</v>
      </c>
    </row>
    <row r="115" spans="1:13" x14ac:dyDescent="0.35">
      <c r="A115" s="6">
        <f>'Vendor Entry Sheet'!A117</f>
        <v>0</v>
      </c>
      <c r="B115" s="5" t="str">
        <f>'Vendor Entry Sheet'!C117</f>
        <v/>
      </c>
      <c r="C115" t="str">
        <f>'Vendor Entry Sheet'!I117</f>
        <v/>
      </c>
      <c r="D115" s="7" t="str">
        <f>'Vendor Entry Sheet'!J117</f>
        <v/>
      </c>
      <c r="E115" t="str">
        <f>'Vendor Entry Sheet'!D117</f>
        <v/>
      </c>
      <c r="F115">
        <f>'Vendor Entry Sheet'!E117</f>
        <v>0</v>
      </c>
      <c r="H115" s="50">
        <f>'Vendor Entry Sheet'!F117</f>
        <v>0</v>
      </c>
      <c r="I115">
        <f>'Vendor Entry Sheet'!G117</f>
        <v>0</v>
      </c>
      <c r="K115" s="8">
        <v>1005</v>
      </c>
      <c r="L115">
        <f>'Vendor Entry Sheet'!H117</f>
        <v>0</v>
      </c>
      <c r="M115" s="8" t="s">
        <v>39</v>
      </c>
    </row>
    <row r="116" spans="1:13" x14ac:dyDescent="0.35">
      <c r="A116" s="6">
        <f>'Vendor Entry Sheet'!A118</f>
        <v>0</v>
      </c>
      <c r="B116" s="5" t="str">
        <f>'Vendor Entry Sheet'!C118</f>
        <v/>
      </c>
      <c r="C116" t="str">
        <f>'Vendor Entry Sheet'!I118</f>
        <v/>
      </c>
      <c r="D116" s="7" t="str">
        <f>'Vendor Entry Sheet'!J118</f>
        <v/>
      </c>
      <c r="E116" t="str">
        <f>'Vendor Entry Sheet'!D118</f>
        <v/>
      </c>
      <c r="F116">
        <f>'Vendor Entry Sheet'!E118</f>
        <v>0</v>
      </c>
      <c r="H116" s="50">
        <f>'Vendor Entry Sheet'!F118</f>
        <v>0</v>
      </c>
      <c r="I116">
        <f>'Vendor Entry Sheet'!G118</f>
        <v>0</v>
      </c>
      <c r="K116" s="8">
        <v>1005</v>
      </c>
      <c r="L116">
        <f>'Vendor Entry Sheet'!H118</f>
        <v>0</v>
      </c>
      <c r="M116" s="8" t="s">
        <v>39</v>
      </c>
    </row>
    <row r="117" spans="1:13" x14ac:dyDescent="0.35">
      <c r="A117" s="6">
        <f>'Vendor Entry Sheet'!A119</f>
        <v>0</v>
      </c>
      <c r="B117" s="5" t="str">
        <f>'Vendor Entry Sheet'!C119</f>
        <v/>
      </c>
      <c r="C117" t="str">
        <f>'Vendor Entry Sheet'!I119</f>
        <v/>
      </c>
      <c r="D117" s="7" t="str">
        <f>'Vendor Entry Sheet'!J119</f>
        <v/>
      </c>
      <c r="E117" t="str">
        <f>'Vendor Entry Sheet'!D119</f>
        <v/>
      </c>
      <c r="F117">
        <f>'Vendor Entry Sheet'!E119</f>
        <v>0</v>
      </c>
      <c r="H117" s="50">
        <f>'Vendor Entry Sheet'!F119</f>
        <v>0</v>
      </c>
      <c r="I117">
        <f>'Vendor Entry Sheet'!G119</f>
        <v>0</v>
      </c>
      <c r="K117" s="8">
        <v>1005</v>
      </c>
      <c r="L117">
        <f>'Vendor Entry Sheet'!H119</f>
        <v>0</v>
      </c>
      <c r="M117" s="8" t="s">
        <v>39</v>
      </c>
    </row>
    <row r="118" spans="1:13" x14ac:dyDescent="0.35">
      <c r="A118" s="6">
        <f>'Vendor Entry Sheet'!A120</f>
        <v>0</v>
      </c>
      <c r="B118" s="5" t="str">
        <f>'Vendor Entry Sheet'!C120</f>
        <v/>
      </c>
      <c r="C118" t="str">
        <f>'Vendor Entry Sheet'!I120</f>
        <v/>
      </c>
      <c r="D118" s="7" t="str">
        <f>'Vendor Entry Sheet'!J120</f>
        <v/>
      </c>
      <c r="E118" t="str">
        <f>'Vendor Entry Sheet'!D120</f>
        <v/>
      </c>
      <c r="F118">
        <f>'Vendor Entry Sheet'!E120</f>
        <v>0</v>
      </c>
      <c r="H118" s="50">
        <f>'Vendor Entry Sheet'!F120</f>
        <v>0</v>
      </c>
      <c r="I118">
        <f>'Vendor Entry Sheet'!G120</f>
        <v>0</v>
      </c>
      <c r="K118" s="8">
        <v>1005</v>
      </c>
      <c r="L118">
        <f>'Vendor Entry Sheet'!H120</f>
        <v>0</v>
      </c>
      <c r="M118" s="8" t="s">
        <v>39</v>
      </c>
    </row>
    <row r="119" spans="1:13" x14ac:dyDescent="0.35">
      <c r="A119" s="6">
        <f>'Vendor Entry Sheet'!A121</f>
        <v>0</v>
      </c>
      <c r="B119" s="5" t="str">
        <f>'Vendor Entry Sheet'!C121</f>
        <v/>
      </c>
      <c r="C119" t="str">
        <f>'Vendor Entry Sheet'!I121</f>
        <v/>
      </c>
      <c r="D119" s="7" t="str">
        <f>'Vendor Entry Sheet'!J121</f>
        <v/>
      </c>
      <c r="E119" t="str">
        <f>'Vendor Entry Sheet'!D121</f>
        <v/>
      </c>
      <c r="F119">
        <f>'Vendor Entry Sheet'!E121</f>
        <v>0</v>
      </c>
      <c r="H119" s="50">
        <f>'Vendor Entry Sheet'!F121</f>
        <v>0</v>
      </c>
      <c r="I119">
        <f>'Vendor Entry Sheet'!G121</f>
        <v>0</v>
      </c>
      <c r="K119" s="8">
        <v>1005</v>
      </c>
      <c r="L119">
        <f>'Vendor Entry Sheet'!H121</f>
        <v>0</v>
      </c>
      <c r="M119" s="8" t="s">
        <v>39</v>
      </c>
    </row>
    <row r="120" spans="1:13" x14ac:dyDescent="0.35">
      <c r="A120" s="6">
        <f>'Vendor Entry Sheet'!A122</f>
        <v>0</v>
      </c>
      <c r="B120" s="5" t="str">
        <f>'Vendor Entry Sheet'!C122</f>
        <v/>
      </c>
      <c r="C120" t="str">
        <f>'Vendor Entry Sheet'!I122</f>
        <v/>
      </c>
      <c r="D120" s="7" t="str">
        <f>'Vendor Entry Sheet'!J122</f>
        <v/>
      </c>
      <c r="E120" t="str">
        <f>'Vendor Entry Sheet'!D122</f>
        <v/>
      </c>
      <c r="F120">
        <f>'Vendor Entry Sheet'!E122</f>
        <v>0</v>
      </c>
      <c r="H120" s="50">
        <f>'Vendor Entry Sheet'!F122</f>
        <v>0</v>
      </c>
      <c r="I120">
        <f>'Vendor Entry Sheet'!G122</f>
        <v>0</v>
      </c>
      <c r="K120" s="8">
        <v>1005</v>
      </c>
      <c r="L120">
        <f>'Vendor Entry Sheet'!H122</f>
        <v>0</v>
      </c>
      <c r="M120" s="8" t="s">
        <v>39</v>
      </c>
    </row>
    <row r="121" spans="1:13" x14ac:dyDescent="0.35">
      <c r="A121" s="6">
        <f>'Vendor Entry Sheet'!A123</f>
        <v>0</v>
      </c>
      <c r="B121" s="5" t="str">
        <f>'Vendor Entry Sheet'!C123</f>
        <v/>
      </c>
      <c r="C121" t="str">
        <f>'Vendor Entry Sheet'!I123</f>
        <v/>
      </c>
      <c r="D121" s="7" t="str">
        <f>'Vendor Entry Sheet'!J123</f>
        <v/>
      </c>
      <c r="E121" t="str">
        <f>'Vendor Entry Sheet'!D123</f>
        <v/>
      </c>
      <c r="F121">
        <f>'Vendor Entry Sheet'!E123</f>
        <v>0</v>
      </c>
      <c r="H121" s="50">
        <f>'Vendor Entry Sheet'!F123</f>
        <v>0</v>
      </c>
      <c r="I121">
        <f>'Vendor Entry Sheet'!G123</f>
        <v>0</v>
      </c>
      <c r="K121" s="8">
        <v>1005</v>
      </c>
      <c r="L121">
        <f>'Vendor Entry Sheet'!H123</f>
        <v>0</v>
      </c>
      <c r="M121" s="8" t="s">
        <v>39</v>
      </c>
    </row>
    <row r="122" spans="1:13" x14ac:dyDescent="0.35">
      <c r="A122" s="6">
        <f>'Vendor Entry Sheet'!A124</f>
        <v>0</v>
      </c>
      <c r="B122" s="5" t="str">
        <f>'Vendor Entry Sheet'!C124</f>
        <v/>
      </c>
      <c r="C122" t="str">
        <f>'Vendor Entry Sheet'!I124</f>
        <v/>
      </c>
      <c r="D122" s="7" t="str">
        <f>'Vendor Entry Sheet'!J124</f>
        <v/>
      </c>
      <c r="E122" t="str">
        <f>'Vendor Entry Sheet'!D124</f>
        <v/>
      </c>
      <c r="F122">
        <f>'Vendor Entry Sheet'!E124</f>
        <v>0</v>
      </c>
      <c r="H122" s="50">
        <f>'Vendor Entry Sheet'!F124</f>
        <v>0</v>
      </c>
      <c r="I122">
        <f>'Vendor Entry Sheet'!G124</f>
        <v>0</v>
      </c>
      <c r="K122" s="8">
        <v>1005</v>
      </c>
      <c r="L122">
        <f>'Vendor Entry Sheet'!H124</f>
        <v>0</v>
      </c>
      <c r="M122" s="8" t="s">
        <v>39</v>
      </c>
    </row>
    <row r="123" spans="1:13" x14ac:dyDescent="0.35">
      <c r="A123" s="6">
        <f>'Vendor Entry Sheet'!A125</f>
        <v>0</v>
      </c>
      <c r="B123" s="5" t="str">
        <f>'Vendor Entry Sheet'!C125</f>
        <v/>
      </c>
      <c r="C123" t="str">
        <f>'Vendor Entry Sheet'!I125</f>
        <v/>
      </c>
      <c r="D123" s="7" t="str">
        <f>'Vendor Entry Sheet'!J125</f>
        <v/>
      </c>
      <c r="E123" t="str">
        <f>'Vendor Entry Sheet'!D125</f>
        <v/>
      </c>
      <c r="F123">
        <f>'Vendor Entry Sheet'!E125</f>
        <v>0</v>
      </c>
      <c r="H123" s="50">
        <f>'Vendor Entry Sheet'!F125</f>
        <v>0</v>
      </c>
      <c r="I123">
        <f>'Vendor Entry Sheet'!G125</f>
        <v>0</v>
      </c>
      <c r="K123" s="8">
        <v>1005</v>
      </c>
      <c r="L123">
        <f>'Vendor Entry Sheet'!H125</f>
        <v>0</v>
      </c>
      <c r="M123" s="8" t="s">
        <v>39</v>
      </c>
    </row>
    <row r="124" spans="1:13" x14ac:dyDescent="0.35">
      <c r="A124" s="6">
        <f>'Vendor Entry Sheet'!A126</f>
        <v>0</v>
      </c>
      <c r="B124" s="5" t="str">
        <f>'Vendor Entry Sheet'!C126</f>
        <v/>
      </c>
      <c r="C124" t="str">
        <f>'Vendor Entry Sheet'!I126</f>
        <v/>
      </c>
      <c r="D124" s="7" t="str">
        <f>'Vendor Entry Sheet'!J126</f>
        <v/>
      </c>
      <c r="E124" t="str">
        <f>'Vendor Entry Sheet'!D126</f>
        <v/>
      </c>
      <c r="F124">
        <f>'Vendor Entry Sheet'!E126</f>
        <v>0</v>
      </c>
      <c r="H124" s="50">
        <f>'Vendor Entry Sheet'!F126</f>
        <v>0</v>
      </c>
      <c r="I124">
        <f>'Vendor Entry Sheet'!G126</f>
        <v>0</v>
      </c>
      <c r="K124" s="8">
        <v>1005</v>
      </c>
      <c r="L124">
        <f>'Vendor Entry Sheet'!H126</f>
        <v>0</v>
      </c>
      <c r="M124" s="8" t="s">
        <v>39</v>
      </c>
    </row>
    <row r="125" spans="1:13" x14ac:dyDescent="0.35">
      <c r="A125" s="6">
        <f>'Vendor Entry Sheet'!A127</f>
        <v>0</v>
      </c>
      <c r="B125" s="5" t="str">
        <f>'Vendor Entry Sheet'!C127</f>
        <v/>
      </c>
      <c r="C125" t="str">
        <f>'Vendor Entry Sheet'!I127</f>
        <v/>
      </c>
      <c r="D125" s="7" t="str">
        <f>'Vendor Entry Sheet'!J127</f>
        <v/>
      </c>
      <c r="E125" t="str">
        <f>'Vendor Entry Sheet'!D127</f>
        <v/>
      </c>
      <c r="F125">
        <f>'Vendor Entry Sheet'!E127</f>
        <v>0</v>
      </c>
      <c r="H125" s="50">
        <f>'Vendor Entry Sheet'!F127</f>
        <v>0</v>
      </c>
      <c r="I125">
        <f>'Vendor Entry Sheet'!G127</f>
        <v>0</v>
      </c>
      <c r="K125" s="8">
        <v>1005</v>
      </c>
      <c r="L125">
        <f>'Vendor Entry Sheet'!H127</f>
        <v>0</v>
      </c>
      <c r="M125" s="8" t="s">
        <v>39</v>
      </c>
    </row>
    <row r="126" spans="1:13" x14ac:dyDescent="0.35">
      <c r="A126" s="6">
        <f>'Vendor Entry Sheet'!A128</f>
        <v>0</v>
      </c>
      <c r="B126" s="5" t="str">
        <f>'Vendor Entry Sheet'!C128</f>
        <v/>
      </c>
      <c r="C126" t="str">
        <f>'Vendor Entry Sheet'!I128</f>
        <v/>
      </c>
      <c r="D126" s="7" t="str">
        <f>'Vendor Entry Sheet'!J128</f>
        <v/>
      </c>
      <c r="E126" t="str">
        <f>'Vendor Entry Sheet'!D128</f>
        <v/>
      </c>
      <c r="F126">
        <f>'Vendor Entry Sheet'!E128</f>
        <v>0</v>
      </c>
      <c r="H126" s="50">
        <f>'Vendor Entry Sheet'!F128</f>
        <v>0</v>
      </c>
      <c r="I126">
        <f>'Vendor Entry Sheet'!G128</f>
        <v>0</v>
      </c>
      <c r="K126" s="8">
        <v>1005</v>
      </c>
      <c r="L126">
        <f>'Vendor Entry Sheet'!H128</f>
        <v>0</v>
      </c>
      <c r="M126" s="8" t="s">
        <v>39</v>
      </c>
    </row>
    <row r="127" spans="1:13" x14ac:dyDescent="0.35">
      <c r="A127" s="6">
        <f>'Vendor Entry Sheet'!A129</f>
        <v>0</v>
      </c>
      <c r="B127" s="5" t="str">
        <f>'Vendor Entry Sheet'!C129</f>
        <v/>
      </c>
      <c r="C127" t="str">
        <f>'Vendor Entry Sheet'!I129</f>
        <v/>
      </c>
      <c r="D127" s="7" t="str">
        <f>'Vendor Entry Sheet'!J129</f>
        <v/>
      </c>
      <c r="E127" t="str">
        <f>'Vendor Entry Sheet'!D129</f>
        <v/>
      </c>
      <c r="F127">
        <f>'Vendor Entry Sheet'!E129</f>
        <v>0</v>
      </c>
      <c r="H127" s="50">
        <f>'Vendor Entry Sheet'!F129</f>
        <v>0</v>
      </c>
      <c r="I127">
        <f>'Vendor Entry Sheet'!G129</f>
        <v>0</v>
      </c>
      <c r="K127" s="8">
        <v>1005</v>
      </c>
      <c r="L127">
        <f>'Vendor Entry Sheet'!H129</f>
        <v>0</v>
      </c>
      <c r="M127" s="8" t="s">
        <v>39</v>
      </c>
    </row>
    <row r="128" spans="1:13" x14ac:dyDescent="0.35">
      <c r="A128" s="6">
        <f>'Vendor Entry Sheet'!A130</f>
        <v>0</v>
      </c>
      <c r="B128" s="5" t="str">
        <f>'Vendor Entry Sheet'!C130</f>
        <v/>
      </c>
      <c r="C128" t="str">
        <f>'Vendor Entry Sheet'!I130</f>
        <v/>
      </c>
      <c r="D128" s="7" t="str">
        <f>'Vendor Entry Sheet'!J130</f>
        <v/>
      </c>
      <c r="E128" t="str">
        <f>'Vendor Entry Sheet'!D130</f>
        <v/>
      </c>
      <c r="F128">
        <f>'Vendor Entry Sheet'!E130</f>
        <v>0</v>
      </c>
      <c r="H128" s="50">
        <f>'Vendor Entry Sheet'!F130</f>
        <v>0</v>
      </c>
      <c r="I128">
        <f>'Vendor Entry Sheet'!G130</f>
        <v>0</v>
      </c>
      <c r="K128" s="8">
        <v>1005</v>
      </c>
      <c r="L128">
        <f>'Vendor Entry Sheet'!H130</f>
        <v>0</v>
      </c>
      <c r="M128" s="8" t="s">
        <v>39</v>
      </c>
    </row>
    <row r="129" spans="1:13" x14ac:dyDescent="0.35">
      <c r="A129" s="6">
        <f>'Vendor Entry Sheet'!A131</f>
        <v>0</v>
      </c>
      <c r="B129" s="5" t="str">
        <f>'Vendor Entry Sheet'!C131</f>
        <v/>
      </c>
      <c r="C129" t="str">
        <f>'Vendor Entry Sheet'!I131</f>
        <v/>
      </c>
      <c r="D129" s="7" t="str">
        <f>'Vendor Entry Sheet'!J131</f>
        <v/>
      </c>
      <c r="E129" t="str">
        <f>'Vendor Entry Sheet'!D131</f>
        <v/>
      </c>
      <c r="F129">
        <f>'Vendor Entry Sheet'!E131</f>
        <v>0</v>
      </c>
      <c r="H129" s="50">
        <f>'Vendor Entry Sheet'!F131</f>
        <v>0</v>
      </c>
      <c r="I129">
        <f>'Vendor Entry Sheet'!G131</f>
        <v>0</v>
      </c>
      <c r="K129" s="8">
        <v>1005</v>
      </c>
      <c r="L129">
        <f>'Vendor Entry Sheet'!H131</f>
        <v>0</v>
      </c>
      <c r="M129" s="8" t="s">
        <v>39</v>
      </c>
    </row>
    <row r="130" spans="1:13" x14ac:dyDescent="0.35">
      <c r="A130" s="6">
        <f>'Vendor Entry Sheet'!A132</f>
        <v>0</v>
      </c>
      <c r="B130" s="5" t="str">
        <f>'Vendor Entry Sheet'!C132</f>
        <v/>
      </c>
      <c r="C130" t="str">
        <f>'Vendor Entry Sheet'!I132</f>
        <v/>
      </c>
      <c r="D130" s="7" t="str">
        <f>'Vendor Entry Sheet'!J132</f>
        <v/>
      </c>
      <c r="E130" t="str">
        <f>'Vendor Entry Sheet'!D132</f>
        <v/>
      </c>
      <c r="F130">
        <f>'Vendor Entry Sheet'!E132</f>
        <v>0</v>
      </c>
      <c r="H130" s="50">
        <f>'Vendor Entry Sheet'!F132</f>
        <v>0</v>
      </c>
      <c r="I130">
        <f>'Vendor Entry Sheet'!G132</f>
        <v>0</v>
      </c>
      <c r="K130" s="8">
        <v>1005</v>
      </c>
      <c r="L130">
        <f>'Vendor Entry Sheet'!H132</f>
        <v>0</v>
      </c>
      <c r="M130" s="8" t="s">
        <v>39</v>
      </c>
    </row>
    <row r="131" spans="1:13" x14ac:dyDescent="0.35">
      <c r="A131" s="6">
        <f>'Vendor Entry Sheet'!A133</f>
        <v>0</v>
      </c>
      <c r="B131" s="5" t="str">
        <f>'Vendor Entry Sheet'!C133</f>
        <v/>
      </c>
      <c r="C131" t="str">
        <f>'Vendor Entry Sheet'!I133</f>
        <v/>
      </c>
      <c r="D131" s="7" t="str">
        <f>'Vendor Entry Sheet'!J133</f>
        <v/>
      </c>
      <c r="E131" t="str">
        <f>'Vendor Entry Sheet'!D133</f>
        <v/>
      </c>
      <c r="F131">
        <f>'Vendor Entry Sheet'!E133</f>
        <v>0</v>
      </c>
      <c r="H131" s="50">
        <f>'Vendor Entry Sheet'!F133</f>
        <v>0</v>
      </c>
      <c r="I131">
        <f>'Vendor Entry Sheet'!G133</f>
        <v>0</v>
      </c>
      <c r="K131" s="8">
        <v>1005</v>
      </c>
      <c r="L131">
        <f>'Vendor Entry Sheet'!H133</f>
        <v>0</v>
      </c>
      <c r="M131" s="8" t="s">
        <v>39</v>
      </c>
    </row>
    <row r="132" spans="1:13" x14ac:dyDescent="0.35">
      <c r="A132" s="6">
        <f>'Vendor Entry Sheet'!A134</f>
        <v>0</v>
      </c>
      <c r="B132" s="5" t="str">
        <f>'Vendor Entry Sheet'!C134</f>
        <v/>
      </c>
      <c r="C132" t="str">
        <f>'Vendor Entry Sheet'!I134</f>
        <v/>
      </c>
      <c r="D132" s="7" t="str">
        <f>'Vendor Entry Sheet'!J134</f>
        <v/>
      </c>
      <c r="E132" t="str">
        <f>'Vendor Entry Sheet'!D134</f>
        <v/>
      </c>
      <c r="F132">
        <f>'Vendor Entry Sheet'!E134</f>
        <v>0</v>
      </c>
      <c r="H132" s="50">
        <f>'Vendor Entry Sheet'!F134</f>
        <v>0</v>
      </c>
      <c r="I132">
        <f>'Vendor Entry Sheet'!G134</f>
        <v>0</v>
      </c>
      <c r="K132" s="8">
        <v>1005</v>
      </c>
      <c r="L132">
        <f>'Vendor Entry Sheet'!H134</f>
        <v>0</v>
      </c>
      <c r="M132" s="8" t="s">
        <v>39</v>
      </c>
    </row>
    <row r="133" spans="1:13" x14ac:dyDescent="0.35">
      <c r="A133" s="6">
        <f>'Vendor Entry Sheet'!A135</f>
        <v>0</v>
      </c>
      <c r="B133" s="5" t="str">
        <f>'Vendor Entry Sheet'!C135</f>
        <v/>
      </c>
      <c r="C133" t="str">
        <f>'Vendor Entry Sheet'!I135</f>
        <v/>
      </c>
      <c r="D133" s="7" t="str">
        <f>'Vendor Entry Sheet'!J135</f>
        <v/>
      </c>
      <c r="E133" t="str">
        <f>'Vendor Entry Sheet'!D135</f>
        <v/>
      </c>
      <c r="F133">
        <f>'Vendor Entry Sheet'!E135</f>
        <v>0</v>
      </c>
      <c r="H133" s="50">
        <f>'Vendor Entry Sheet'!F135</f>
        <v>0</v>
      </c>
      <c r="I133">
        <f>'Vendor Entry Sheet'!G135</f>
        <v>0</v>
      </c>
      <c r="K133" s="8">
        <v>1005</v>
      </c>
      <c r="L133">
        <f>'Vendor Entry Sheet'!H135</f>
        <v>0</v>
      </c>
      <c r="M133" s="8" t="s">
        <v>39</v>
      </c>
    </row>
    <row r="134" spans="1:13" x14ac:dyDescent="0.35">
      <c r="A134" s="6">
        <f>'Vendor Entry Sheet'!A136</f>
        <v>0</v>
      </c>
      <c r="B134" s="5" t="str">
        <f>'Vendor Entry Sheet'!C136</f>
        <v/>
      </c>
      <c r="C134" t="str">
        <f>'Vendor Entry Sheet'!I136</f>
        <v/>
      </c>
      <c r="D134" s="7" t="str">
        <f>'Vendor Entry Sheet'!J136</f>
        <v/>
      </c>
      <c r="E134" t="str">
        <f>'Vendor Entry Sheet'!D136</f>
        <v/>
      </c>
      <c r="F134">
        <f>'Vendor Entry Sheet'!E136</f>
        <v>0</v>
      </c>
      <c r="H134" s="50">
        <f>'Vendor Entry Sheet'!F136</f>
        <v>0</v>
      </c>
      <c r="I134">
        <f>'Vendor Entry Sheet'!G136</f>
        <v>0</v>
      </c>
      <c r="K134" s="8">
        <v>1005</v>
      </c>
      <c r="L134">
        <f>'Vendor Entry Sheet'!H136</f>
        <v>0</v>
      </c>
      <c r="M134" s="8" t="s">
        <v>39</v>
      </c>
    </row>
    <row r="135" spans="1:13" x14ac:dyDescent="0.35">
      <c r="A135" s="6">
        <f>'Vendor Entry Sheet'!A137</f>
        <v>0</v>
      </c>
      <c r="B135" s="5">
        <f>'Vendor Entry Sheet'!C137</f>
        <v>0</v>
      </c>
      <c r="C135">
        <f>'Vendor Entry Sheet'!I137</f>
        <v>0</v>
      </c>
      <c r="D135" s="7">
        <f>'Vendor Entry Sheet'!J137</f>
        <v>0</v>
      </c>
      <c r="E135">
        <f>'Vendor Entry Sheet'!D137</f>
        <v>0</v>
      </c>
      <c r="F135">
        <f>'Vendor Entry Sheet'!E137</f>
        <v>0</v>
      </c>
      <c r="H135" s="50">
        <f>'Vendor Entry Sheet'!F137</f>
        <v>0</v>
      </c>
      <c r="I135">
        <f>'Vendor Entry Sheet'!G137</f>
        <v>0</v>
      </c>
      <c r="K135" s="8">
        <v>1005</v>
      </c>
      <c r="L135">
        <f>'Vendor Entry Sheet'!H137</f>
        <v>0</v>
      </c>
      <c r="M135" s="8" t="s">
        <v>39</v>
      </c>
    </row>
    <row r="136" spans="1:13" x14ac:dyDescent="0.35">
      <c r="A136" s="6">
        <f>'Vendor Entry Sheet'!A138</f>
        <v>0</v>
      </c>
      <c r="B136" s="5">
        <f>'Vendor Entry Sheet'!C138</f>
        <v>0</v>
      </c>
      <c r="C136">
        <f>'Vendor Entry Sheet'!I138</f>
        <v>0</v>
      </c>
      <c r="D136" s="7">
        <f>'Vendor Entry Sheet'!J138</f>
        <v>0</v>
      </c>
      <c r="E136">
        <f>'Vendor Entry Sheet'!D138</f>
        <v>0</v>
      </c>
      <c r="F136">
        <f>'Vendor Entry Sheet'!E138</f>
        <v>0</v>
      </c>
      <c r="H136" s="50">
        <f>'Vendor Entry Sheet'!F138</f>
        <v>0</v>
      </c>
      <c r="I136">
        <f>'Vendor Entry Sheet'!G138</f>
        <v>0</v>
      </c>
      <c r="K136" s="8">
        <v>1005</v>
      </c>
      <c r="L136">
        <f>'Vendor Entry Sheet'!H138</f>
        <v>0</v>
      </c>
      <c r="M136" s="8" t="s">
        <v>39</v>
      </c>
    </row>
    <row r="137" spans="1:13" x14ac:dyDescent="0.35">
      <c r="A137" s="6">
        <f>'Vendor Entry Sheet'!A139</f>
        <v>0</v>
      </c>
      <c r="B137" s="5">
        <f>'Vendor Entry Sheet'!C139</f>
        <v>0</v>
      </c>
      <c r="C137">
        <f>'Vendor Entry Sheet'!I139</f>
        <v>0</v>
      </c>
      <c r="D137" s="7">
        <f>'Vendor Entry Sheet'!J139</f>
        <v>0</v>
      </c>
      <c r="E137">
        <f>'Vendor Entry Sheet'!D139</f>
        <v>0</v>
      </c>
      <c r="F137">
        <f>'Vendor Entry Sheet'!E139</f>
        <v>0</v>
      </c>
      <c r="H137" s="50">
        <f>'Vendor Entry Sheet'!F139</f>
        <v>0</v>
      </c>
      <c r="I137">
        <f>'Vendor Entry Sheet'!G139</f>
        <v>0</v>
      </c>
      <c r="K137" s="8">
        <v>1005</v>
      </c>
      <c r="L137">
        <f>'Vendor Entry Sheet'!H139</f>
        <v>0</v>
      </c>
      <c r="M137" s="8" t="s">
        <v>39</v>
      </c>
    </row>
    <row r="138" spans="1:13" x14ac:dyDescent="0.35">
      <c r="A138" s="6">
        <f>'Vendor Entry Sheet'!A140</f>
        <v>0</v>
      </c>
      <c r="B138" s="5">
        <f>'Vendor Entry Sheet'!C140</f>
        <v>0</v>
      </c>
      <c r="C138">
        <f>'Vendor Entry Sheet'!I140</f>
        <v>0</v>
      </c>
      <c r="D138" s="7">
        <f>'Vendor Entry Sheet'!J140</f>
        <v>0</v>
      </c>
      <c r="E138">
        <f>'Vendor Entry Sheet'!D140</f>
        <v>0</v>
      </c>
      <c r="F138">
        <f>'Vendor Entry Sheet'!E140</f>
        <v>0</v>
      </c>
      <c r="H138" s="50">
        <f>'Vendor Entry Sheet'!F140</f>
        <v>0</v>
      </c>
      <c r="I138">
        <f>'Vendor Entry Sheet'!G140</f>
        <v>0</v>
      </c>
      <c r="K138" s="8">
        <v>1005</v>
      </c>
      <c r="L138">
        <f>'Vendor Entry Sheet'!H140</f>
        <v>0</v>
      </c>
      <c r="M138" s="8" t="s">
        <v>39</v>
      </c>
    </row>
    <row r="139" spans="1:13" x14ac:dyDescent="0.35">
      <c r="A139" s="6">
        <f>'Vendor Entry Sheet'!A141</f>
        <v>0</v>
      </c>
      <c r="B139" s="5">
        <f>'Vendor Entry Sheet'!C141</f>
        <v>0</v>
      </c>
      <c r="C139">
        <f>'Vendor Entry Sheet'!I141</f>
        <v>0</v>
      </c>
      <c r="D139" s="7">
        <f>'Vendor Entry Sheet'!J141</f>
        <v>0</v>
      </c>
      <c r="E139">
        <f>'Vendor Entry Sheet'!D141</f>
        <v>0</v>
      </c>
      <c r="F139">
        <f>'Vendor Entry Sheet'!E141</f>
        <v>0</v>
      </c>
      <c r="H139" s="50">
        <f>'Vendor Entry Sheet'!F141</f>
        <v>0</v>
      </c>
      <c r="I139">
        <f>'Vendor Entry Sheet'!G141</f>
        <v>0</v>
      </c>
      <c r="K139" s="8">
        <v>1005</v>
      </c>
      <c r="L139">
        <f>'Vendor Entry Sheet'!H141</f>
        <v>0</v>
      </c>
      <c r="M139" s="8" t="s">
        <v>39</v>
      </c>
    </row>
    <row r="140" spans="1:13" x14ac:dyDescent="0.35">
      <c r="A140" s="6">
        <f>'Vendor Entry Sheet'!A142</f>
        <v>0</v>
      </c>
      <c r="B140" s="5">
        <f>'Vendor Entry Sheet'!C142</f>
        <v>0</v>
      </c>
      <c r="C140">
        <f>'Vendor Entry Sheet'!I142</f>
        <v>0</v>
      </c>
      <c r="D140" s="7">
        <f>'Vendor Entry Sheet'!J142</f>
        <v>0</v>
      </c>
      <c r="E140">
        <f>'Vendor Entry Sheet'!D142</f>
        <v>0</v>
      </c>
      <c r="F140">
        <f>'Vendor Entry Sheet'!E142</f>
        <v>0</v>
      </c>
      <c r="H140" s="50">
        <f>'Vendor Entry Sheet'!F142</f>
        <v>0</v>
      </c>
      <c r="I140">
        <f>'Vendor Entry Sheet'!G142</f>
        <v>0</v>
      </c>
      <c r="K140" s="8">
        <v>1005</v>
      </c>
      <c r="L140">
        <f>'Vendor Entry Sheet'!H142</f>
        <v>0</v>
      </c>
      <c r="M140" s="8" t="s">
        <v>39</v>
      </c>
    </row>
    <row r="141" spans="1:13" x14ac:dyDescent="0.35">
      <c r="A141" s="6">
        <f>'Vendor Entry Sheet'!A143</f>
        <v>0</v>
      </c>
      <c r="B141" s="5">
        <f>'Vendor Entry Sheet'!C143</f>
        <v>0</v>
      </c>
      <c r="C141">
        <f>'Vendor Entry Sheet'!I143</f>
        <v>0</v>
      </c>
      <c r="D141" s="7">
        <f>'Vendor Entry Sheet'!J143</f>
        <v>0</v>
      </c>
      <c r="E141">
        <f>'Vendor Entry Sheet'!D143</f>
        <v>0</v>
      </c>
      <c r="F141">
        <f>'Vendor Entry Sheet'!E143</f>
        <v>0</v>
      </c>
      <c r="H141" s="50">
        <f>'Vendor Entry Sheet'!F143</f>
        <v>0</v>
      </c>
      <c r="I141">
        <f>'Vendor Entry Sheet'!G143</f>
        <v>0</v>
      </c>
      <c r="K141" s="8">
        <v>1005</v>
      </c>
      <c r="L141">
        <f>'Vendor Entry Sheet'!H143</f>
        <v>0</v>
      </c>
      <c r="M141" s="8" t="s">
        <v>39</v>
      </c>
    </row>
    <row r="142" spans="1:13" x14ac:dyDescent="0.35">
      <c r="A142" s="6">
        <f>'Vendor Entry Sheet'!A144</f>
        <v>0</v>
      </c>
      <c r="B142" s="5">
        <f>'Vendor Entry Sheet'!C144</f>
        <v>0</v>
      </c>
      <c r="C142">
        <f>'Vendor Entry Sheet'!I144</f>
        <v>0</v>
      </c>
      <c r="D142" s="7">
        <f>'Vendor Entry Sheet'!J144</f>
        <v>0</v>
      </c>
      <c r="E142">
        <f>'Vendor Entry Sheet'!D144</f>
        <v>0</v>
      </c>
      <c r="F142">
        <f>'Vendor Entry Sheet'!E144</f>
        <v>0</v>
      </c>
      <c r="H142" s="50">
        <f>'Vendor Entry Sheet'!F144</f>
        <v>0</v>
      </c>
      <c r="I142">
        <f>'Vendor Entry Sheet'!G144</f>
        <v>0</v>
      </c>
      <c r="K142" s="8">
        <v>1005</v>
      </c>
      <c r="L142">
        <f>'Vendor Entry Sheet'!H144</f>
        <v>0</v>
      </c>
      <c r="M142" s="8" t="s">
        <v>39</v>
      </c>
    </row>
    <row r="143" spans="1:13" x14ac:dyDescent="0.35">
      <c r="A143" s="6">
        <f>'Vendor Entry Sheet'!A145</f>
        <v>0</v>
      </c>
      <c r="B143" s="5">
        <f>'Vendor Entry Sheet'!C145</f>
        <v>0</v>
      </c>
      <c r="C143">
        <f>'Vendor Entry Sheet'!I145</f>
        <v>0</v>
      </c>
      <c r="D143" s="7">
        <f>'Vendor Entry Sheet'!J145</f>
        <v>0</v>
      </c>
      <c r="E143">
        <f>'Vendor Entry Sheet'!D145</f>
        <v>0</v>
      </c>
      <c r="F143">
        <f>'Vendor Entry Sheet'!E145</f>
        <v>0</v>
      </c>
      <c r="H143" s="50">
        <f>'Vendor Entry Sheet'!F145</f>
        <v>0</v>
      </c>
      <c r="I143">
        <f>'Vendor Entry Sheet'!G145</f>
        <v>0</v>
      </c>
      <c r="K143" s="8">
        <v>1005</v>
      </c>
      <c r="L143">
        <f>'Vendor Entry Sheet'!H145</f>
        <v>0</v>
      </c>
      <c r="M143" s="8" t="s">
        <v>39</v>
      </c>
    </row>
    <row r="144" spans="1:13" x14ac:dyDescent="0.35">
      <c r="A144" s="6">
        <f>'Vendor Entry Sheet'!A146</f>
        <v>0</v>
      </c>
      <c r="B144" s="5">
        <f>'Vendor Entry Sheet'!C146</f>
        <v>0</v>
      </c>
      <c r="C144">
        <f>'Vendor Entry Sheet'!I146</f>
        <v>0</v>
      </c>
      <c r="D144" s="7">
        <f>'Vendor Entry Sheet'!J146</f>
        <v>0</v>
      </c>
      <c r="E144">
        <f>'Vendor Entry Sheet'!D146</f>
        <v>0</v>
      </c>
      <c r="F144">
        <f>'Vendor Entry Sheet'!E146</f>
        <v>0</v>
      </c>
      <c r="H144" s="50">
        <f>'Vendor Entry Sheet'!F146</f>
        <v>0</v>
      </c>
      <c r="I144">
        <f>'Vendor Entry Sheet'!G146</f>
        <v>0</v>
      </c>
      <c r="K144" s="8">
        <v>1005</v>
      </c>
      <c r="L144">
        <f>'Vendor Entry Sheet'!H146</f>
        <v>0</v>
      </c>
      <c r="M144" s="8" t="s">
        <v>39</v>
      </c>
    </row>
    <row r="145" spans="1:13" x14ac:dyDescent="0.35">
      <c r="A145" s="6">
        <f>'Vendor Entry Sheet'!A147</f>
        <v>0</v>
      </c>
      <c r="B145" s="5">
        <f>'Vendor Entry Sheet'!C147</f>
        <v>0</v>
      </c>
      <c r="C145">
        <f>'Vendor Entry Sheet'!I147</f>
        <v>0</v>
      </c>
      <c r="D145" s="7">
        <f>'Vendor Entry Sheet'!J147</f>
        <v>0</v>
      </c>
      <c r="E145">
        <f>'Vendor Entry Sheet'!D147</f>
        <v>0</v>
      </c>
      <c r="F145">
        <f>'Vendor Entry Sheet'!E147</f>
        <v>0</v>
      </c>
      <c r="H145" s="50">
        <f>'Vendor Entry Sheet'!F147</f>
        <v>0</v>
      </c>
      <c r="I145">
        <f>'Vendor Entry Sheet'!G147</f>
        <v>0</v>
      </c>
      <c r="K145" s="8">
        <v>1005</v>
      </c>
      <c r="L145">
        <f>'Vendor Entry Sheet'!H147</f>
        <v>0</v>
      </c>
      <c r="M145" s="8" t="s">
        <v>39</v>
      </c>
    </row>
    <row r="146" spans="1:13" x14ac:dyDescent="0.35">
      <c r="A146" s="6">
        <f>'Vendor Entry Sheet'!A148</f>
        <v>0</v>
      </c>
      <c r="B146" s="5">
        <f>'Vendor Entry Sheet'!C148</f>
        <v>0</v>
      </c>
      <c r="C146">
        <f>'Vendor Entry Sheet'!I148</f>
        <v>0</v>
      </c>
      <c r="D146" s="7">
        <f>'Vendor Entry Sheet'!J148</f>
        <v>0</v>
      </c>
      <c r="E146">
        <f>'Vendor Entry Sheet'!D148</f>
        <v>0</v>
      </c>
      <c r="F146">
        <f>'Vendor Entry Sheet'!E148</f>
        <v>0</v>
      </c>
      <c r="H146" s="50">
        <f>'Vendor Entry Sheet'!F148</f>
        <v>0</v>
      </c>
      <c r="I146">
        <f>'Vendor Entry Sheet'!G148</f>
        <v>0</v>
      </c>
      <c r="K146" s="8">
        <v>1005</v>
      </c>
      <c r="L146">
        <f>'Vendor Entry Sheet'!H148</f>
        <v>0</v>
      </c>
      <c r="M146" s="8" t="s">
        <v>39</v>
      </c>
    </row>
    <row r="147" spans="1:13" x14ac:dyDescent="0.35">
      <c r="A147" s="6">
        <f>'Vendor Entry Sheet'!A149</f>
        <v>0</v>
      </c>
      <c r="B147" s="5">
        <f>'Vendor Entry Sheet'!C149</f>
        <v>0</v>
      </c>
      <c r="C147">
        <f>'Vendor Entry Sheet'!I149</f>
        <v>0</v>
      </c>
      <c r="D147" s="7">
        <f>'Vendor Entry Sheet'!J149</f>
        <v>0</v>
      </c>
      <c r="E147">
        <f>'Vendor Entry Sheet'!D149</f>
        <v>0</v>
      </c>
      <c r="F147">
        <f>'Vendor Entry Sheet'!E149</f>
        <v>0</v>
      </c>
      <c r="H147" s="50">
        <f>'Vendor Entry Sheet'!F149</f>
        <v>0</v>
      </c>
      <c r="I147">
        <f>'Vendor Entry Sheet'!G149</f>
        <v>0</v>
      </c>
      <c r="K147" s="8">
        <v>1005</v>
      </c>
      <c r="L147">
        <f>'Vendor Entry Sheet'!H149</f>
        <v>0</v>
      </c>
      <c r="M147" s="8" t="s">
        <v>39</v>
      </c>
    </row>
    <row r="148" spans="1:13" x14ac:dyDescent="0.35">
      <c r="A148" s="6">
        <f>'Vendor Entry Sheet'!A150</f>
        <v>0</v>
      </c>
      <c r="B148" s="5">
        <f>'Vendor Entry Sheet'!C150</f>
        <v>0</v>
      </c>
      <c r="C148">
        <f>'Vendor Entry Sheet'!I150</f>
        <v>0</v>
      </c>
      <c r="D148" s="7">
        <f>'Vendor Entry Sheet'!J150</f>
        <v>0</v>
      </c>
      <c r="E148">
        <f>'Vendor Entry Sheet'!D150</f>
        <v>0</v>
      </c>
      <c r="F148">
        <f>'Vendor Entry Sheet'!E150</f>
        <v>0</v>
      </c>
      <c r="H148" s="50">
        <f>'Vendor Entry Sheet'!F150</f>
        <v>0</v>
      </c>
      <c r="I148">
        <f>'Vendor Entry Sheet'!G150</f>
        <v>0</v>
      </c>
      <c r="K148" s="8">
        <v>1005</v>
      </c>
      <c r="L148">
        <f>'Vendor Entry Sheet'!H150</f>
        <v>0</v>
      </c>
      <c r="M148" s="8" t="s">
        <v>39</v>
      </c>
    </row>
    <row r="149" spans="1:13" x14ac:dyDescent="0.35">
      <c r="A149" s="6">
        <f>'Vendor Entry Sheet'!A151</f>
        <v>0</v>
      </c>
      <c r="B149" s="5">
        <f>'Vendor Entry Sheet'!C151</f>
        <v>0</v>
      </c>
      <c r="C149">
        <f>'Vendor Entry Sheet'!I151</f>
        <v>0</v>
      </c>
      <c r="D149" s="7">
        <f>'Vendor Entry Sheet'!J151</f>
        <v>0</v>
      </c>
      <c r="E149">
        <f>'Vendor Entry Sheet'!D151</f>
        <v>0</v>
      </c>
      <c r="F149">
        <f>'Vendor Entry Sheet'!E151</f>
        <v>0</v>
      </c>
      <c r="H149" s="50">
        <f>'Vendor Entry Sheet'!F151</f>
        <v>0</v>
      </c>
      <c r="I149">
        <f>'Vendor Entry Sheet'!G151</f>
        <v>0</v>
      </c>
      <c r="K149" s="8">
        <v>1005</v>
      </c>
      <c r="L149">
        <f>'Vendor Entry Sheet'!H151</f>
        <v>0</v>
      </c>
      <c r="M149" s="8" t="s">
        <v>39</v>
      </c>
    </row>
    <row r="150" spans="1:13" x14ac:dyDescent="0.35">
      <c r="A150" s="6">
        <f>'Vendor Entry Sheet'!A152</f>
        <v>0</v>
      </c>
      <c r="B150" s="5">
        <f>'Vendor Entry Sheet'!C152</f>
        <v>0</v>
      </c>
      <c r="C150">
        <f>'Vendor Entry Sheet'!I152</f>
        <v>0</v>
      </c>
      <c r="D150" s="7">
        <f>'Vendor Entry Sheet'!J152</f>
        <v>0</v>
      </c>
      <c r="E150">
        <f>'Vendor Entry Sheet'!D152</f>
        <v>0</v>
      </c>
      <c r="F150">
        <f>'Vendor Entry Sheet'!E152</f>
        <v>0</v>
      </c>
      <c r="H150" s="50">
        <f>'Vendor Entry Sheet'!F152</f>
        <v>0</v>
      </c>
      <c r="I150">
        <f>'Vendor Entry Sheet'!G152</f>
        <v>0</v>
      </c>
      <c r="K150" s="8">
        <v>1005</v>
      </c>
      <c r="L150">
        <f>'Vendor Entry Sheet'!H152</f>
        <v>0</v>
      </c>
      <c r="M150" s="8" t="s">
        <v>39</v>
      </c>
    </row>
    <row r="151" spans="1:13" x14ac:dyDescent="0.35">
      <c r="A151" s="6">
        <f>'Vendor Entry Sheet'!A153</f>
        <v>0</v>
      </c>
      <c r="B151" s="5">
        <f>'Vendor Entry Sheet'!C153</f>
        <v>0</v>
      </c>
      <c r="C151">
        <f>'Vendor Entry Sheet'!I153</f>
        <v>0</v>
      </c>
      <c r="D151" s="7">
        <f>'Vendor Entry Sheet'!J153</f>
        <v>0</v>
      </c>
      <c r="E151">
        <f>'Vendor Entry Sheet'!D153</f>
        <v>0</v>
      </c>
      <c r="F151">
        <f>'Vendor Entry Sheet'!E153</f>
        <v>0</v>
      </c>
      <c r="H151" s="50">
        <f>'Vendor Entry Sheet'!F153</f>
        <v>0</v>
      </c>
      <c r="I151">
        <f>'Vendor Entry Sheet'!G153</f>
        <v>0</v>
      </c>
      <c r="K151" s="8">
        <v>1005</v>
      </c>
      <c r="L151">
        <f>'Vendor Entry Sheet'!H153</f>
        <v>0</v>
      </c>
      <c r="M151" s="8" t="s">
        <v>39</v>
      </c>
    </row>
    <row r="152" spans="1:13" x14ac:dyDescent="0.35">
      <c r="A152" s="6">
        <f>'Vendor Entry Sheet'!A154</f>
        <v>0</v>
      </c>
      <c r="B152" s="5">
        <f>'Vendor Entry Sheet'!C154</f>
        <v>0</v>
      </c>
      <c r="C152">
        <f>'Vendor Entry Sheet'!I154</f>
        <v>0</v>
      </c>
      <c r="D152" s="7">
        <f>'Vendor Entry Sheet'!J154</f>
        <v>0</v>
      </c>
      <c r="E152">
        <f>'Vendor Entry Sheet'!D154</f>
        <v>0</v>
      </c>
      <c r="F152">
        <f>'Vendor Entry Sheet'!E154</f>
        <v>0</v>
      </c>
      <c r="H152" s="50">
        <f>'Vendor Entry Sheet'!F154</f>
        <v>0</v>
      </c>
      <c r="I152">
        <f>'Vendor Entry Sheet'!G154</f>
        <v>0</v>
      </c>
      <c r="K152" s="8">
        <v>1005</v>
      </c>
      <c r="L152">
        <f>'Vendor Entry Sheet'!H154</f>
        <v>0</v>
      </c>
      <c r="M152" s="8" t="s">
        <v>39</v>
      </c>
    </row>
    <row r="153" spans="1:13" x14ac:dyDescent="0.35">
      <c r="A153" s="6">
        <f>'Vendor Entry Sheet'!A155</f>
        <v>0</v>
      </c>
      <c r="B153" s="5">
        <f>'Vendor Entry Sheet'!C155</f>
        <v>0</v>
      </c>
      <c r="C153">
        <f>'Vendor Entry Sheet'!I155</f>
        <v>0</v>
      </c>
      <c r="D153" s="7">
        <f>'Vendor Entry Sheet'!J155</f>
        <v>0</v>
      </c>
      <c r="E153">
        <f>'Vendor Entry Sheet'!D155</f>
        <v>0</v>
      </c>
      <c r="F153">
        <f>'Vendor Entry Sheet'!E155</f>
        <v>0</v>
      </c>
      <c r="H153" s="50">
        <f>'Vendor Entry Sheet'!F155</f>
        <v>0</v>
      </c>
      <c r="I153">
        <f>'Vendor Entry Sheet'!G155</f>
        <v>0</v>
      </c>
      <c r="K153" s="8">
        <v>1005</v>
      </c>
      <c r="L153">
        <f>'Vendor Entry Sheet'!H155</f>
        <v>0</v>
      </c>
      <c r="M153" s="8" t="s">
        <v>39</v>
      </c>
    </row>
    <row r="154" spans="1:13" x14ac:dyDescent="0.35">
      <c r="A154" s="6">
        <f>'Vendor Entry Sheet'!A156</f>
        <v>0</v>
      </c>
      <c r="B154" s="5">
        <f>'Vendor Entry Sheet'!C156</f>
        <v>0</v>
      </c>
      <c r="C154">
        <f>'Vendor Entry Sheet'!I156</f>
        <v>0</v>
      </c>
      <c r="D154" s="7">
        <f>'Vendor Entry Sheet'!J156</f>
        <v>0</v>
      </c>
      <c r="E154">
        <f>'Vendor Entry Sheet'!D156</f>
        <v>0</v>
      </c>
      <c r="F154">
        <f>'Vendor Entry Sheet'!E156</f>
        <v>0</v>
      </c>
      <c r="H154" s="50">
        <f>'Vendor Entry Sheet'!F156</f>
        <v>0</v>
      </c>
      <c r="I154">
        <f>'Vendor Entry Sheet'!G156</f>
        <v>0</v>
      </c>
      <c r="K154" s="8">
        <v>1005</v>
      </c>
      <c r="L154">
        <f>'Vendor Entry Sheet'!H156</f>
        <v>0</v>
      </c>
      <c r="M154" s="8" t="s">
        <v>39</v>
      </c>
    </row>
    <row r="155" spans="1:13" x14ac:dyDescent="0.35">
      <c r="A155" s="6">
        <f>'Vendor Entry Sheet'!A157</f>
        <v>0</v>
      </c>
      <c r="B155" s="5">
        <f>'Vendor Entry Sheet'!C157</f>
        <v>0</v>
      </c>
      <c r="C155">
        <f>'Vendor Entry Sheet'!I157</f>
        <v>0</v>
      </c>
      <c r="D155" s="7">
        <f>'Vendor Entry Sheet'!J157</f>
        <v>0</v>
      </c>
      <c r="E155">
        <f>'Vendor Entry Sheet'!D157</f>
        <v>0</v>
      </c>
      <c r="F155">
        <f>'Vendor Entry Sheet'!E157</f>
        <v>0</v>
      </c>
      <c r="H155" s="50">
        <f>'Vendor Entry Sheet'!F157</f>
        <v>0</v>
      </c>
      <c r="I155">
        <f>'Vendor Entry Sheet'!G157</f>
        <v>0</v>
      </c>
      <c r="K155" s="8">
        <v>1005</v>
      </c>
      <c r="L155">
        <f>'Vendor Entry Sheet'!H157</f>
        <v>0</v>
      </c>
      <c r="M155" s="8" t="s">
        <v>39</v>
      </c>
    </row>
    <row r="156" spans="1:13" x14ac:dyDescent="0.35">
      <c r="A156" s="6">
        <f>'Vendor Entry Sheet'!A158</f>
        <v>0</v>
      </c>
      <c r="B156" s="5">
        <f>'Vendor Entry Sheet'!C158</f>
        <v>0</v>
      </c>
      <c r="C156">
        <f>'Vendor Entry Sheet'!I158</f>
        <v>0</v>
      </c>
      <c r="D156" s="7">
        <f>'Vendor Entry Sheet'!J158</f>
        <v>0</v>
      </c>
      <c r="E156">
        <f>'Vendor Entry Sheet'!D158</f>
        <v>0</v>
      </c>
      <c r="F156">
        <f>'Vendor Entry Sheet'!E158</f>
        <v>0</v>
      </c>
      <c r="H156" s="50">
        <f>'Vendor Entry Sheet'!F158</f>
        <v>0</v>
      </c>
      <c r="I156">
        <f>'Vendor Entry Sheet'!G158</f>
        <v>0</v>
      </c>
      <c r="K156" s="8">
        <v>1005</v>
      </c>
      <c r="L156">
        <f>'Vendor Entry Sheet'!H158</f>
        <v>0</v>
      </c>
      <c r="M156" s="8" t="s">
        <v>39</v>
      </c>
    </row>
    <row r="157" spans="1:13" x14ac:dyDescent="0.35">
      <c r="A157" s="6">
        <f>'Vendor Entry Sheet'!A159</f>
        <v>0</v>
      </c>
      <c r="B157" s="5">
        <f>'Vendor Entry Sheet'!C159</f>
        <v>0</v>
      </c>
      <c r="C157">
        <f>'Vendor Entry Sheet'!I159</f>
        <v>0</v>
      </c>
      <c r="D157" s="7">
        <f>'Vendor Entry Sheet'!J159</f>
        <v>0</v>
      </c>
      <c r="E157">
        <f>'Vendor Entry Sheet'!D159</f>
        <v>0</v>
      </c>
      <c r="F157">
        <f>'Vendor Entry Sheet'!E159</f>
        <v>0</v>
      </c>
      <c r="H157" s="50">
        <f>'Vendor Entry Sheet'!F159</f>
        <v>0</v>
      </c>
      <c r="I157">
        <f>'Vendor Entry Sheet'!G159</f>
        <v>0</v>
      </c>
      <c r="K157" s="8">
        <v>1005</v>
      </c>
      <c r="L157">
        <f>'Vendor Entry Sheet'!H159</f>
        <v>0</v>
      </c>
      <c r="M157" s="8" t="s">
        <v>39</v>
      </c>
    </row>
    <row r="158" spans="1:13" x14ac:dyDescent="0.35">
      <c r="A158" s="6">
        <f>'Vendor Entry Sheet'!A160</f>
        <v>0</v>
      </c>
      <c r="B158" s="5">
        <f>'Vendor Entry Sheet'!C160</f>
        <v>0</v>
      </c>
      <c r="C158">
        <f>'Vendor Entry Sheet'!I160</f>
        <v>0</v>
      </c>
      <c r="D158" s="7">
        <f>'Vendor Entry Sheet'!J160</f>
        <v>0</v>
      </c>
      <c r="E158">
        <f>'Vendor Entry Sheet'!D160</f>
        <v>0</v>
      </c>
      <c r="F158">
        <f>'Vendor Entry Sheet'!E160</f>
        <v>0</v>
      </c>
      <c r="H158" s="50">
        <f>'Vendor Entry Sheet'!F160</f>
        <v>0</v>
      </c>
      <c r="I158">
        <f>'Vendor Entry Sheet'!G160</f>
        <v>0</v>
      </c>
      <c r="K158" s="8">
        <v>1005</v>
      </c>
      <c r="L158">
        <f>'Vendor Entry Sheet'!H160</f>
        <v>0</v>
      </c>
      <c r="M158" s="8" t="s">
        <v>39</v>
      </c>
    </row>
    <row r="159" spans="1:13" x14ac:dyDescent="0.35">
      <c r="A159" s="6">
        <f>'Vendor Entry Sheet'!A161</f>
        <v>0</v>
      </c>
      <c r="B159" s="5">
        <f>'Vendor Entry Sheet'!C161</f>
        <v>0</v>
      </c>
      <c r="C159">
        <f>'Vendor Entry Sheet'!I161</f>
        <v>0</v>
      </c>
      <c r="D159" s="7">
        <f>'Vendor Entry Sheet'!J161</f>
        <v>0</v>
      </c>
      <c r="E159">
        <f>'Vendor Entry Sheet'!D161</f>
        <v>0</v>
      </c>
      <c r="F159">
        <f>'Vendor Entry Sheet'!E161</f>
        <v>0</v>
      </c>
      <c r="H159" s="50">
        <f>'Vendor Entry Sheet'!F161</f>
        <v>0</v>
      </c>
      <c r="I159">
        <f>'Vendor Entry Sheet'!G161</f>
        <v>0</v>
      </c>
      <c r="K159" s="8">
        <v>1005</v>
      </c>
      <c r="L159">
        <f>'Vendor Entry Sheet'!H161</f>
        <v>0</v>
      </c>
      <c r="M159" s="8" t="s">
        <v>39</v>
      </c>
    </row>
    <row r="160" spans="1:13" x14ac:dyDescent="0.35">
      <c r="A160" s="6">
        <f>'Vendor Entry Sheet'!A162</f>
        <v>0</v>
      </c>
      <c r="B160" s="5">
        <f>'Vendor Entry Sheet'!C162</f>
        <v>0</v>
      </c>
      <c r="C160">
        <f>'Vendor Entry Sheet'!I162</f>
        <v>0</v>
      </c>
      <c r="D160" s="7">
        <f>'Vendor Entry Sheet'!J162</f>
        <v>0</v>
      </c>
      <c r="E160">
        <f>'Vendor Entry Sheet'!D162</f>
        <v>0</v>
      </c>
      <c r="F160">
        <f>'Vendor Entry Sheet'!E162</f>
        <v>0</v>
      </c>
      <c r="H160" s="50">
        <f>'Vendor Entry Sheet'!F162</f>
        <v>0</v>
      </c>
      <c r="I160">
        <f>'Vendor Entry Sheet'!G162</f>
        <v>0</v>
      </c>
      <c r="K160" s="8">
        <v>1005</v>
      </c>
      <c r="L160">
        <f>'Vendor Entry Sheet'!H162</f>
        <v>0</v>
      </c>
      <c r="M160" s="8" t="s">
        <v>39</v>
      </c>
    </row>
    <row r="161" spans="1:13" x14ac:dyDescent="0.35">
      <c r="A161" s="6">
        <f>'Vendor Entry Sheet'!A163</f>
        <v>0</v>
      </c>
      <c r="B161" s="5">
        <f>'Vendor Entry Sheet'!C163</f>
        <v>0</v>
      </c>
      <c r="C161">
        <f>'Vendor Entry Sheet'!I163</f>
        <v>0</v>
      </c>
      <c r="D161" s="7">
        <f>'Vendor Entry Sheet'!J163</f>
        <v>0</v>
      </c>
      <c r="E161">
        <f>'Vendor Entry Sheet'!D163</f>
        <v>0</v>
      </c>
      <c r="F161">
        <f>'Vendor Entry Sheet'!E163</f>
        <v>0</v>
      </c>
      <c r="H161" s="50">
        <f>'Vendor Entry Sheet'!F163</f>
        <v>0</v>
      </c>
      <c r="I161">
        <f>'Vendor Entry Sheet'!G163</f>
        <v>0</v>
      </c>
      <c r="K161" s="8">
        <v>1005</v>
      </c>
      <c r="L161">
        <f>'Vendor Entry Sheet'!H163</f>
        <v>0</v>
      </c>
      <c r="M161" s="8" t="s">
        <v>39</v>
      </c>
    </row>
    <row r="162" spans="1:13" x14ac:dyDescent="0.35">
      <c r="A162" s="6">
        <f>'Vendor Entry Sheet'!A164</f>
        <v>0</v>
      </c>
      <c r="B162" s="5">
        <f>'Vendor Entry Sheet'!C164</f>
        <v>0</v>
      </c>
      <c r="C162">
        <f>'Vendor Entry Sheet'!I164</f>
        <v>0</v>
      </c>
      <c r="D162" s="7">
        <f>'Vendor Entry Sheet'!J164</f>
        <v>0</v>
      </c>
      <c r="E162">
        <f>'Vendor Entry Sheet'!D164</f>
        <v>0</v>
      </c>
      <c r="F162">
        <f>'Vendor Entry Sheet'!E164</f>
        <v>0</v>
      </c>
      <c r="H162" s="50">
        <f>'Vendor Entry Sheet'!F164</f>
        <v>0</v>
      </c>
      <c r="I162">
        <f>'Vendor Entry Sheet'!G164</f>
        <v>0</v>
      </c>
      <c r="K162" s="8">
        <v>1005</v>
      </c>
      <c r="L162">
        <f>'Vendor Entry Sheet'!H164</f>
        <v>0</v>
      </c>
      <c r="M162" s="8" t="s">
        <v>39</v>
      </c>
    </row>
    <row r="163" spans="1:13" x14ac:dyDescent="0.35">
      <c r="A163" s="6">
        <f>'Vendor Entry Sheet'!A165</f>
        <v>0</v>
      </c>
      <c r="B163" s="5">
        <f>'Vendor Entry Sheet'!C165</f>
        <v>0</v>
      </c>
      <c r="C163">
        <f>'Vendor Entry Sheet'!I165</f>
        <v>0</v>
      </c>
      <c r="D163" s="7">
        <f>'Vendor Entry Sheet'!J165</f>
        <v>0</v>
      </c>
      <c r="E163">
        <f>'Vendor Entry Sheet'!D165</f>
        <v>0</v>
      </c>
      <c r="F163">
        <f>'Vendor Entry Sheet'!E165</f>
        <v>0</v>
      </c>
      <c r="H163" s="50">
        <f>'Vendor Entry Sheet'!F165</f>
        <v>0</v>
      </c>
      <c r="I163">
        <f>'Vendor Entry Sheet'!G165</f>
        <v>0</v>
      </c>
      <c r="K163" s="8">
        <v>1005</v>
      </c>
      <c r="L163">
        <f>'Vendor Entry Sheet'!H165</f>
        <v>0</v>
      </c>
      <c r="M163" s="8" t="s">
        <v>39</v>
      </c>
    </row>
    <row r="164" spans="1:13" x14ac:dyDescent="0.35">
      <c r="A164" s="6">
        <f>'Vendor Entry Sheet'!A166</f>
        <v>0</v>
      </c>
      <c r="B164" s="5">
        <f>'Vendor Entry Sheet'!C166</f>
        <v>0</v>
      </c>
      <c r="C164">
        <f>'Vendor Entry Sheet'!I166</f>
        <v>0</v>
      </c>
      <c r="D164" s="7">
        <f>'Vendor Entry Sheet'!J166</f>
        <v>0</v>
      </c>
      <c r="E164">
        <f>'Vendor Entry Sheet'!D166</f>
        <v>0</v>
      </c>
      <c r="F164">
        <f>'Vendor Entry Sheet'!E166</f>
        <v>0</v>
      </c>
      <c r="H164" s="50">
        <f>'Vendor Entry Sheet'!F166</f>
        <v>0</v>
      </c>
      <c r="I164">
        <f>'Vendor Entry Sheet'!G166</f>
        <v>0</v>
      </c>
      <c r="K164" s="8">
        <v>1005</v>
      </c>
      <c r="L164">
        <f>'Vendor Entry Sheet'!H166</f>
        <v>0</v>
      </c>
      <c r="M164" s="8" t="s">
        <v>39</v>
      </c>
    </row>
    <row r="165" spans="1:13" x14ac:dyDescent="0.35">
      <c r="A165" s="6">
        <f>'Vendor Entry Sheet'!A167</f>
        <v>0</v>
      </c>
      <c r="B165" s="5">
        <f>'Vendor Entry Sheet'!C167</f>
        <v>0</v>
      </c>
      <c r="C165">
        <f>'Vendor Entry Sheet'!I167</f>
        <v>0</v>
      </c>
      <c r="D165" s="7">
        <f>'Vendor Entry Sheet'!J167</f>
        <v>0</v>
      </c>
      <c r="E165">
        <f>'Vendor Entry Sheet'!D167</f>
        <v>0</v>
      </c>
      <c r="F165">
        <f>'Vendor Entry Sheet'!E167</f>
        <v>0</v>
      </c>
      <c r="H165" s="50">
        <f>'Vendor Entry Sheet'!F167</f>
        <v>0</v>
      </c>
      <c r="I165">
        <f>'Vendor Entry Sheet'!G167</f>
        <v>0</v>
      </c>
      <c r="K165" s="8">
        <v>1005</v>
      </c>
      <c r="L165">
        <f>'Vendor Entry Sheet'!H167</f>
        <v>0</v>
      </c>
      <c r="M165" s="8" t="s">
        <v>39</v>
      </c>
    </row>
    <row r="166" spans="1:13" x14ac:dyDescent="0.35">
      <c r="A166" s="6">
        <f>'Vendor Entry Sheet'!A168</f>
        <v>0</v>
      </c>
      <c r="B166" s="5">
        <f>'Vendor Entry Sheet'!C168</f>
        <v>0</v>
      </c>
      <c r="C166">
        <f>'Vendor Entry Sheet'!I168</f>
        <v>0</v>
      </c>
      <c r="D166" s="7">
        <f>'Vendor Entry Sheet'!J168</f>
        <v>0</v>
      </c>
      <c r="E166">
        <f>'Vendor Entry Sheet'!D168</f>
        <v>0</v>
      </c>
      <c r="F166">
        <f>'Vendor Entry Sheet'!E168</f>
        <v>0</v>
      </c>
      <c r="H166" s="50">
        <f>'Vendor Entry Sheet'!F168</f>
        <v>0</v>
      </c>
      <c r="I166">
        <f>'Vendor Entry Sheet'!G168</f>
        <v>0</v>
      </c>
      <c r="K166" s="8">
        <v>1005</v>
      </c>
      <c r="L166">
        <f>'Vendor Entry Sheet'!H168</f>
        <v>0</v>
      </c>
      <c r="M166" s="8" t="s">
        <v>39</v>
      </c>
    </row>
    <row r="167" spans="1:13" x14ac:dyDescent="0.35">
      <c r="A167" s="6">
        <f>'Vendor Entry Sheet'!A169</f>
        <v>0</v>
      </c>
      <c r="B167" s="5">
        <f>'Vendor Entry Sheet'!C169</f>
        <v>0</v>
      </c>
      <c r="C167">
        <f>'Vendor Entry Sheet'!I169</f>
        <v>0</v>
      </c>
      <c r="D167" s="7">
        <f>'Vendor Entry Sheet'!J169</f>
        <v>0</v>
      </c>
      <c r="E167">
        <f>'Vendor Entry Sheet'!D169</f>
        <v>0</v>
      </c>
      <c r="F167">
        <f>'Vendor Entry Sheet'!E169</f>
        <v>0</v>
      </c>
      <c r="H167" s="50">
        <f>'Vendor Entry Sheet'!F169</f>
        <v>0</v>
      </c>
      <c r="I167">
        <f>'Vendor Entry Sheet'!G169</f>
        <v>0</v>
      </c>
      <c r="K167" s="8">
        <v>1005</v>
      </c>
      <c r="L167">
        <f>'Vendor Entry Sheet'!H169</f>
        <v>0</v>
      </c>
      <c r="M167" s="8" t="s">
        <v>39</v>
      </c>
    </row>
    <row r="168" spans="1:13" x14ac:dyDescent="0.35">
      <c r="A168" s="6">
        <f>'Vendor Entry Sheet'!A170</f>
        <v>0</v>
      </c>
      <c r="B168" s="5">
        <f>'Vendor Entry Sheet'!C170</f>
        <v>0</v>
      </c>
      <c r="C168">
        <f>'Vendor Entry Sheet'!I170</f>
        <v>0</v>
      </c>
      <c r="D168" s="7">
        <f>'Vendor Entry Sheet'!J170</f>
        <v>0</v>
      </c>
      <c r="E168">
        <f>'Vendor Entry Sheet'!D170</f>
        <v>0</v>
      </c>
      <c r="F168">
        <f>'Vendor Entry Sheet'!E170</f>
        <v>0</v>
      </c>
      <c r="H168" s="50">
        <f>'Vendor Entry Sheet'!F170</f>
        <v>0</v>
      </c>
      <c r="I168">
        <f>'Vendor Entry Sheet'!G170</f>
        <v>0</v>
      </c>
      <c r="K168" s="8">
        <v>1005</v>
      </c>
      <c r="L168">
        <f>'Vendor Entry Sheet'!H170</f>
        <v>0</v>
      </c>
      <c r="M168" s="8" t="s">
        <v>39</v>
      </c>
    </row>
    <row r="169" spans="1:13" x14ac:dyDescent="0.35">
      <c r="A169" s="6">
        <f>'Vendor Entry Sheet'!A171</f>
        <v>0</v>
      </c>
      <c r="B169" s="5">
        <f>'Vendor Entry Sheet'!C171</f>
        <v>0</v>
      </c>
      <c r="C169">
        <f>'Vendor Entry Sheet'!I171</f>
        <v>0</v>
      </c>
      <c r="D169" s="7">
        <f>'Vendor Entry Sheet'!J171</f>
        <v>0</v>
      </c>
      <c r="E169">
        <f>'Vendor Entry Sheet'!D171</f>
        <v>0</v>
      </c>
      <c r="F169">
        <f>'Vendor Entry Sheet'!E171</f>
        <v>0</v>
      </c>
      <c r="H169" s="50">
        <f>'Vendor Entry Sheet'!F171</f>
        <v>0</v>
      </c>
      <c r="I169">
        <f>'Vendor Entry Sheet'!G171</f>
        <v>0</v>
      </c>
      <c r="K169" s="8">
        <v>1005</v>
      </c>
      <c r="L169">
        <f>'Vendor Entry Sheet'!H171</f>
        <v>0</v>
      </c>
      <c r="M169" s="8" t="s">
        <v>39</v>
      </c>
    </row>
    <row r="170" spans="1:13" x14ac:dyDescent="0.35">
      <c r="A170" s="6">
        <f>'Vendor Entry Sheet'!A172</f>
        <v>0</v>
      </c>
      <c r="B170" s="5">
        <f>'Vendor Entry Sheet'!C172</f>
        <v>0</v>
      </c>
      <c r="C170">
        <f>'Vendor Entry Sheet'!I172</f>
        <v>0</v>
      </c>
      <c r="D170" s="7">
        <f>'Vendor Entry Sheet'!J172</f>
        <v>0</v>
      </c>
      <c r="E170">
        <f>'Vendor Entry Sheet'!D172</f>
        <v>0</v>
      </c>
      <c r="F170">
        <f>'Vendor Entry Sheet'!E172</f>
        <v>0</v>
      </c>
      <c r="H170" s="50">
        <f>'Vendor Entry Sheet'!F172</f>
        <v>0</v>
      </c>
      <c r="I170">
        <f>'Vendor Entry Sheet'!G172</f>
        <v>0</v>
      </c>
      <c r="K170" s="8">
        <v>1005</v>
      </c>
      <c r="L170">
        <f>'Vendor Entry Sheet'!H172</f>
        <v>0</v>
      </c>
      <c r="M170" s="8" t="s">
        <v>39</v>
      </c>
    </row>
    <row r="171" spans="1:13" x14ac:dyDescent="0.35">
      <c r="A171" s="6">
        <f>'Vendor Entry Sheet'!A173</f>
        <v>0</v>
      </c>
      <c r="B171" s="5">
        <f>'Vendor Entry Sheet'!C173</f>
        <v>0</v>
      </c>
      <c r="C171">
        <f>'Vendor Entry Sheet'!I173</f>
        <v>0</v>
      </c>
      <c r="D171" s="7">
        <f>'Vendor Entry Sheet'!J173</f>
        <v>0</v>
      </c>
      <c r="E171">
        <f>'Vendor Entry Sheet'!D173</f>
        <v>0</v>
      </c>
      <c r="F171">
        <f>'Vendor Entry Sheet'!E173</f>
        <v>0</v>
      </c>
      <c r="H171" s="50">
        <f>'Vendor Entry Sheet'!F173</f>
        <v>0</v>
      </c>
      <c r="I171">
        <f>'Vendor Entry Sheet'!G173</f>
        <v>0</v>
      </c>
      <c r="K171" s="8">
        <v>1005</v>
      </c>
      <c r="L171">
        <f>'Vendor Entry Sheet'!H173</f>
        <v>0</v>
      </c>
      <c r="M171" s="8" t="s">
        <v>39</v>
      </c>
    </row>
    <row r="172" spans="1:13" x14ac:dyDescent="0.35">
      <c r="A172" s="6">
        <f>'Vendor Entry Sheet'!A174</f>
        <v>0</v>
      </c>
      <c r="B172" s="5">
        <f>'Vendor Entry Sheet'!C174</f>
        <v>0</v>
      </c>
      <c r="C172">
        <f>'Vendor Entry Sheet'!I174</f>
        <v>0</v>
      </c>
      <c r="D172" s="7">
        <f>'Vendor Entry Sheet'!J174</f>
        <v>0</v>
      </c>
      <c r="E172">
        <f>'Vendor Entry Sheet'!D174</f>
        <v>0</v>
      </c>
      <c r="F172">
        <f>'Vendor Entry Sheet'!E174</f>
        <v>0</v>
      </c>
      <c r="H172" s="50">
        <f>'Vendor Entry Sheet'!F174</f>
        <v>0</v>
      </c>
      <c r="I172">
        <f>'Vendor Entry Sheet'!G174</f>
        <v>0</v>
      </c>
      <c r="K172" s="8">
        <v>1005</v>
      </c>
      <c r="L172">
        <f>'Vendor Entry Sheet'!H174</f>
        <v>0</v>
      </c>
      <c r="M172" s="8" t="s">
        <v>39</v>
      </c>
    </row>
    <row r="173" spans="1:13" x14ac:dyDescent="0.35">
      <c r="A173" s="6">
        <f>'Vendor Entry Sheet'!A175</f>
        <v>0</v>
      </c>
      <c r="B173" s="5">
        <f>'Vendor Entry Sheet'!C175</f>
        <v>0</v>
      </c>
      <c r="C173">
        <f>'Vendor Entry Sheet'!I175</f>
        <v>0</v>
      </c>
      <c r="D173" s="7">
        <f>'Vendor Entry Sheet'!J175</f>
        <v>0</v>
      </c>
      <c r="E173">
        <f>'Vendor Entry Sheet'!D175</f>
        <v>0</v>
      </c>
      <c r="F173">
        <f>'Vendor Entry Sheet'!E175</f>
        <v>0</v>
      </c>
      <c r="H173" s="50">
        <f>'Vendor Entry Sheet'!F175</f>
        <v>0</v>
      </c>
      <c r="I173">
        <f>'Vendor Entry Sheet'!G175</f>
        <v>0</v>
      </c>
      <c r="K173" s="8">
        <v>1005</v>
      </c>
      <c r="L173">
        <f>'Vendor Entry Sheet'!H175</f>
        <v>0</v>
      </c>
      <c r="M173" s="8" t="s">
        <v>39</v>
      </c>
    </row>
    <row r="174" spans="1:13" x14ac:dyDescent="0.35">
      <c r="A174" s="6">
        <f>'Vendor Entry Sheet'!A176</f>
        <v>0</v>
      </c>
      <c r="B174" s="5">
        <f>'Vendor Entry Sheet'!C176</f>
        <v>0</v>
      </c>
      <c r="C174">
        <f>'Vendor Entry Sheet'!I176</f>
        <v>0</v>
      </c>
      <c r="D174" s="7">
        <f>'Vendor Entry Sheet'!J176</f>
        <v>0</v>
      </c>
      <c r="E174">
        <f>'Vendor Entry Sheet'!D176</f>
        <v>0</v>
      </c>
      <c r="F174">
        <f>'Vendor Entry Sheet'!E176</f>
        <v>0</v>
      </c>
      <c r="H174" s="50">
        <f>'Vendor Entry Sheet'!F176</f>
        <v>0</v>
      </c>
      <c r="I174">
        <f>'Vendor Entry Sheet'!G176</f>
        <v>0</v>
      </c>
      <c r="K174" s="8">
        <v>1005</v>
      </c>
      <c r="L174">
        <f>'Vendor Entry Sheet'!H176</f>
        <v>0</v>
      </c>
      <c r="M174" s="8" t="s">
        <v>39</v>
      </c>
    </row>
    <row r="175" spans="1:13" x14ac:dyDescent="0.35">
      <c r="A175" s="6">
        <f>'Vendor Entry Sheet'!A177</f>
        <v>0</v>
      </c>
      <c r="B175" s="5">
        <f>'Vendor Entry Sheet'!C177</f>
        <v>0</v>
      </c>
      <c r="C175">
        <f>'Vendor Entry Sheet'!I177</f>
        <v>0</v>
      </c>
      <c r="D175" s="7">
        <f>'Vendor Entry Sheet'!J177</f>
        <v>0</v>
      </c>
      <c r="E175">
        <f>'Vendor Entry Sheet'!D177</f>
        <v>0</v>
      </c>
      <c r="F175">
        <f>'Vendor Entry Sheet'!E177</f>
        <v>0</v>
      </c>
      <c r="H175" s="50">
        <f>'Vendor Entry Sheet'!F177</f>
        <v>0</v>
      </c>
      <c r="I175">
        <f>'Vendor Entry Sheet'!G177</f>
        <v>0</v>
      </c>
      <c r="K175" s="8">
        <v>1005</v>
      </c>
      <c r="L175">
        <f>'Vendor Entry Sheet'!H177</f>
        <v>0</v>
      </c>
      <c r="M175" s="8" t="s">
        <v>39</v>
      </c>
    </row>
    <row r="176" spans="1:13" x14ac:dyDescent="0.35">
      <c r="A176" s="6">
        <f>'Vendor Entry Sheet'!A178</f>
        <v>0</v>
      </c>
      <c r="B176" s="5">
        <f>'Vendor Entry Sheet'!C178</f>
        <v>0</v>
      </c>
      <c r="C176">
        <f>'Vendor Entry Sheet'!I178</f>
        <v>0</v>
      </c>
      <c r="D176" s="7">
        <f>'Vendor Entry Sheet'!J178</f>
        <v>0</v>
      </c>
      <c r="E176">
        <f>'Vendor Entry Sheet'!D178</f>
        <v>0</v>
      </c>
      <c r="F176">
        <f>'Vendor Entry Sheet'!E178</f>
        <v>0</v>
      </c>
      <c r="H176" s="50">
        <f>'Vendor Entry Sheet'!F178</f>
        <v>0</v>
      </c>
      <c r="I176">
        <f>'Vendor Entry Sheet'!G178</f>
        <v>0</v>
      </c>
      <c r="K176" s="8">
        <v>1005</v>
      </c>
      <c r="L176">
        <f>'Vendor Entry Sheet'!H178</f>
        <v>0</v>
      </c>
      <c r="M176" s="8" t="s">
        <v>39</v>
      </c>
    </row>
    <row r="177" spans="1:13" x14ac:dyDescent="0.35">
      <c r="A177" s="6">
        <f>'Vendor Entry Sheet'!A179</f>
        <v>0</v>
      </c>
      <c r="B177" s="5">
        <f>'Vendor Entry Sheet'!C179</f>
        <v>0</v>
      </c>
      <c r="C177">
        <f>'Vendor Entry Sheet'!I179</f>
        <v>0</v>
      </c>
      <c r="D177" s="7">
        <f>'Vendor Entry Sheet'!J179</f>
        <v>0</v>
      </c>
      <c r="E177">
        <f>'Vendor Entry Sheet'!D179</f>
        <v>0</v>
      </c>
      <c r="F177">
        <f>'Vendor Entry Sheet'!E179</f>
        <v>0</v>
      </c>
      <c r="H177" s="50">
        <f>'Vendor Entry Sheet'!F179</f>
        <v>0</v>
      </c>
      <c r="I177">
        <f>'Vendor Entry Sheet'!G179</f>
        <v>0</v>
      </c>
      <c r="K177" s="8">
        <v>1005</v>
      </c>
      <c r="L177">
        <f>'Vendor Entry Sheet'!H179</f>
        <v>0</v>
      </c>
      <c r="M177" s="8" t="s">
        <v>39</v>
      </c>
    </row>
    <row r="178" spans="1:13" x14ac:dyDescent="0.35">
      <c r="A178" s="6">
        <f>'Vendor Entry Sheet'!A180</f>
        <v>0</v>
      </c>
      <c r="B178" s="5">
        <f>'Vendor Entry Sheet'!C180</f>
        <v>0</v>
      </c>
      <c r="C178">
        <f>'Vendor Entry Sheet'!I180</f>
        <v>0</v>
      </c>
      <c r="D178" s="7">
        <f>'Vendor Entry Sheet'!J180</f>
        <v>0</v>
      </c>
      <c r="E178">
        <f>'Vendor Entry Sheet'!D180</f>
        <v>0</v>
      </c>
      <c r="F178">
        <f>'Vendor Entry Sheet'!E180</f>
        <v>0</v>
      </c>
      <c r="H178" s="50">
        <f>'Vendor Entry Sheet'!F180</f>
        <v>0</v>
      </c>
      <c r="I178">
        <f>'Vendor Entry Sheet'!G180</f>
        <v>0</v>
      </c>
      <c r="K178" s="8">
        <v>1005</v>
      </c>
      <c r="L178">
        <f>'Vendor Entry Sheet'!H180</f>
        <v>0</v>
      </c>
      <c r="M178" s="8" t="s">
        <v>39</v>
      </c>
    </row>
    <row r="179" spans="1:13" x14ac:dyDescent="0.35">
      <c r="A179" s="6">
        <f>'Vendor Entry Sheet'!A181</f>
        <v>0</v>
      </c>
      <c r="B179" s="5">
        <f>'Vendor Entry Sheet'!C181</f>
        <v>0</v>
      </c>
      <c r="C179">
        <f>'Vendor Entry Sheet'!I181</f>
        <v>0</v>
      </c>
      <c r="D179" s="7">
        <f>'Vendor Entry Sheet'!J181</f>
        <v>0</v>
      </c>
      <c r="E179">
        <f>'Vendor Entry Sheet'!D181</f>
        <v>0</v>
      </c>
      <c r="F179">
        <f>'Vendor Entry Sheet'!E181</f>
        <v>0</v>
      </c>
      <c r="H179" s="50">
        <f>'Vendor Entry Sheet'!F181</f>
        <v>0</v>
      </c>
      <c r="I179">
        <f>'Vendor Entry Sheet'!G181</f>
        <v>0</v>
      </c>
      <c r="K179" s="8">
        <v>1005</v>
      </c>
      <c r="L179">
        <f>'Vendor Entry Sheet'!H181</f>
        <v>0</v>
      </c>
      <c r="M179" s="8" t="s">
        <v>39</v>
      </c>
    </row>
    <row r="180" spans="1:13" x14ac:dyDescent="0.35">
      <c r="A180" s="6">
        <f>'Vendor Entry Sheet'!A182</f>
        <v>0</v>
      </c>
      <c r="B180" s="5">
        <f>'Vendor Entry Sheet'!C182</f>
        <v>0</v>
      </c>
      <c r="C180">
        <f>'Vendor Entry Sheet'!I182</f>
        <v>0</v>
      </c>
      <c r="D180" s="7">
        <f>'Vendor Entry Sheet'!J182</f>
        <v>0</v>
      </c>
      <c r="E180">
        <f>'Vendor Entry Sheet'!D182</f>
        <v>0</v>
      </c>
      <c r="F180">
        <f>'Vendor Entry Sheet'!E182</f>
        <v>0</v>
      </c>
      <c r="H180" s="50">
        <f>'Vendor Entry Sheet'!F182</f>
        <v>0</v>
      </c>
      <c r="I180">
        <f>'Vendor Entry Sheet'!G182</f>
        <v>0</v>
      </c>
      <c r="K180" s="8">
        <v>1005</v>
      </c>
      <c r="L180">
        <f>'Vendor Entry Sheet'!H182</f>
        <v>0</v>
      </c>
      <c r="M180" s="8" t="s">
        <v>39</v>
      </c>
    </row>
    <row r="181" spans="1:13" x14ac:dyDescent="0.35">
      <c r="A181" s="6">
        <f>'Vendor Entry Sheet'!A183</f>
        <v>0</v>
      </c>
      <c r="B181" s="5">
        <f>'Vendor Entry Sheet'!C183</f>
        <v>0</v>
      </c>
      <c r="C181">
        <f>'Vendor Entry Sheet'!I183</f>
        <v>0</v>
      </c>
      <c r="D181" s="7">
        <f>'Vendor Entry Sheet'!J183</f>
        <v>0</v>
      </c>
      <c r="E181">
        <f>'Vendor Entry Sheet'!D183</f>
        <v>0</v>
      </c>
      <c r="F181">
        <f>'Vendor Entry Sheet'!E183</f>
        <v>0</v>
      </c>
      <c r="H181" s="50">
        <f>'Vendor Entry Sheet'!F183</f>
        <v>0</v>
      </c>
      <c r="I181">
        <f>'Vendor Entry Sheet'!G183</f>
        <v>0</v>
      </c>
      <c r="K181" s="8">
        <v>1005</v>
      </c>
      <c r="L181">
        <f>'Vendor Entry Sheet'!H183</f>
        <v>0</v>
      </c>
      <c r="M181" s="8" t="s">
        <v>39</v>
      </c>
    </row>
    <row r="182" spans="1:13" x14ac:dyDescent="0.35">
      <c r="A182" s="6">
        <f>'Vendor Entry Sheet'!A184</f>
        <v>0</v>
      </c>
      <c r="B182" s="5">
        <f>'Vendor Entry Sheet'!C184</f>
        <v>0</v>
      </c>
      <c r="C182">
        <f>'Vendor Entry Sheet'!I184</f>
        <v>0</v>
      </c>
      <c r="D182" s="7">
        <f>'Vendor Entry Sheet'!J184</f>
        <v>0</v>
      </c>
      <c r="E182">
        <f>'Vendor Entry Sheet'!D184</f>
        <v>0</v>
      </c>
      <c r="F182">
        <f>'Vendor Entry Sheet'!E184</f>
        <v>0</v>
      </c>
      <c r="H182" s="50">
        <f>'Vendor Entry Sheet'!F184</f>
        <v>0</v>
      </c>
      <c r="I182">
        <f>'Vendor Entry Sheet'!G184</f>
        <v>0</v>
      </c>
      <c r="K182" s="8">
        <v>1005</v>
      </c>
      <c r="L182">
        <f>'Vendor Entry Sheet'!H184</f>
        <v>0</v>
      </c>
      <c r="M182" s="8" t="s">
        <v>39</v>
      </c>
    </row>
    <row r="183" spans="1:13" x14ac:dyDescent="0.35">
      <c r="A183" s="6">
        <f>'Vendor Entry Sheet'!A185</f>
        <v>0</v>
      </c>
      <c r="B183" s="5">
        <f>'Vendor Entry Sheet'!C185</f>
        <v>0</v>
      </c>
      <c r="C183">
        <f>'Vendor Entry Sheet'!I185</f>
        <v>0</v>
      </c>
      <c r="D183" s="7">
        <f>'Vendor Entry Sheet'!J185</f>
        <v>0</v>
      </c>
      <c r="E183">
        <f>'Vendor Entry Sheet'!D185</f>
        <v>0</v>
      </c>
      <c r="F183">
        <f>'Vendor Entry Sheet'!E185</f>
        <v>0</v>
      </c>
      <c r="H183" s="50">
        <f>'Vendor Entry Sheet'!F185</f>
        <v>0</v>
      </c>
      <c r="I183">
        <f>'Vendor Entry Sheet'!G185</f>
        <v>0</v>
      </c>
      <c r="K183" s="8">
        <v>1005</v>
      </c>
      <c r="L183">
        <f>'Vendor Entry Sheet'!H185</f>
        <v>0</v>
      </c>
      <c r="M183" s="8" t="s">
        <v>39</v>
      </c>
    </row>
    <row r="184" spans="1:13" x14ac:dyDescent="0.35">
      <c r="A184" s="6">
        <f>'Vendor Entry Sheet'!A186</f>
        <v>0</v>
      </c>
      <c r="B184" s="5">
        <f>'Vendor Entry Sheet'!C186</f>
        <v>0</v>
      </c>
      <c r="C184">
        <f>'Vendor Entry Sheet'!I186</f>
        <v>0</v>
      </c>
      <c r="D184" s="7">
        <f>'Vendor Entry Sheet'!J186</f>
        <v>0</v>
      </c>
      <c r="E184">
        <f>'Vendor Entry Sheet'!D186</f>
        <v>0</v>
      </c>
      <c r="F184">
        <f>'Vendor Entry Sheet'!E186</f>
        <v>0</v>
      </c>
      <c r="H184" s="50">
        <f>'Vendor Entry Sheet'!F186</f>
        <v>0</v>
      </c>
      <c r="I184">
        <f>'Vendor Entry Sheet'!G186</f>
        <v>0</v>
      </c>
      <c r="K184" s="8">
        <v>1005</v>
      </c>
      <c r="L184">
        <f>'Vendor Entry Sheet'!H186</f>
        <v>0</v>
      </c>
      <c r="M184" s="8" t="s">
        <v>39</v>
      </c>
    </row>
    <row r="185" spans="1:13" x14ac:dyDescent="0.35">
      <c r="A185" s="6">
        <f>'Vendor Entry Sheet'!A187</f>
        <v>0</v>
      </c>
      <c r="B185" s="5">
        <f>'Vendor Entry Sheet'!C187</f>
        <v>0</v>
      </c>
      <c r="C185">
        <f>'Vendor Entry Sheet'!I187</f>
        <v>0</v>
      </c>
      <c r="D185" s="7">
        <f>'Vendor Entry Sheet'!J187</f>
        <v>0</v>
      </c>
      <c r="E185">
        <f>'Vendor Entry Sheet'!D187</f>
        <v>0</v>
      </c>
      <c r="F185">
        <f>'Vendor Entry Sheet'!E187</f>
        <v>0</v>
      </c>
      <c r="H185" s="50">
        <f>'Vendor Entry Sheet'!F187</f>
        <v>0</v>
      </c>
      <c r="I185">
        <f>'Vendor Entry Sheet'!G187</f>
        <v>0</v>
      </c>
      <c r="K185" s="8">
        <v>1005</v>
      </c>
      <c r="L185">
        <f>'Vendor Entry Sheet'!H187</f>
        <v>0</v>
      </c>
      <c r="M185" s="8" t="s">
        <v>39</v>
      </c>
    </row>
    <row r="186" spans="1:13" x14ac:dyDescent="0.35">
      <c r="A186" s="6">
        <f>'Vendor Entry Sheet'!A188</f>
        <v>0</v>
      </c>
      <c r="B186" s="5">
        <f>'Vendor Entry Sheet'!C188</f>
        <v>0</v>
      </c>
      <c r="C186">
        <f>'Vendor Entry Sheet'!I188</f>
        <v>0</v>
      </c>
      <c r="D186" s="7">
        <f>'Vendor Entry Sheet'!J188</f>
        <v>0</v>
      </c>
      <c r="E186">
        <f>'Vendor Entry Sheet'!D188</f>
        <v>0</v>
      </c>
      <c r="F186">
        <f>'Vendor Entry Sheet'!E188</f>
        <v>0</v>
      </c>
      <c r="H186" s="50">
        <f>'Vendor Entry Sheet'!F188</f>
        <v>0</v>
      </c>
      <c r="I186">
        <f>'Vendor Entry Sheet'!G188</f>
        <v>0</v>
      </c>
      <c r="K186" s="8">
        <v>1005</v>
      </c>
      <c r="L186">
        <f>'Vendor Entry Sheet'!H188</f>
        <v>0</v>
      </c>
      <c r="M186" s="8" t="s">
        <v>39</v>
      </c>
    </row>
    <row r="187" spans="1:13" x14ac:dyDescent="0.35">
      <c r="A187" s="6">
        <f>'Vendor Entry Sheet'!A189</f>
        <v>0</v>
      </c>
      <c r="B187" s="5">
        <f>'Vendor Entry Sheet'!C189</f>
        <v>0</v>
      </c>
      <c r="C187">
        <f>'Vendor Entry Sheet'!I189</f>
        <v>0</v>
      </c>
      <c r="D187" s="7">
        <f>'Vendor Entry Sheet'!J189</f>
        <v>0</v>
      </c>
      <c r="E187">
        <f>'Vendor Entry Sheet'!D189</f>
        <v>0</v>
      </c>
      <c r="F187">
        <f>'Vendor Entry Sheet'!E189</f>
        <v>0</v>
      </c>
      <c r="H187" s="50">
        <f>'Vendor Entry Sheet'!F189</f>
        <v>0</v>
      </c>
      <c r="I187">
        <f>'Vendor Entry Sheet'!G189</f>
        <v>0</v>
      </c>
      <c r="K187" s="8">
        <v>1005</v>
      </c>
      <c r="L187">
        <f>'Vendor Entry Sheet'!H189</f>
        <v>0</v>
      </c>
      <c r="M187" s="8" t="s">
        <v>39</v>
      </c>
    </row>
    <row r="188" spans="1:13" x14ac:dyDescent="0.35">
      <c r="A188" s="6">
        <f>'Vendor Entry Sheet'!A190</f>
        <v>0</v>
      </c>
      <c r="B188" s="5">
        <f>'Vendor Entry Sheet'!C190</f>
        <v>0</v>
      </c>
      <c r="C188">
        <f>'Vendor Entry Sheet'!I190</f>
        <v>0</v>
      </c>
      <c r="D188" s="7">
        <f>'Vendor Entry Sheet'!J190</f>
        <v>0</v>
      </c>
      <c r="E188">
        <f>'Vendor Entry Sheet'!D190</f>
        <v>0</v>
      </c>
      <c r="F188">
        <f>'Vendor Entry Sheet'!E190</f>
        <v>0</v>
      </c>
      <c r="H188" s="50">
        <f>'Vendor Entry Sheet'!F190</f>
        <v>0</v>
      </c>
      <c r="I188">
        <f>'Vendor Entry Sheet'!G190</f>
        <v>0</v>
      </c>
      <c r="K188" s="8">
        <v>1005</v>
      </c>
      <c r="L188">
        <f>'Vendor Entry Sheet'!H190</f>
        <v>0</v>
      </c>
      <c r="M188" s="8" t="s">
        <v>39</v>
      </c>
    </row>
    <row r="189" spans="1:13" x14ac:dyDescent="0.35">
      <c r="A189" s="6">
        <f>'Vendor Entry Sheet'!A191</f>
        <v>0</v>
      </c>
      <c r="B189" s="5">
        <f>'Vendor Entry Sheet'!C191</f>
        <v>0</v>
      </c>
      <c r="C189">
        <f>'Vendor Entry Sheet'!I191</f>
        <v>0</v>
      </c>
      <c r="D189" s="7">
        <f>'Vendor Entry Sheet'!J191</f>
        <v>0</v>
      </c>
      <c r="E189">
        <f>'Vendor Entry Sheet'!D191</f>
        <v>0</v>
      </c>
      <c r="F189">
        <f>'Vendor Entry Sheet'!E191</f>
        <v>0</v>
      </c>
      <c r="H189" s="50">
        <f>'Vendor Entry Sheet'!F191</f>
        <v>0</v>
      </c>
      <c r="I189">
        <f>'Vendor Entry Sheet'!G191</f>
        <v>0</v>
      </c>
      <c r="K189" s="8">
        <v>1005</v>
      </c>
      <c r="L189">
        <f>'Vendor Entry Sheet'!H191</f>
        <v>0</v>
      </c>
      <c r="M189" s="8" t="s">
        <v>39</v>
      </c>
    </row>
    <row r="190" spans="1:13" x14ac:dyDescent="0.35">
      <c r="A190" s="6">
        <f>'Vendor Entry Sheet'!A192</f>
        <v>0</v>
      </c>
      <c r="B190" s="5">
        <f>'Vendor Entry Sheet'!C192</f>
        <v>0</v>
      </c>
      <c r="C190">
        <f>'Vendor Entry Sheet'!I192</f>
        <v>0</v>
      </c>
      <c r="D190" s="7">
        <f>'Vendor Entry Sheet'!J192</f>
        <v>0</v>
      </c>
      <c r="E190">
        <f>'Vendor Entry Sheet'!D192</f>
        <v>0</v>
      </c>
      <c r="F190">
        <f>'Vendor Entry Sheet'!E192</f>
        <v>0</v>
      </c>
      <c r="H190" s="50">
        <f>'Vendor Entry Sheet'!F192</f>
        <v>0</v>
      </c>
      <c r="I190">
        <f>'Vendor Entry Sheet'!G192</f>
        <v>0</v>
      </c>
      <c r="K190" s="8">
        <v>1005</v>
      </c>
      <c r="L190">
        <f>'Vendor Entry Sheet'!H192</f>
        <v>0</v>
      </c>
      <c r="M190" s="8" t="s">
        <v>39</v>
      </c>
    </row>
    <row r="191" spans="1:13" x14ac:dyDescent="0.35">
      <c r="A191" s="6">
        <f>'Vendor Entry Sheet'!A193</f>
        <v>0</v>
      </c>
      <c r="B191" s="5">
        <f>'Vendor Entry Sheet'!C193</f>
        <v>0</v>
      </c>
      <c r="C191">
        <f>'Vendor Entry Sheet'!I193</f>
        <v>0</v>
      </c>
      <c r="D191" s="7">
        <f>'Vendor Entry Sheet'!J193</f>
        <v>0</v>
      </c>
      <c r="E191">
        <f>'Vendor Entry Sheet'!D193</f>
        <v>0</v>
      </c>
      <c r="F191">
        <f>'Vendor Entry Sheet'!E193</f>
        <v>0</v>
      </c>
      <c r="H191" s="50">
        <f>'Vendor Entry Sheet'!F193</f>
        <v>0</v>
      </c>
      <c r="I191">
        <f>'Vendor Entry Sheet'!G193</f>
        <v>0</v>
      </c>
      <c r="K191" s="8">
        <v>1005</v>
      </c>
      <c r="L191">
        <f>'Vendor Entry Sheet'!H193</f>
        <v>0</v>
      </c>
      <c r="M191" s="8" t="s">
        <v>39</v>
      </c>
    </row>
    <row r="192" spans="1:13" x14ac:dyDescent="0.35">
      <c r="A192" s="6">
        <f>'Vendor Entry Sheet'!A194</f>
        <v>0</v>
      </c>
      <c r="B192" s="5">
        <f>'Vendor Entry Sheet'!C194</f>
        <v>0</v>
      </c>
      <c r="C192">
        <f>'Vendor Entry Sheet'!I194</f>
        <v>0</v>
      </c>
      <c r="D192" s="7">
        <f>'Vendor Entry Sheet'!J194</f>
        <v>0</v>
      </c>
      <c r="E192">
        <f>'Vendor Entry Sheet'!D194</f>
        <v>0</v>
      </c>
      <c r="F192">
        <f>'Vendor Entry Sheet'!E194</f>
        <v>0</v>
      </c>
      <c r="H192" s="50">
        <f>'Vendor Entry Sheet'!F194</f>
        <v>0</v>
      </c>
      <c r="I192">
        <f>'Vendor Entry Sheet'!G194</f>
        <v>0</v>
      </c>
      <c r="K192" s="8">
        <v>1005</v>
      </c>
      <c r="L192">
        <f>'Vendor Entry Sheet'!H194</f>
        <v>0</v>
      </c>
      <c r="M192" s="8" t="s">
        <v>39</v>
      </c>
    </row>
    <row r="193" spans="1:13" x14ac:dyDescent="0.35">
      <c r="A193" s="6">
        <f>'Vendor Entry Sheet'!A195</f>
        <v>0</v>
      </c>
      <c r="B193" s="5">
        <f>'Vendor Entry Sheet'!C195</f>
        <v>0</v>
      </c>
      <c r="C193">
        <f>'Vendor Entry Sheet'!I195</f>
        <v>0</v>
      </c>
      <c r="D193" s="7">
        <f>'Vendor Entry Sheet'!J195</f>
        <v>0</v>
      </c>
      <c r="E193">
        <f>'Vendor Entry Sheet'!D195</f>
        <v>0</v>
      </c>
      <c r="F193">
        <f>'Vendor Entry Sheet'!E195</f>
        <v>0</v>
      </c>
      <c r="H193" s="50">
        <f>'Vendor Entry Sheet'!F195</f>
        <v>0</v>
      </c>
      <c r="I193">
        <f>'Vendor Entry Sheet'!G195</f>
        <v>0</v>
      </c>
      <c r="K193" s="8">
        <v>1005</v>
      </c>
      <c r="L193">
        <f>'Vendor Entry Sheet'!H195</f>
        <v>0</v>
      </c>
      <c r="M193" s="8" t="s">
        <v>39</v>
      </c>
    </row>
    <row r="194" spans="1:13" x14ac:dyDescent="0.35">
      <c r="A194" s="6">
        <f>'Vendor Entry Sheet'!A196</f>
        <v>0</v>
      </c>
      <c r="B194" s="5">
        <f>'Vendor Entry Sheet'!C196</f>
        <v>0</v>
      </c>
      <c r="C194">
        <f>'Vendor Entry Sheet'!I196</f>
        <v>0</v>
      </c>
      <c r="D194" s="7">
        <f>'Vendor Entry Sheet'!J196</f>
        <v>0</v>
      </c>
      <c r="E194">
        <f>'Vendor Entry Sheet'!D196</f>
        <v>0</v>
      </c>
      <c r="F194">
        <f>'Vendor Entry Sheet'!E196</f>
        <v>0</v>
      </c>
      <c r="H194" s="50">
        <f>'Vendor Entry Sheet'!F196</f>
        <v>0</v>
      </c>
      <c r="I194">
        <f>'Vendor Entry Sheet'!G196</f>
        <v>0</v>
      </c>
      <c r="K194" s="8">
        <v>1005</v>
      </c>
      <c r="L194">
        <f>'Vendor Entry Sheet'!H196</f>
        <v>0</v>
      </c>
      <c r="M194" s="8" t="s">
        <v>39</v>
      </c>
    </row>
    <row r="195" spans="1:13" x14ac:dyDescent="0.35">
      <c r="A195" s="6">
        <f>'Vendor Entry Sheet'!A197</f>
        <v>0</v>
      </c>
      <c r="B195" s="5">
        <f>'Vendor Entry Sheet'!C197</f>
        <v>0</v>
      </c>
      <c r="C195">
        <f>'Vendor Entry Sheet'!I197</f>
        <v>0</v>
      </c>
      <c r="D195" s="7">
        <f>'Vendor Entry Sheet'!J197</f>
        <v>0</v>
      </c>
      <c r="E195">
        <f>'Vendor Entry Sheet'!D197</f>
        <v>0</v>
      </c>
      <c r="F195">
        <f>'Vendor Entry Sheet'!E197</f>
        <v>0</v>
      </c>
      <c r="H195" s="50">
        <f>'Vendor Entry Sheet'!F197</f>
        <v>0</v>
      </c>
      <c r="I195">
        <f>'Vendor Entry Sheet'!G197</f>
        <v>0</v>
      </c>
      <c r="K195" s="8">
        <v>1005</v>
      </c>
      <c r="L195">
        <f>'Vendor Entry Sheet'!H197</f>
        <v>0</v>
      </c>
      <c r="M195" s="8" t="s">
        <v>39</v>
      </c>
    </row>
    <row r="196" spans="1:13" x14ac:dyDescent="0.35">
      <c r="A196" s="6">
        <f>'Vendor Entry Sheet'!A198</f>
        <v>0</v>
      </c>
      <c r="B196" s="5">
        <f>'Vendor Entry Sheet'!C198</f>
        <v>0</v>
      </c>
      <c r="C196">
        <f>'Vendor Entry Sheet'!I198</f>
        <v>0</v>
      </c>
      <c r="D196" s="7">
        <f>'Vendor Entry Sheet'!J198</f>
        <v>0</v>
      </c>
      <c r="E196">
        <f>'Vendor Entry Sheet'!D198</f>
        <v>0</v>
      </c>
      <c r="F196">
        <f>'Vendor Entry Sheet'!E198</f>
        <v>0</v>
      </c>
      <c r="H196" s="50">
        <f>'Vendor Entry Sheet'!F198</f>
        <v>0</v>
      </c>
      <c r="I196">
        <f>'Vendor Entry Sheet'!G198</f>
        <v>0</v>
      </c>
      <c r="K196" s="8">
        <v>1005</v>
      </c>
      <c r="L196">
        <f>'Vendor Entry Sheet'!H198</f>
        <v>0</v>
      </c>
      <c r="M196" s="8" t="s">
        <v>39</v>
      </c>
    </row>
    <row r="197" spans="1:13" x14ac:dyDescent="0.35">
      <c r="A197" s="6">
        <f>'Vendor Entry Sheet'!A199</f>
        <v>0</v>
      </c>
      <c r="B197" s="5">
        <f>'Vendor Entry Sheet'!C199</f>
        <v>0</v>
      </c>
      <c r="C197">
        <f>'Vendor Entry Sheet'!I199</f>
        <v>0</v>
      </c>
      <c r="D197" s="7">
        <f>'Vendor Entry Sheet'!J199</f>
        <v>0</v>
      </c>
      <c r="E197">
        <f>'Vendor Entry Sheet'!D199</f>
        <v>0</v>
      </c>
      <c r="F197">
        <f>'Vendor Entry Sheet'!E199</f>
        <v>0</v>
      </c>
      <c r="H197" s="50">
        <f>'Vendor Entry Sheet'!F199</f>
        <v>0</v>
      </c>
      <c r="I197">
        <f>'Vendor Entry Sheet'!G199</f>
        <v>0</v>
      </c>
      <c r="K197" s="8">
        <v>1005</v>
      </c>
      <c r="L197">
        <f>'Vendor Entry Sheet'!H199</f>
        <v>0</v>
      </c>
      <c r="M197" s="8" t="s">
        <v>39</v>
      </c>
    </row>
    <row r="198" spans="1:13" x14ac:dyDescent="0.35">
      <c r="A198" s="6">
        <f>'Vendor Entry Sheet'!A200</f>
        <v>0</v>
      </c>
      <c r="B198" s="5">
        <f>'Vendor Entry Sheet'!C200</f>
        <v>0</v>
      </c>
      <c r="C198">
        <f>'Vendor Entry Sheet'!I200</f>
        <v>0</v>
      </c>
      <c r="D198" s="7">
        <f>'Vendor Entry Sheet'!J200</f>
        <v>0</v>
      </c>
      <c r="E198">
        <f>'Vendor Entry Sheet'!D200</f>
        <v>0</v>
      </c>
      <c r="F198">
        <f>'Vendor Entry Sheet'!E200</f>
        <v>0</v>
      </c>
      <c r="H198" s="50">
        <f>'Vendor Entry Sheet'!F200</f>
        <v>0</v>
      </c>
      <c r="I198">
        <f>'Vendor Entry Sheet'!G200</f>
        <v>0</v>
      </c>
      <c r="K198" s="8">
        <v>1005</v>
      </c>
      <c r="L198">
        <f>'Vendor Entry Sheet'!H200</f>
        <v>0</v>
      </c>
      <c r="M198" s="8" t="s">
        <v>39</v>
      </c>
    </row>
    <row r="199" spans="1:13" x14ac:dyDescent="0.35">
      <c r="A199" s="6">
        <f>'Vendor Entry Sheet'!A201</f>
        <v>0</v>
      </c>
      <c r="B199" s="5">
        <f>'Vendor Entry Sheet'!C201</f>
        <v>0</v>
      </c>
      <c r="C199">
        <f>'Vendor Entry Sheet'!I201</f>
        <v>0</v>
      </c>
      <c r="D199" s="7">
        <f>'Vendor Entry Sheet'!J201</f>
        <v>0</v>
      </c>
      <c r="E199">
        <f>'Vendor Entry Sheet'!D201</f>
        <v>0</v>
      </c>
      <c r="F199">
        <f>'Vendor Entry Sheet'!E201</f>
        <v>0</v>
      </c>
      <c r="H199" s="50">
        <f>'Vendor Entry Sheet'!F201</f>
        <v>0</v>
      </c>
      <c r="I199">
        <f>'Vendor Entry Sheet'!G201</f>
        <v>0</v>
      </c>
      <c r="K199" s="8">
        <v>1005</v>
      </c>
      <c r="L199">
        <f>'Vendor Entry Sheet'!H201</f>
        <v>0</v>
      </c>
      <c r="M199" s="8" t="s">
        <v>39</v>
      </c>
    </row>
    <row r="200" spans="1:13" x14ac:dyDescent="0.35">
      <c r="A200" s="6">
        <f>'Vendor Entry Sheet'!A202</f>
        <v>0</v>
      </c>
      <c r="B200" s="5">
        <f>'Vendor Entry Sheet'!C202</f>
        <v>0</v>
      </c>
      <c r="C200">
        <f>'Vendor Entry Sheet'!I202</f>
        <v>0</v>
      </c>
      <c r="D200" s="7">
        <f>'Vendor Entry Sheet'!J202</f>
        <v>0</v>
      </c>
      <c r="E200">
        <f>'Vendor Entry Sheet'!D202</f>
        <v>0</v>
      </c>
      <c r="F200">
        <f>'Vendor Entry Sheet'!E202</f>
        <v>0</v>
      </c>
      <c r="H200" s="50">
        <f>'Vendor Entry Sheet'!F202</f>
        <v>0</v>
      </c>
      <c r="I200">
        <f>'Vendor Entry Sheet'!G202</f>
        <v>0</v>
      </c>
      <c r="K200" s="8">
        <v>1005</v>
      </c>
      <c r="L200">
        <f>'Vendor Entry Sheet'!H202</f>
        <v>0</v>
      </c>
      <c r="M200" s="8" t="s">
        <v>39</v>
      </c>
    </row>
    <row r="201" spans="1:13" x14ac:dyDescent="0.35">
      <c r="A201" s="6">
        <f>'Vendor Entry Sheet'!A203</f>
        <v>0</v>
      </c>
      <c r="B201" s="5">
        <f>'Vendor Entry Sheet'!C203</f>
        <v>0</v>
      </c>
      <c r="C201">
        <f>'Vendor Entry Sheet'!I203</f>
        <v>0</v>
      </c>
      <c r="D201" s="7">
        <f>'Vendor Entry Sheet'!J203</f>
        <v>0</v>
      </c>
      <c r="E201">
        <f>'Vendor Entry Sheet'!D203</f>
        <v>0</v>
      </c>
      <c r="F201">
        <f>'Vendor Entry Sheet'!E203</f>
        <v>0</v>
      </c>
      <c r="H201" s="50">
        <f>'Vendor Entry Sheet'!F203</f>
        <v>0</v>
      </c>
      <c r="I201">
        <f>'Vendor Entry Sheet'!G203</f>
        <v>0</v>
      </c>
      <c r="K201" s="8">
        <v>1005</v>
      </c>
      <c r="L201">
        <f>'Vendor Entry Sheet'!H203</f>
        <v>0</v>
      </c>
      <c r="M201" s="8" t="s">
        <v>39</v>
      </c>
    </row>
    <row r="202" spans="1:13" x14ac:dyDescent="0.35">
      <c r="A202" s="6">
        <f>'Vendor Entry Sheet'!A204</f>
        <v>0</v>
      </c>
      <c r="B202" s="5">
        <f>'Vendor Entry Sheet'!C204</f>
        <v>0</v>
      </c>
      <c r="C202">
        <f>'Vendor Entry Sheet'!I204</f>
        <v>0</v>
      </c>
      <c r="D202" s="7">
        <f>'Vendor Entry Sheet'!J204</f>
        <v>0</v>
      </c>
      <c r="E202">
        <f>'Vendor Entry Sheet'!D204</f>
        <v>0</v>
      </c>
      <c r="F202">
        <f>'Vendor Entry Sheet'!E204</f>
        <v>0</v>
      </c>
      <c r="H202" s="50">
        <f>'Vendor Entry Sheet'!F204</f>
        <v>0</v>
      </c>
      <c r="I202">
        <f>'Vendor Entry Sheet'!G204</f>
        <v>0</v>
      </c>
      <c r="K202" s="8">
        <v>1005</v>
      </c>
      <c r="L202">
        <f>'Vendor Entry Sheet'!H204</f>
        <v>0</v>
      </c>
      <c r="M202" s="8" t="s">
        <v>39</v>
      </c>
    </row>
    <row r="203" spans="1:13" x14ac:dyDescent="0.35">
      <c r="A203" s="6">
        <f>'Vendor Entry Sheet'!A205</f>
        <v>0</v>
      </c>
      <c r="B203" s="5">
        <f>'Vendor Entry Sheet'!C205</f>
        <v>0</v>
      </c>
      <c r="C203">
        <f>'Vendor Entry Sheet'!I205</f>
        <v>0</v>
      </c>
      <c r="D203" s="7">
        <f>'Vendor Entry Sheet'!J205</f>
        <v>0</v>
      </c>
      <c r="E203">
        <f>'Vendor Entry Sheet'!D205</f>
        <v>0</v>
      </c>
      <c r="F203">
        <f>'Vendor Entry Sheet'!E205</f>
        <v>0</v>
      </c>
      <c r="H203" s="50">
        <f>'Vendor Entry Sheet'!F205</f>
        <v>0</v>
      </c>
      <c r="I203">
        <f>'Vendor Entry Sheet'!G205</f>
        <v>0</v>
      </c>
      <c r="K203" s="8">
        <v>1005</v>
      </c>
      <c r="L203">
        <f>'Vendor Entry Sheet'!H205</f>
        <v>0</v>
      </c>
      <c r="M203" s="8" t="s">
        <v>39</v>
      </c>
    </row>
    <row r="204" spans="1:13" x14ac:dyDescent="0.35">
      <c r="A204" s="6">
        <f>'Vendor Entry Sheet'!A206</f>
        <v>0</v>
      </c>
      <c r="B204" s="5">
        <f>'Vendor Entry Sheet'!C206</f>
        <v>0</v>
      </c>
      <c r="C204">
        <f>'Vendor Entry Sheet'!I206</f>
        <v>0</v>
      </c>
      <c r="D204" s="7">
        <f>'Vendor Entry Sheet'!J206</f>
        <v>0</v>
      </c>
      <c r="E204">
        <f>'Vendor Entry Sheet'!D206</f>
        <v>0</v>
      </c>
      <c r="F204">
        <f>'Vendor Entry Sheet'!E206</f>
        <v>0</v>
      </c>
      <c r="H204" s="50">
        <f>'Vendor Entry Sheet'!F206</f>
        <v>0</v>
      </c>
      <c r="I204">
        <f>'Vendor Entry Sheet'!G206</f>
        <v>0</v>
      </c>
      <c r="K204" s="8">
        <v>1005</v>
      </c>
      <c r="L204">
        <f>'Vendor Entry Sheet'!H206</f>
        <v>0</v>
      </c>
      <c r="M204" s="8" t="s">
        <v>39</v>
      </c>
    </row>
    <row r="205" spans="1:13" x14ac:dyDescent="0.35">
      <c r="A205" s="6">
        <f>'Vendor Entry Sheet'!A207</f>
        <v>0</v>
      </c>
      <c r="B205" s="5">
        <f>'Vendor Entry Sheet'!C207</f>
        <v>0</v>
      </c>
      <c r="C205">
        <f>'Vendor Entry Sheet'!I207</f>
        <v>0</v>
      </c>
      <c r="D205" s="7">
        <f>'Vendor Entry Sheet'!J207</f>
        <v>0</v>
      </c>
      <c r="E205">
        <f>'Vendor Entry Sheet'!D207</f>
        <v>0</v>
      </c>
      <c r="F205">
        <f>'Vendor Entry Sheet'!E207</f>
        <v>0</v>
      </c>
      <c r="H205" s="50">
        <f>'Vendor Entry Sheet'!F207</f>
        <v>0</v>
      </c>
      <c r="I205">
        <f>'Vendor Entry Sheet'!G207</f>
        <v>0</v>
      </c>
      <c r="K205" s="8">
        <v>1005</v>
      </c>
      <c r="L205">
        <f>'Vendor Entry Sheet'!H207</f>
        <v>0</v>
      </c>
      <c r="M205" s="8" t="s">
        <v>39</v>
      </c>
    </row>
    <row r="206" spans="1:13" x14ac:dyDescent="0.35">
      <c r="A206" s="6">
        <f>'Vendor Entry Sheet'!A208</f>
        <v>0</v>
      </c>
      <c r="B206" s="5">
        <f>'Vendor Entry Sheet'!C208</f>
        <v>0</v>
      </c>
      <c r="C206">
        <f>'Vendor Entry Sheet'!I208</f>
        <v>0</v>
      </c>
      <c r="D206" s="7">
        <f>'Vendor Entry Sheet'!J208</f>
        <v>0</v>
      </c>
      <c r="E206">
        <f>'Vendor Entry Sheet'!D208</f>
        <v>0</v>
      </c>
      <c r="F206">
        <f>'Vendor Entry Sheet'!E208</f>
        <v>0</v>
      </c>
      <c r="H206" s="50">
        <f>'Vendor Entry Sheet'!F208</f>
        <v>0</v>
      </c>
      <c r="I206">
        <f>'Vendor Entry Sheet'!G208</f>
        <v>0</v>
      </c>
      <c r="K206" s="8">
        <v>1005</v>
      </c>
      <c r="L206">
        <f>'Vendor Entry Sheet'!H208</f>
        <v>0</v>
      </c>
      <c r="M206" s="8" t="s">
        <v>39</v>
      </c>
    </row>
    <row r="207" spans="1:13" x14ac:dyDescent="0.35">
      <c r="A207" s="6">
        <f>'Vendor Entry Sheet'!A209</f>
        <v>0</v>
      </c>
      <c r="B207" s="5">
        <f>'Vendor Entry Sheet'!C209</f>
        <v>0</v>
      </c>
      <c r="C207">
        <f>'Vendor Entry Sheet'!I209</f>
        <v>0</v>
      </c>
      <c r="D207" s="7">
        <f>'Vendor Entry Sheet'!J209</f>
        <v>0</v>
      </c>
      <c r="E207">
        <f>'Vendor Entry Sheet'!D209</f>
        <v>0</v>
      </c>
      <c r="F207">
        <f>'Vendor Entry Sheet'!E209</f>
        <v>0</v>
      </c>
      <c r="H207" s="50">
        <f>'Vendor Entry Sheet'!F209</f>
        <v>0</v>
      </c>
      <c r="I207">
        <f>'Vendor Entry Sheet'!G209</f>
        <v>0</v>
      </c>
      <c r="K207" s="8">
        <v>1005</v>
      </c>
      <c r="L207">
        <f>'Vendor Entry Sheet'!H209</f>
        <v>0</v>
      </c>
      <c r="M207" s="8" t="s">
        <v>39</v>
      </c>
    </row>
    <row r="208" spans="1:13" x14ac:dyDescent="0.35">
      <c r="A208" s="6">
        <f>'Vendor Entry Sheet'!A210</f>
        <v>0</v>
      </c>
      <c r="B208" s="5">
        <f>'Vendor Entry Sheet'!C210</f>
        <v>0</v>
      </c>
      <c r="C208">
        <f>'Vendor Entry Sheet'!I210</f>
        <v>0</v>
      </c>
      <c r="D208" s="7">
        <f>'Vendor Entry Sheet'!J210</f>
        <v>0</v>
      </c>
      <c r="E208">
        <f>'Vendor Entry Sheet'!D210</f>
        <v>0</v>
      </c>
      <c r="F208">
        <f>'Vendor Entry Sheet'!E210</f>
        <v>0</v>
      </c>
      <c r="H208" s="50">
        <f>'Vendor Entry Sheet'!F210</f>
        <v>0</v>
      </c>
      <c r="I208">
        <f>'Vendor Entry Sheet'!G210</f>
        <v>0</v>
      </c>
      <c r="K208" s="8">
        <v>1005</v>
      </c>
      <c r="L208">
        <f>'Vendor Entry Sheet'!H210</f>
        <v>0</v>
      </c>
      <c r="M208" s="8" t="s">
        <v>39</v>
      </c>
    </row>
    <row r="209" spans="1:13" x14ac:dyDescent="0.35">
      <c r="A209" s="6">
        <f>'Vendor Entry Sheet'!A211</f>
        <v>0</v>
      </c>
      <c r="B209" s="5">
        <f>'Vendor Entry Sheet'!C211</f>
        <v>0</v>
      </c>
      <c r="C209">
        <f>'Vendor Entry Sheet'!I211</f>
        <v>0</v>
      </c>
      <c r="D209" s="7">
        <f>'Vendor Entry Sheet'!J211</f>
        <v>0</v>
      </c>
      <c r="E209">
        <f>'Vendor Entry Sheet'!D211</f>
        <v>0</v>
      </c>
      <c r="F209">
        <f>'Vendor Entry Sheet'!E211</f>
        <v>0</v>
      </c>
      <c r="H209" s="50">
        <f>'Vendor Entry Sheet'!F211</f>
        <v>0</v>
      </c>
      <c r="I209">
        <f>'Vendor Entry Sheet'!G211</f>
        <v>0</v>
      </c>
      <c r="K209" s="8">
        <v>1005</v>
      </c>
      <c r="L209">
        <f>'Vendor Entry Sheet'!H211</f>
        <v>0</v>
      </c>
      <c r="M209" s="8" t="s">
        <v>39</v>
      </c>
    </row>
    <row r="210" spans="1:13" x14ac:dyDescent="0.35">
      <c r="A210" s="6">
        <f>'Vendor Entry Sheet'!A212</f>
        <v>0</v>
      </c>
      <c r="B210" s="5">
        <f>'Vendor Entry Sheet'!C212</f>
        <v>0</v>
      </c>
      <c r="C210">
        <f>'Vendor Entry Sheet'!I212</f>
        <v>0</v>
      </c>
      <c r="D210" s="7">
        <f>'Vendor Entry Sheet'!J212</f>
        <v>0</v>
      </c>
      <c r="E210">
        <f>'Vendor Entry Sheet'!D212</f>
        <v>0</v>
      </c>
      <c r="F210">
        <f>'Vendor Entry Sheet'!E212</f>
        <v>0</v>
      </c>
      <c r="H210" s="50">
        <f>'Vendor Entry Sheet'!F212</f>
        <v>0</v>
      </c>
      <c r="I210">
        <f>'Vendor Entry Sheet'!G212</f>
        <v>0</v>
      </c>
      <c r="K210" s="8">
        <v>1005</v>
      </c>
      <c r="L210">
        <f>'Vendor Entry Sheet'!H212</f>
        <v>0</v>
      </c>
      <c r="M210" s="8" t="s">
        <v>39</v>
      </c>
    </row>
    <row r="211" spans="1:13" x14ac:dyDescent="0.35">
      <c r="A211" s="6">
        <f>'Vendor Entry Sheet'!A213</f>
        <v>0</v>
      </c>
      <c r="B211" s="5">
        <f>'Vendor Entry Sheet'!C213</f>
        <v>0</v>
      </c>
      <c r="C211">
        <f>'Vendor Entry Sheet'!I213</f>
        <v>0</v>
      </c>
      <c r="D211" s="7">
        <f>'Vendor Entry Sheet'!J213</f>
        <v>0</v>
      </c>
      <c r="E211">
        <f>'Vendor Entry Sheet'!D213</f>
        <v>0</v>
      </c>
      <c r="F211">
        <f>'Vendor Entry Sheet'!E213</f>
        <v>0</v>
      </c>
      <c r="H211" s="50">
        <f>'Vendor Entry Sheet'!F213</f>
        <v>0</v>
      </c>
      <c r="I211">
        <f>'Vendor Entry Sheet'!G213</f>
        <v>0</v>
      </c>
      <c r="K211" s="8">
        <v>1005</v>
      </c>
      <c r="L211">
        <f>'Vendor Entry Sheet'!H213</f>
        <v>0</v>
      </c>
      <c r="M211" s="8" t="s">
        <v>39</v>
      </c>
    </row>
    <row r="212" spans="1:13" x14ac:dyDescent="0.35">
      <c r="A212" s="6">
        <f>'Vendor Entry Sheet'!A214</f>
        <v>0</v>
      </c>
      <c r="B212" s="5">
        <f>'Vendor Entry Sheet'!C214</f>
        <v>0</v>
      </c>
      <c r="C212">
        <f>'Vendor Entry Sheet'!I214</f>
        <v>0</v>
      </c>
      <c r="D212" s="7">
        <f>'Vendor Entry Sheet'!J214</f>
        <v>0</v>
      </c>
      <c r="E212">
        <f>'Vendor Entry Sheet'!D214</f>
        <v>0</v>
      </c>
      <c r="F212">
        <f>'Vendor Entry Sheet'!E214</f>
        <v>0</v>
      </c>
      <c r="H212" s="50">
        <f>'Vendor Entry Sheet'!F214</f>
        <v>0</v>
      </c>
      <c r="I212">
        <f>'Vendor Entry Sheet'!G214</f>
        <v>0</v>
      </c>
      <c r="K212" s="8">
        <v>1005</v>
      </c>
      <c r="L212">
        <f>'Vendor Entry Sheet'!H214</f>
        <v>0</v>
      </c>
      <c r="M212" s="8" t="s">
        <v>39</v>
      </c>
    </row>
    <row r="213" spans="1:13" x14ac:dyDescent="0.35">
      <c r="A213" s="6">
        <f>'Vendor Entry Sheet'!A215</f>
        <v>0</v>
      </c>
      <c r="B213" s="5">
        <f>'Vendor Entry Sheet'!C215</f>
        <v>0</v>
      </c>
      <c r="C213">
        <f>'Vendor Entry Sheet'!I215</f>
        <v>0</v>
      </c>
      <c r="D213" s="7">
        <f>'Vendor Entry Sheet'!J215</f>
        <v>0</v>
      </c>
      <c r="E213">
        <f>'Vendor Entry Sheet'!D215</f>
        <v>0</v>
      </c>
      <c r="F213">
        <f>'Vendor Entry Sheet'!E215</f>
        <v>0</v>
      </c>
      <c r="H213" s="50">
        <f>'Vendor Entry Sheet'!F215</f>
        <v>0</v>
      </c>
      <c r="I213">
        <f>'Vendor Entry Sheet'!G215</f>
        <v>0</v>
      </c>
      <c r="K213" s="8">
        <v>1005</v>
      </c>
      <c r="L213">
        <f>'Vendor Entry Sheet'!H215</f>
        <v>0</v>
      </c>
      <c r="M213" s="8" t="s">
        <v>39</v>
      </c>
    </row>
    <row r="214" spans="1:13" x14ac:dyDescent="0.35">
      <c r="A214" s="6">
        <f>'Vendor Entry Sheet'!A216</f>
        <v>0</v>
      </c>
      <c r="B214" s="5">
        <f>'Vendor Entry Sheet'!C216</f>
        <v>0</v>
      </c>
      <c r="C214">
        <f>'Vendor Entry Sheet'!I216</f>
        <v>0</v>
      </c>
      <c r="D214" s="7">
        <f>'Vendor Entry Sheet'!J216</f>
        <v>0</v>
      </c>
      <c r="E214">
        <f>'Vendor Entry Sheet'!D216</f>
        <v>0</v>
      </c>
      <c r="F214">
        <f>'Vendor Entry Sheet'!E216</f>
        <v>0</v>
      </c>
      <c r="H214" s="50">
        <f>'Vendor Entry Sheet'!F216</f>
        <v>0</v>
      </c>
      <c r="I214">
        <f>'Vendor Entry Sheet'!G216</f>
        <v>0</v>
      </c>
      <c r="K214" s="8">
        <v>1005</v>
      </c>
      <c r="L214">
        <f>'Vendor Entry Sheet'!H216</f>
        <v>0</v>
      </c>
      <c r="M214" s="8" t="s">
        <v>39</v>
      </c>
    </row>
    <row r="215" spans="1:13" x14ac:dyDescent="0.35">
      <c r="A215" s="6">
        <f>'Vendor Entry Sheet'!A217</f>
        <v>0</v>
      </c>
      <c r="B215" s="5">
        <f>'Vendor Entry Sheet'!C217</f>
        <v>0</v>
      </c>
      <c r="C215">
        <f>'Vendor Entry Sheet'!I217</f>
        <v>0</v>
      </c>
      <c r="D215" s="7">
        <f>'Vendor Entry Sheet'!J217</f>
        <v>0</v>
      </c>
      <c r="E215">
        <f>'Vendor Entry Sheet'!D217</f>
        <v>0</v>
      </c>
      <c r="F215">
        <f>'Vendor Entry Sheet'!E217</f>
        <v>0</v>
      </c>
      <c r="H215" s="50">
        <f>'Vendor Entry Sheet'!F217</f>
        <v>0</v>
      </c>
      <c r="I215">
        <f>'Vendor Entry Sheet'!G217</f>
        <v>0</v>
      </c>
      <c r="K215" s="8">
        <v>1005</v>
      </c>
      <c r="L215">
        <f>'Vendor Entry Sheet'!H217</f>
        <v>0</v>
      </c>
      <c r="M215" s="8" t="s">
        <v>39</v>
      </c>
    </row>
    <row r="216" spans="1:13" x14ac:dyDescent="0.35">
      <c r="A216" s="6">
        <f>'Vendor Entry Sheet'!A218</f>
        <v>0</v>
      </c>
      <c r="B216" s="5">
        <f>'Vendor Entry Sheet'!C218</f>
        <v>0</v>
      </c>
      <c r="C216">
        <f>'Vendor Entry Sheet'!I218</f>
        <v>0</v>
      </c>
      <c r="D216" s="7">
        <f>'Vendor Entry Sheet'!J218</f>
        <v>0</v>
      </c>
      <c r="E216">
        <f>'Vendor Entry Sheet'!D218</f>
        <v>0</v>
      </c>
      <c r="F216">
        <f>'Vendor Entry Sheet'!E218</f>
        <v>0</v>
      </c>
      <c r="H216" s="50">
        <f>'Vendor Entry Sheet'!F218</f>
        <v>0</v>
      </c>
      <c r="I216">
        <f>'Vendor Entry Sheet'!G218</f>
        <v>0</v>
      </c>
      <c r="K216" s="8">
        <v>1005</v>
      </c>
      <c r="L216">
        <f>'Vendor Entry Sheet'!H218</f>
        <v>0</v>
      </c>
      <c r="M216" s="8" t="s">
        <v>39</v>
      </c>
    </row>
    <row r="217" spans="1:13" x14ac:dyDescent="0.35">
      <c r="A217" s="6">
        <f>'Vendor Entry Sheet'!A219</f>
        <v>0</v>
      </c>
      <c r="B217" s="5">
        <f>'Vendor Entry Sheet'!C219</f>
        <v>0</v>
      </c>
      <c r="C217">
        <f>'Vendor Entry Sheet'!I219</f>
        <v>0</v>
      </c>
      <c r="D217" s="7">
        <f>'Vendor Entry Sheet'!J219</f>
        <v>0</v>
      </c>
      <c r="E217">
        <f>'Vendor Entry Sheet'!D219</f>
        <v>0</v>
      </c>
      <c r="F217">
        <f>'Vendor Entry Sheet'!E219</f>
        <v>0</v>
      </c>
      <c r="H217" s="50">
        <f>'Vendor Entry Sheet'!F219</f>
        <v>0</v>
      </c>
      <c r="I217">
        <f>'Vendor Entry Sheet'!G219</f>
        <v>0</v>
      </c>
      <c r="K217" s="8">
        <v>1005</v>
      </c>
      <c r="L217">
        <f>'Vendor Entry Sheet'!H219</f>
        <v>0</v>
      </c>
      <c r="M217" s="8" t="s">
        <v>39</v>
      </c>
    </row>
    <row r="218" spans="1:13" x14ac:dyDescent="0.35">
      <c r="A218" s="6">
        <f>'Vendor Entry Sheet'!A220</f>
        <v>0</v>
      </c>
      <c r="B218" s="5">
        <f>'Vendor Entry Sheet'!C220</f>
        <v>0</v>
      </c>
      <c r="C218">
        <f>'Vendor Entry Sheet'!I220</f>
        <v>0</v>
      </c>
      <c r="D218" s="7">
        <f>'Vendor Entry Sheet'!J220</f>
        <v>0</v>
      </c>
      <c r="E218">
        <f>'Vendor Entry Sheet'!D220</f>
        <v>0</v>
      </c>
      <c r="F218">
        <f>'Vendor Entry Sheet'!E220</f>
        <v>0</v>
      </c>
      <c r="H218" s="50">
        <f>'Vendor Entry Sheet'!F220</f>
        <v>0</v>
      </c>
      <c r="I218">
        <f>'Vendor Entry Sheet'!G220</f>
        <v>0</v>
      </c>
      <c r="K218" s="8">
        <v>1005</v>
      </c>
      <c r="L218">
        <f>'Vendor Entry Sheet'!H220</f>
        <v>0</v>
      </c>
      <c r="M218" s="8" t="s">
        <v>39</v>
      </c>
    </row>
    <row r="219" spans="1:13" x14ac:dyDescent="0.35">
      <c r="A219" s="6">
        <f>'Vendor Entry Sheet'!A221</f>
        <v>0</v>
      </c>
      <c r="B219" s="5">
        <f>'Vendor Entry Sheet'!C221</f>
        <v>0</v>
      </c>
      <c r="C219">
        <f>'Vendor Entry Sheet'!I221</f>
        <v>0</v>
      </c>
      <c r="D219" s="7">
        <f>'Vendor Entry Sheet'!J221</f>
        <v>0</v>
      </c>
      <c r="E219">
        <f>'Vendor Entry Sheet'!D221</f>
        <v>0</v>
      </c>
      <c r="F219">
        <f>'Vendor Entry Sheet'!E221</f>
        <v>0</v>
      </c>
      <c r="H219" s="50">
        <f>'Vendor Entry Sheet'!F221</f>
        <v>0</v>
      </c>
      <c r="I219">
        <f>'Vendor Entry Sheet'!G221</f>
        <v>0</v>
      </c>
      <c r="K219" s="8">
        <v>1005</v>
      </c>
      <c r="L219">
        <f>'Vendor Entry Sheet'!H221</f>
        <v>0</v>
      </c>
      <c r="M219" s="8" t="s">
        <v>39</v>
      </c>
    </row>
    <row r="220" spans="1:13" x14ac:dyDescent="0.35">
      <c r="A220" s="6">
        <f>'Vendor Entry Sheet'!A222</f>
        <v>0</v>
      </c>
      <c r="B220" s="5">
        <f>'Vendor Entry Sheet'!C222</f>
        <v>0</v>
      </c>
      <c r="C220">
        <f>'Vendor Entry Sheet'!I222</f>
        <v>0</v>
      </c>
      <c r="D220" s="7">
        <f>'Vendor Entry Sheet'!J222</f>
        <v>0</v>
      </c>
      <c r="E220">
        <f>'Vendor Entry Sheet'!D222</f>
        <v>0</v>
      </c>
      <c r="F220">
        <f>'Vendor Entry Sheet'!E222</f>
        <v>0</v>
      </c>
      <c r="H220" s="50">
        <f>'Vendor Entry Sheet'!F222</f>
        <v>0</v>
      </c>
      <c r="I220">
        <f>'Vendor Entry Sheet'!G222</f>
        <v>0</v>
      </c>
      <c r="K220" s="8">
        <v>1005</v>
      </c>
      <c r="L220">
        <f>'Vendor Entry Sheet'!H222</f>
        <v>0</v>
      </c>
      <c r="M220" s="8" t="s">
        <v>39</v>
      </c>
    </row>
    <row r="221" spans="1:13" x14ac:dyDescent="0.35">
      <c r="A221" s="6">
        <f>'Vendor Entry Sheet'!A223</f>
        <v>0</v>
      </c>
      <c r="B221" s="5">
        <f>'Vendor Entry Sheet'!C223</f>
        <v>0</v>
      </c>
      <c r="C221">
        <f>'Vendor Entry Sheet'!I223</f>
        <v>0</v>
      </c>
      <c r="D221" s="7">
        <f>'Vendor Entry Sheet'!J223</f>
        <v>0</v>
      </c>
      <c r="E221">
        <f>'Vendor Entry Sheet'!D223</f>
        <v>0</v>
      </c>
      <c r="F221">
        <f>'Vendor Entry Sheet'!E223</f>
        <v>0</v>
      </c>
      <c r="H221" s="50">
        <f>'Vendor Entry Sheet'!F223</f>
        <v>0</v>
      </c>
      <c r="I221">
        <f>'Vendor Entry Sheet'!G223</f>
        <v>0</v>
      </c>
      <c r="K221" s="8">
        <v>1005</v>
      </c>
      <c r="L221">
        <f>'Vendor Entry Sheet'!H223</f>
        <v>0</v>
      </c>
      <c r="M221" s="8" t="s">
        <v>39</v>
      </c>
    </row>
    <row r="222" spans="1:13" x14ac:dyDescent="0.35">
      <c r="A222" s="6">
        <f>'Vendor Entry Sheet'!A224</f>
        <v>0</v>
      </c>
      <c r="B222" s="5">
        <f>'Vendor Entry Sheet'!C224</f>
        <v>0</v>
      </c>
      <c r="C222">
        <f>'Vendor Entry Sheet'!I224</f>
        <v>0</v>
      </c>
      <c r="D222" s="7">
        <f>'Vendor Entry Sheet'!J224</f>
        <v>0</v>
      </c>
      <c r="E222">
        <f>'Vendor Entry Sheet'!D224</f>
        <v>0</v>
      </c>
      <c r="F222">
        <f>'Vendor Entry Sheet'!E224</f>
        <v>0</v>
      </c>
      <c r="H222" s="50">
        <f>'Vendor Entry Sheet'!F224</f>
        <v>0</v>
      </c>
      <c r="I222">
        <f>'Vendor Entry Sheet'!G224</f>
        <v>0</v>
      </c>
      <c r="K222" s="8">
        <v>1005</v>
      </c>
      <c r="L222">
        <f>'Vendor Entry Sheet'!H224</f>
        <v>0</v>
      </c>
      <c r="M222" s="8" t="s">
        <v>39</v>
      </c>
    </row>
    <row r="223" spans="1:13" x14ac:dyDescent="0.35">
      <c r="A223" s="6">
        <f>'Vendor Entry Sheet'!A225</f>
        <v>0</v>
      </c>
      <c r="B223" s="5">
        <f>'Vendor Entry Sheet'!C225</f>
        <v>0</v>
      </c>
      <c r="C223">
        <f>'Vendor Entry Sheet'!I225</f>
        <v>0</v>
      </c>
      <c r="D223" s="7">
        <f>'Vendor Entry Sheet'!J225</f>
        <v>0</v>
      </c>
      <c r="E223">
        <f>'Vendor Entry Sheet'!D225</f>
        <v>0</v>
      </c>
      <c r="F223">
        <f>'Vendor Entry Sheet'!E225</f>
        <v>0</v>
      </c>
      <c r="H223" s="50">
        <f>'Vendor Entry Sheet'!F225</f>
        <v>0</v>
      </c>
      <c r="I223">
        <f>'Vendor Entry Sheet'!G225</f>
        <v>0</v>
      </c>
      <c r="K223" s="8">
        <v>1005</v>
      </c>
      <c r="L223">
        <f>'Vendor Entry Sheet'!H225</f>
        <v>0</v>
      </c>
      <c r="M223" s="8" t="s">
        <v>39</v>
      </c>
    </row>
    <row r="224" spans="1:13" x14ac:dyDescent="0.35">
      <c r="A224" s="6">
        <f>'Vendor Entry Sheet'!A226</f>
        <v>0</v>
      </c>
      <c r="B224" s="5">
        <f>'Vendor Entry Sheet'!C226</f>
        <v>0</v>
      </c>
      <c r="C224">
        <f>'Vendor Entry Sheet'!I226</f>
        <v>0</v>
      </c>
      <c r="D224" s="7">
        <f>'Vendor Entry Sheet'!J226</f>
        <v>0</v>
      </c>
      <c r="E224">
        <f>'Vendor Entry Sheet'!D226</f>
        <v>0</v>
      </c>
      <c r="F224">
        <f>'Vendor Entry Sheet'!E226</f>
        <v>0</v>
      </c>
      <c r="H224" s="50">
        <f>'Vendor Entry Sheet'!F226</f>
        <v>0</v>
      </c>
      <c r="I224">
        <f>'Vendor Entry Sheet'!G226</f>
        <v>0</v>
      </c>
      <c r="K224" s="8">
        <v>1005</v>
      </c>
      <c r="L224">
        <f>'Vendor Entry Sheet'!H226</f>
        <v>0</v>
      </c>
      <c r="M224" s="8" t="s">
        <v>39</v>
      </c>
    </row>
    <row r="225" spans="1:13" x14ac:dyDescent="0.35">
      <c r="A225" s="6">
        <f>'Vendor Entry Sheet'!A227</f>
        <v>0</v>
      </c>
      <c r="B225" s="5">
        <f>'Vendor Entry Sheet'!C227</f>
        <v>0</v>
      </c>
      <c r="C225">
        <f>'Vendor Entry Sheet'!I227</f>
        <v>0</v>
      </c>
      <c r="D225" s="7">
        <f>'Vendor Entry Sheet'!J227</f>
        <v>0</v>
      </c>
      <c r="E225">
        <f>'Vendor Entry Sheet'!D227</f>
        <v>0</v>
      </c>
      <c r="F225">
        <f>'Vendor Entry Sheet'!E227</f>
        <v>0</v>
      </c>
      <c r="H225" s="50">
        <f>'Vendor Entry Sheet'!F227</f>
        <v>0</v>
      </c>
      <c r="I225">
        <f>'Vendor Entry Sheet'!G227</f>
        <v>0</v>
      </c>
      <c r="K225" s="8">
        <v>1005</v>
      </c>
      <c r="L225">
        <f>'Vendor Entry Sheet'!H227</f>
        <v>0</v>
      </c>
      <c r="M225" s="8" t="s">
        <v>39</v>
      </c>
    </row>
    <row r="226" spans="1:13" x14ac:dyDescent="0.35">
      <c r="A226" s="6">
        <f>'Vendor Entry Sheet'!A228</f>
        <v>0</v>
      </c>
      <c r="B226" s="5">
        <f>'Vendor Entry Sheet'!C228</f>
        <v>0</v>
      </c>
      <c r="C226">
        <f>'Vendor Entry Sheet'!I228</f>
        <v>0</v>
      </c>
      <c r="D226" s="7">
        <f>'Vendor Entry Sheet'!J228</f>
        <v>0</v>
      </c>
      <c r="E226">
        <f>'Vendor Entry Sheet'!D228</f>
        <v>0</v>
      </c>
      <c r="F226">
        <f>'Vendor Entry Sheet'!E228</f>
        <v>0</v>
      </c>
      <c r="H226" s="50">
        <f>'Vendor Entry Sheet'!F228</f>
        <v>0</v>
      </c>
      <c r="I226">
        <f>'Vendor Entry Sheet'!G228</f>
        <v>0</v>
      </c>
      <c r="K226" s="8">
        <v>1005</v>
      </c>
      <c r="L226">
        <f>'Vendor Entry Sheet'!H228</f>
        <v>0</v>
      </c>
      <c r="M226" s="8" t="s">
        <v>39</v>
      </c>
    </row>
    <row r="227" spans="1:13" x14ac:dyDescent="0.35">
      <c r="A227" s="6">
        <f>'Vendor Entry Sheet'!A229</f>
        <v>0</v>
      </c>
      <c r="B227" s="5">
        <f>'Vendor Entry Sheet'!C229</f>
        <v>0</v>
      </c>
      <c r="C227">
        <f>'Vendor Entry Sheet'!I229</f>
        <v>0</v>
      </c>
      <c r="D227" s="7">
        <f>'Vendor Entry Sheet'!J229</f>
        <v>0</v>
      </c>
      <c r="E227">
        <f>'Vendor Entry Sheet'!D229</f>
        <v>0</v>
      </c>
      <c r="F227">
        <f>'Vendor Entry Sheet'!E229</f>
        <v>0</v>
      </c>
      <c r="H227" s="50">
        <f>'Vendor Entry Sheet'!F229</f>
        <v>0</v>
      </c>
      <c r="I227">
        <f>'Vendor Entry Sheet'!G229</f>
        <v>0</v>
      </c>
      <c r="K227" s="8">
        <v>1005</v>
      </c>
      <c r="L227">
        <f>'Vendor Entry Sheet'!H229</f>
        <v>0</v>
      </c>
      <c r="M227" s="8" t="s">
        <v>39</v>
      </c>
    </row>
    <row r="228" spans="1:13" x14ac:dyDescent="0.35">
      <c r="A228" s="6">
        <f>'Vendor Entry Sheet'!A230</f>
        <v>0</v>
      </c>
      <c r="B228" s="5">
        <f>'Vendor Entry Sheet'!C230</f>
        <v>0</v>
      </c>
      <c r="C228">
        <f>'Vendor Entry Sheet'!I230</f>
        <v>0</v>
      </c>
      <c r="D228" s="7">
        <f>'Vendor Entry Sheet'!J230</f>
        <v>0</v>
      </c>
      <c r="E228">
        <f>'Vendor Entry Sheet'!D230</f>
        <v>0</v>
      </c>
      <c r="F228">
        <f>'Vendor Entry Sheet'!E230</f>
        <v>0</v>
      </c>
      <c r="H228" s="50">
        <f>'Vendor Entry Sheet'!F230</f>
        <v>0</v>
      </c>
      <c r="I228">
        <f>'Vendor Entry Sheet'!G230</f>
        <v>0</v>
      </c>
      <c r="K228" s="8">
        <v>1005</v>
      </c>
      <c r="L228">
        <f>'Vendor Entry Sheet'!H230</f>
        <v>0</v>
      </c>
      <c r="M228" s="8" t="s">
        <v>39</v>
      </c>
    </row>
    <row r="229" spans="1:13" x14ac:dyDescent="0.35">
      <c r="A229" s="6">
        <f>'Vendor Entry Sheet'!A231</f>
        <v>0</v>
      </c>
      <c r="B229" s="5">
        <f>'Vendor Entry Sheet'!C231</f>
        <v>0</v>
      </c>
      <c r="C229">
        <f>'Vendor Entry Sheet'!I231</f>
        <v>0</v>
      </c>
      <c r="D229" s="7">
        <f>'Vendor Entry Sheet'!J231</f>
        <v>0</v>
      </c>
      <c r="E229">
        <f>'Vendor Entry Sheet'!D231</f>
        <v>0</v>
      </c>
      <c r="F229">
        <f>'Vendor Entry Sheet'!E231</f>
        <v>0</v>
      </c>
      <c r="H229" s="50">
        <f>'Vendor Entry Sheet'!F231</f>
        <v>0</v>
      </c>
      <c r="I229">
        <f>'Vendor Entry Sheet'!G231</f>
        <v>0</v>
      </c>
      <c r="K229" s="8">
        <v>1005</v>
      </c>
      <c r="L229">
        <f>'Vendor Entry Sheet'!H231</f>
        <v>0</v>
      </c>
      <c r="M229" s="8" t="s">
        <v>39</v>
      </c>
    </row>
    <row r="230" spans="1:13" x14ac:dyDescent="0.35">
      <c r="A230" s="6">
        <f>'Vendor Entry Sheet'!A232</f>
        <v>0</v>
      </c>
      <c r="B230" s="5">
        <f>'Vendor Entry Sheet'!C232</f>
        <v>0</v>
      </c>
      <c r="C230">
        <f>'Vendor Entry Sheet'!I232</f>
        <v>0</v>
      </c>
      <c r="D230" s="7">
        <f>'Vendor Entry Sheet'!J232</f>
        <v>0</v>
      </c>
      <c r="E230">
        <f>'Vendor Entry Sheet'!D232</f>
        <v>0</v>
      </c>
      <c r="F230">
        <f>'Vendor Entry Sheet'!E232</f>
        <v>0</v>
      </c>
      <c r="H230" s="50">
        <f>'Vendor Entry Sheet'!F232</f>
        <v>0</v>
      </c>
      <c r="I230">
        <f>'Vendor Entry Sheet'!G232</f>
        <v>0</v>
      </c>
      <c r="K230" s="8">
        <v>1005</v>
      </c>
      <c r="L230">
        <f>'Vendor Entry Sheet'!H232</f>
        <v>0</v>
      </c>
      <c r="M230" s="8" t="s">
        <v>39</v>
      </c>
    </row>
    <row r="231" spans="1:13" x14ac:dyDescent="0.35">
      <c r="A231" s="6">
        <f>'Vendor Entry Sheet'!A233</f>
        <v>0</v>
      </c>
      <c r="B231" s="5">
        <f>'Vendor Entry Sheet'!C233</f>
        <v>0</v>
      </c>
      <c r="C231">
        <f>'Vendor Entry Sheet'!I233</f>
        <v>0</v>
      </c>
      <c r="D231" s="7">
        <f>'Vendor Entry Sheet'!J233</f>
        <v>0</v>
      </c>
      <c r="E231">
        <f>'Vendor Entry Sheet'!D233</f>
        <v>0</v>
      </c>
      <c r="F231">
        <f>'Vendor Entry Sheet'!E233</f>
        <v>0</v>
      </c>
      <c r="H231" s="50">
        <f>'Vendor Entry Sheet'!F233</f>
        <v>0</v>
      </c>
      <c r="I231">
        <f>'Vendor Entry Sheet'!G233</f>
        <v>0</v>
      </c>
      <c r="K231" s="8">
        <v>1005</v>
      </c>
      <c r="L231">
        <f>'Vendor Entry Sheet'!H233</f>
        <v>0</v>
      </c>
      <c r="M231" s="8" t="s">
        <v>39</v>
      </c>
    </row>
    <row r="232" spans="1:13" x14ac:dyDescent="0.35">
      <c r="A232" s="6">
        <f>'Vendor Entry Sheet'!A234</f>
        <v>0</v>
      </c>
      <c r="B232" s="5">
        <f>'Vendor Entry Sheet'!C234</f>
        <v>0</v>
      </c>
      <c r="C232">
        <f>'Vendor Entry Sheet'!I234</f>
        <v>0</v>
      </c>
      <c r="D232" s="7">
        <f>'Vendor Entry Sheet'!J234</f>
        <v>0</v>
      </c>
      <c r="E232">
        <f>'Vendor Entry Sheet'!D234</f>
        <v>0</v>
      </c>
      <c r="F232">
        <f>'Vendor Entry Sheet'!E234</f>
        <v>0</v>
      </c>
      <c r="H232" s="50">
        <f>'Vendor Entry Sheet'!F234</f>
        <v>0</v>
      </c>
      <c r="I232">
        <f>'Vendor Entry Sheet'!G234</f>
        <v>0</v>
      </c>
      <c r="K232" s="8">
        <v>1005</v>
      </c>
      <c r="L232">
        <f>'Vendor Entry Sheet'!H234</f>
        <v>0</v>
      </c>
      <c r="M232" s="8" t="s">
        <v>39</v>
      </c>
    </row>
    <row r="233" spans="1:13" x14ac:dyDescent="0.35">
      <c r="A233" s="6">
        <f>'Vendor Entry Sheet'!A235</f>
        <v>0</v>
      </c>
      <c r="B233" s="5">
        <f>'Vendor Entry Sheet'!C235</f>
        <v>0</v>
      </c>
      <c r="C233">
        <f>'Vendor Entry Sheet'!I235</f>
        <v>0</v>
      </c>
      <c r="D233" s="7">
        <f>'Vendor Entry Sheet'!J235</f>
        <v>0</v>
      </c>
      <c r="E233">
        <f>'Vendor Entry Sheet'!D235</f>
        <v>0</v>
      </c>
      <c r="F233">
        <f>'Vendor Entry Sheet'!E235</f>
        <v>0</v>
      </c>
      <c r="H233" s="50">
        <f>'Vendor Entry Sheet'!F235</f>
        <v>0</v>
      </c>
      <c r="I233">
        <f>'Vendor Entry Sheet'!G235</f>
        <v>0</v>
      </c>
      <c r="K233" s="8">
        <v>1005</v>
      </c>
      <c r="L233">
        <f>'Vendor Entry Sheet'!H235</f>
        <v>0</v>
      </c>
      <c r="M233" s="8" t="s">
        <v>39</v>
      </c>
    </row>
    <row r="234" spans="1:13" x14ac:dyDescent="0.35">
      <c r="A234" s="6">
        <f>'Vendor Entry Sheet'!A236</f>
        <v>0</v>
      </c>
      <c r="B234" s="5">
        <f>'Vendor Entry Sheet'!C236</f>
        <v>0</v>
      </c>
      <c r="C234">
        <f>'Vendor Entry Sheet'!I236</f>
        <v>0</v>
      </c>
      <c r="D234" s="7">
        <f>'Vendor Entry Sheet'!J236</f>
        <v>0</v>
      </c>
      <c r="E234">
        <f>'Vendor Entry Sheet'!D236</f>
        <v>0</v>
      </c>
      <c r="F234">
        <f>'Vendor Entry Sheet'!E236</f>
        <v>0</v>
      </c>
      <c r="H234" s="50">
        <f>'Vendor Entry Sheet'!F236</f>
        <v>0</v>
      </c>
      <c r="I234">
        <f>'Vendor Entry Sheet'!G236</f>
        <v>0</v>
      </c>
      <c r="K234" s="8">
        <v>1005</v>
      </c>
      <c r="L234">
        <f>'Vendor Entry Sheet'!H236</f>
        <v>0</v>
      </c>
      <c r="M234" s="8" t="s">
        <v>39</v>
      </c>
    </row>
    <row r="235" spans="1:13" x14ac:dyDescent="0.35">
      <c r="A235" s="6">
        <f>'Vendor Entry Sheet'!A237</f>
        <v>0</v>
      </c>
      <c r="B235" s="5">
        <f>'Vendor Entry Sheet'!C237</f>
        <v>0</v>
      </c>
      <c r="C235">
        <f>'Vendor Entry Sheet'!I237</f>
        <v>0</v>
      </c>
      <c r="D235" s="7">
        <f>'Vendor Entry Sheet'!J237</f>
        <v>0</v>
      </c>
      <c r="E235">
        <f>'Vendor Entry Sheet'!D237</f>
        <v>0</v>
      </c>
      <c r="F235">
        <f>'Vendor Entry Sheet'!E237</f>
        <v>0</v>
      </c>
      <c r="H235" s="50">
        <f>'Vendor Entry Sheet'!F237</f>
        <v>0</v>
      </c>
      <c r="I235">
        <f>'Vendor Entry Sheet'!G237</f>
        <v>0</v>
      </c>
      <c r="K235" s="8">
        <v>1005</v>
      </c>
      <c r="L235">
        <f>'Vendor Entry Sheet'!H237</f>
        <v>0</v>
      </c>
      <c r="M235" s="8" t="s">
        <v>39</v>
      </c>
    </row>
    <row r="236" spans="1:13" x14ac:dyDescent="0.35">
      <c r="A236" s="6">
        <f>'Vendor Entry Sheet'!A238</f>
        <v>0</v>
      </c>
      <c r="B236" s="5">
        <f>'Vendor Entry Sheet'!C238</f>
        <v>0</v>
      </c>
      <c r="C236">
        <f>'Vendor Entry Sheet'!I238</f>
        <v>0</v>
      </c>
      <c r="D236" s="7">
        <f>'Vendor Entry Sheet'!J238</f>
        <v>0</v>
      </c>
      <c r="E236">
        <f>'Vendor Entry Sheet'!D238</f>
        <v>0</v>
      </c>
      <c r="F236">
        <f>'Vendor Entry Sheet'!E238</f>
        <v>0</v>
      </c>
      <c r="H236" s="50">
        <f>'Vendor Entry Sheet'!F238</f>
        <v>0</v>
      </c>
      <c r="I236">
        <f>'Vendor Entry Sheet'!G238</f>
        <v>0</v>
      </c>
      <c r="K236" s="8">
        <v>1005</v>
      </c>
      <c r="L236">
        <f>'Vendor Entry Sheet'!H238</f>
        <v>0</v>
      </c>
      <c r="M236" s="8" t="s">
        <v>39</v>
      </c>
    </row>
    <row r="237" spans="1:13" x14ac:dyDescent="0.35">
      <c r="A237" s="6">
        <f>'Vendor Entry Sheet'!A239</f>
        <v>0</v>
      </c>
      <c r="B237" s="5">
        <f>'Vendor Entry Sheet'!C239</f>
        <v>0</v>
      </c>
      <c r="C237">
        <f>'Vendor Entry Sheet'!I239</f>
        <v>0</v>
      </c>
      <c r="D237" s="7">
        <f>'Vendor Entry Sheet'!J239</f>
        <v>0</v>
      </c>
      <c r="E237">
        <f>'Vendor Entry Sheet'!D239</f>
        <v>0</v>
      </c>
      <c r="F237">
        <f>'Vendor Entry Sheet'!E239</f>
        <v>0</v>
      </c>
      <c r="H237" s="50">
        <f>'Vendor Entry Sheet'!F239</f>
        <v>0</v>
      </c>
      <c r="I237">
        <f>'Vendor Entry Sheet'!G239</f>
        <v>0</v>
      </c>
      <c r="K237" s="8">
        <v>1005</v>
      </c>
      <c r="L237">
        <f>'Vendor Entry Sheet'!H239</f>
        <v>0</v>
      </c>
      <c r="M237" s="8" t="s">
        <v>39</v>
      </c>
    </row>
    <row r="238" spans="1:13" x14ac:dyDescent="0.35">
      <c r="A238" s="6">
        <f>'Vendor Entry Sheet'!A240</f>
        <v>0</v>
      </c>
      <c r="B238" s="5">
        <f>'Vendor Entry Sheet'!C240</f>
        <v>0</v>
      </c>
      <c r="C238">
        <f>'Vendor Entry Sheet'!I240</f>
        <v>0</v>
      </c>
      <c r="D238" s="7">
        <f>'Vendor Entry Sheet'!J240</f>
        <v>0</v>
      </c>
      <c r="E238">
        <f>'Vendor Entry Sheet'!D240</f>
        <v>0</v>
      </c>
      <c r="F238">
        <f>'Vendor Entry Sheet'!E240</f>
        <v>0</v>
      </c>
      <c r="H238" s="50">
        <f>'Vendor Entry Sheet'!F240</f>
        <v>0</v>
      </c>
      <c r="I238">
        <f>'Vendor Entry Sheet'!G240</f>
        <v>0</v>
      </c>
      <c r="K238" s="8">
        <v>1005</v>
      </c>
      <c r="L238">
        <f>'Vendor Entry Sheet'!H240</f>
        <v>0</v>
      </c>
      <c r="M238" s="8" t="s">
        <v>39</v>
      </c>
    </row>
    <row r="239" spans="1:13" x14ac:dyDescent="0.35">
      <c r="A239" s="6">
        <f>'Vendor Entry Sheet'!A241</f>
        <v>0</v>
      </c>
      <c r="B239" s="5">
        <f>'Vendor Entry Sheet'!C241</f>
        <v>0</v>
      </c>
      <c r="C239">
        <f>'Vendor Entry Sheet'!I241</f>
        <v>0</v>
      </c>
      <c r="D239" s="7">
        <f>'Vendor Entry Sheet'!J241</f>
        <v>0</v>
      </c>
      <c r="E239">
        <f>'Vendor Entry Sheet'!D241</f>
        <v>0</v>
      </c>
      <c r="F239">
        <f>'Vendor Entry Sheet'!E241</f>
        <v>0</v>
      </c>
      <c r="H239" s="50">
        <f>'Vendor Entry Sheet'!F241</f>
        <v>0</v>
      </c>
      <c r="I239">
        <f>'Vendor Entry Sheet'!G241</f>
        <v>0</v>
      </c>
      <c r="K239" s="8">
        <v>1005</v>
      </c>
      <c r="L239">
        <f>'Vendor Entry Sheet'!H241</f>
        <v>0</v>
      </c>
      <c r="M239" s="8" t="s">
        <v>39</v>
      </c>
    </row>
    <row r="240" spans="1:13" x14ac:dyDescent="0.35">
      <c r="A240" s="6">
        <f>'Vendor Entry Sheet'!A242</f>
        <v>0</v>
      </c>
      <c r="B240" s="5">
        <f>'Vendor Entry Sheet'!C242</f>
        <v>0</v>
      </c>
      <c r="C240">
        <f>'Vendor Entry Sheet'!I242</f>
        <v>0</v>
      </c>
      <c r="D240" s="7">
        <f>'Vendor Entry Sheet'!J242</f>
        <v>0</v>
      </c>
      <c r="E240">
        <f>'Vendor Entry Sheet'!D242</f>
        <v>0</v>
      </c>
      <c r="F240">
        <f>'Vendor Entry Sheet'!E242</f>
        <v>0</v>
      </c>
      <c r="H240" s="50">
        <f>'Vendor Entry Sheet'!F242</f>
        <v>0</v>
      </c>
      <c r="I240">
        <f>'Vendor Entry Sheet'!G242</f>
        <v>0</v>
      </c>
      <c r="K240" s="8">
        <v>1005</v>
      </c>
      <c r="L240">
        <f>'Vendor Entry Sheet'!H242</f>
        <v>0</v>
      </c>
      <c r="M240" s="8" t="s">
        <v>39</v>
      </c>
    </row>
    <row r="241" spans="1:13" x14ac:dyDescent="0.35">
      <c r="A241" s="6">
        <f>'Vendor Entry Sheet'!A243</f>
        <v>0</v>
      </c>
      <c r="B241" s="5">
        <f>'Vendor Entry Sheet'!C243</f>
        <v>0</v>
      </c>
      <c r="C241">
        <f>'Vendor Entry Sheet'!I243</f>
        <v>0</v>
      </c>
      <c r="D241" s="7">
        <f>'Vendor Entry Sheet'!J243</f>
        <v>0</v>
      </c>
      <c r="E241">
        <f>'Vendor Entry Sheet'!D243</f>
        <v>0</v>
      </c>
      <c r="F241">
        <f>'Vendor Entry Sheet'!E243</f>
        <v>0</v>
      </c>
      <c r="H241" s="50">
        <f>'Vendor Entry Sheet'!F243</f>
        <v>0</v>
      </c>
      <c r="I241">
        <f>'Vendor Entry Sheet'!G243</f>
        <v>0</v>
      </c>
      <c r="K241" s="8">
        <v>1005</v>
      </c>
      <c r="L241">
        <f>'Vendor Entry Sheet'!H243</f>
        <v>0</v>
      </c>
      <c r="M241" s="8" t="s">
        <v>39</v>
      </c>
    </row>
    <row r="242" spans="1:13" x14ac:dyDescent="0.35">
      <c r="A242" s="6">
        <f>'Vendor Entry Sheet'!A244</f>
        <v>0</v>
      </c>
      <c r="B242" s="5">
        <f>'Vendor Entry Sheet'!C244</f>
        <v>0</v>
      </c>
      <c r="C242">
        <f>'Vendor Entry Sheet'!I244</f>
        <v>0</v>
      </c>
      <c r="D242" s="7">
        <f>'Vendor Entry Sheet'!J244</f>
        <v>0</v>
      </c>
      <c r="E242">
        <f>'Vendor Entry Sheet'!D244</f>
        <v>0</v>
      </c>
      <c r="F242">
        <f>'Vendor Entry Sheet'!E244</f>
        <v>0</v>
      </c>
      <c r="H242" s="50">
        <f>'Vendor Entry Sheet'!F244</f>
        <v>0</v>
      </c>
      <c r="I242">
        <f>'Vendor Entry Sheet'!G244</f>
        <v>0</v>
      </c>
      <c r="K242" s="8">
        <v>1005</v>
      </c>
      <c r="L242">
        <f>'Vendor Entry Sheet'!H244</f>
        <v>0</v>
      </c>
      <c r="M242" s="8" t="s">
        <v>39</v>
      </c>
    </row>
    <row r="243" spans="1:13" x14ac:dyDescent="0.35">
      <c r="A243" s="6">
        <f>'Vendor Entry Sheet'!A245</f>
        <v>0</v>
      </c>
      <c r="B243" s="5">
        <f>'Vendor Entry Sheet'!C245</f>
        <v>0</v>
      </c>
      <c r="C243">
        <f>'Vendor Entry Sheet'!I245</f>
        <v>0</v>
      </c>
      <c r="D243" s="7">
        <f>'Vendor Entry Sheet'!J245</f>
        <v>0</v>
      </c>
      <c r="E243">
        <f>'Vendor Entry Sheet'!D245</f>
        <v>0</v>
      </c>
      <c r="F243">
        <f>'Vendor Entry Sheet'!E245</f>
        <v>0</v>
      </c>
      <c r="H243" s="50">
        <f>'Vendor Entry Sheet'!F245</f>
        <v>0</v>
      </c>
      <c r="I243">
        <f>'Vendor Entry Sheet'!G245</f>
        <v>0</v>
      </c>
      <c r="K243" s="8">
        <v>1005</v>
      </c>
      <c r="L243">
        <f>'Vendor Entry Sheet'!H245</f>
        <v>0</v>
      </c>
      <c r="M243" s="8" t="s">
        <v>39</v>
      </c>
    </row>
    <row r="244" spans="1:13" x14ac:dyDescent="0.35">
      <c r="A244" s="6">
        <f>'Vendor Entry Sheet'!A246</f>
        <v>0</v>
      </c>
      <c r="B244" s="5">
        <f>'Vendor Entry Sheet'!C246</f>
        <v>0</v>
      </c>
      <c r="C244">
        <f>'Vendor Entry Sheet'!I246</f>
        <v>0</v>
      </c>
      <c r="D244" s="7">
        <f>'Vendor Entry Sheet'!J246</f>
        <v>0</v>
      </c>
      <c r="E244">
        <f>'Vendor Entry Sheet'!D246</f>
        <v>0</v>
      </c>
      <c r="F244">
        <f>'Vendor Entry Sheet'!E246</f>
        <v>0</v>
      </c>
      <c r="H244" s="50">
        <f>'Vendor Entry Sheet'!F246</f>
        <v>0</v>
      </c>
      <c r="I244">
        <f>'Vendor Entry Sheet'!G246</f>
        <v>0</v>
      </c>
      <c r="K244" s="8">
        <v>1005</v>
      </c>
      <c r="L244">
        <f>'Vendor Entry Sheet'!H246</f>
        <v>0</v>
      </c>
      <c r="M244" s="8" t="s">
        <v>39</v>
      </c>
    </row>
    <row r="245" spans="1:13" x14ac:dyDescent="0.35">
      <c r="A245" s="6">
        <f>'Vendor Entry Sheet'!A247</f>
        <v>0</v>
      </c>
      <c r="B245" s="5">
        <f>'Vendor Entry Sheet'!C247</f>
        <v>0</v>
      </c>
      <c r="C245">
        <f>'Vendor Entry Sheet'!I247</f>
        <v>0</v>
      </c>
      <c r="D245" s="7">
        <f>'Vendor Entry Sheet'!J247</f>
        <v>0</v>
      </c>
      <c r="E245">
        <f>'Vendor Entry Sheet'!D247</f>
        <v>0</v>
      </c>
      <c r="F245">
        <f>'Vendor Entry Sheet'!E247</f>
        <v>0</v>
      </c>
      <c r="H245" s="50">
        <f>'Vendor Entry Sheet'!F247</f>
        <v>0</v>
      </c>
      <c r="I245">
        <f>'Vendor Entry Sheet'!G247</f>
        <v>0</v>
      </c>
      <c r="K245" s="8">
        <v>1005</v>
      </c>
      <c r="L245">
        <f>'Vendor Entry Sheet'!H247</f>
        <v>0</v>
      </c>
      <c r="M245" s="8" t="s">
        <v>39</v>
      </c>
    </row>
    <row r="246" spans="1:13" x14ac:dyDescent="0.35">
      <c r="A246" s="6">
        <f>'Vendor Entry Sheet'!A248</f>
        <v>0</v>
      </c>
      <c r="B246" s="5">
        <f>'Vendor Entry Sheet'!C248</f>
        <v>0</v>
      </c>
      <c r="C246">
        <f>'Vendor Entry Sheet'!I248</f>
        <v>0</v>
      </c>
      <c r="D246" s="7">
        <f>'Vendor Entry Sheet'!J248</f>
        <v>0</v>
      </c>
      <c r="E246">
        <f>'Vendor Entry Sheet'!D248</f>
        <v>0</v>
      </c>
      <c r="F246">
        <f>'Vendor Entry Sheet'!E248</f>
        <v>0</v>
      </c>
      <c r="H246" s="50">
        <f>'Vendor Entry Sheet'!F248</f>
        <v>0</v>
      </c>
      <c r="I246">
        <f>'Vendor Entry Sheet'!G248</f>
        <v>0</v>
      </c>
      <c r="K246" s="8">
        <v>1005</v>
      </c>
      <c r="L246">
        <f>'Vendor Entry Sheet'!H248</f>
        <v>0</v>
      </c>
      <c r="M246" s="8" t="s">
        <v>39</v>
      </c>
    </row>
    <row r="247" spans="1:13" x14ac:dyDescent="0.35">
      <c r="A247" s="6">
        <f>'Vendor Entry Sheet'!A249</f>
        <v>0</v>
      </c>
      <c r="B247" s="5">
        <f>'Vendor Entry Sheet'!C249</f>
        <v>0</v>
      </c>
      <c r="C247">
        <f>'Vendor Entry Sheet'!I249</f>
        <v>0</v>
      </c>
      <c r="D247" s="7">
        <f>'Vendor Entry Sheet'!J249</f>
        <v>0</v>
      </c>
      <c r="E247">
        <f>'Vendor Entry Sheet'!D249</f>
        <v>0</v>
      </c>
      <c r="F247">
        <f>'Vendor Entry Sheet'!E249</f>
        <v>0</v>
      </c>
      <c r="H247" s="50">
        <f>'Vendor Entry Sheet'!F249</f>
        <v>0</v>
      </c>
      <c r="I247">
        <f>'Vendor Entry Sheet'!G249</f>
        <v>0</v>
      </c>
      <c r="K247" s="8">
        <v>1005</v>
      </c>
      <c r="L247">
        <f>'Vendor Entry Sheet'!H249</f>
        <v>0</v>
      </c>
      <c r="M247" s="8" t="s">
        <v>39</v>
      </c>
    </row>
    <row r="248" spans="1:13" x14ac:dyDescent="0.35">
      <c r="A248" s="6">
        <f>'Vendor Entry Sheet'!A250</f>
        <v>0</v>
      </c>
      <c r="B248" s="5">
        <f>'Vendor Entry Sheet'!C250</f>
        <v>0</v>
      </c>
      <c r="C248">
        <f>'Vendor Entry Sheet'!I250</f>
        <v>0</v>
      </c>
      <c r="D248" s="7">
        <f>'Vendor Entry Sheet'!J250</f>
        <v>0</v>
      </c>
      <c r="E248">
        <f>'Vendor Entry Sheet'!D250</f>
        <v>0</v>
      </c>
      <c r="F248">
        <f>'Vendor Entry Sheet'!E250</f>
        <v>0</v>
      </c>
      <c r="H248" s="50">
        <f>'Vendor Entry Sheet'!F250</f>
        <v>0</v>
      </c>
      <c r="I248">
        <f>'Vendor Entry Sheet'!G250</f>
        <v>0</v>
      </c>
      <c r="K248" s="8">
        <v>1005</v>
      </c>
      <c r="L248">
        <f>'Vendor Entry Sheet'!H250</f>
        <v>0</v>
      </c>
      <c r="M248" s="8" t="s">
        <v>39</v>
      </c>
    </row>
    <row r="249" spans="1:13" x14ac:dyDescent="0.35">
      <c r="A249" s="6">
        <f>'Vendor Entry Sheet'!A251</f>
        <v>0</v>
      </c>
      <c r="B249" s="5">
        <f>'Vendor Entry Sheet'!C251</f>
        <v>0</v>
      </c>
      <c r="C249">
        <f>'Vendor Entry Sheet'!I251</f>
        <v>0</v>
      </c>
      <c r="D249" s="7">
        <f>'Vendor Entry Sheet'!J251</f>
        <v>0</v>
      </c>
      <c r="E249">
        <f>'Vendor Entry Sheet'!D251</f>
        <v>0</v>
      </c>
      <c r="F249">
        <f>'Vendor Entry Sheet'!E251</f>
        <v>0</v>
      </c>
      <c r="H249" s="50">
        <f>'Vendor Entry Sheet'!F251</f>
        <v>0</v>
      </c>
      <c r="I249">
        <f>'Vendor Entry Sheet'!G251</f>
        <v>0</v>
      </c>
      <c r="K249" s="8">
        <v>1005</v>
      </c>
      <c r="L249">
        <f>'Vendor Entry Sheet'!H251</f>
        <v>0</v>
      </c>
      <c r="M249" s="8" t="s">
        <v>39</v>
      </c>
    </row>
    <row r="250" spans="1:13" x14ac:dyDescent="0.35">
      <c r="A250" s="6">
        <f>'Vendor Entry Sheet'!A252</f>
        <v>0</v>
      </c>
      <c r="B250" s="5">
        <f>'Vendor Entry Sheet'!C252</f>
        <v>0</v>
      </c>
      <c r="C250">
        <f>'Vendor Entry Sheet'!I252</f>
        <v>0</v>
      </c>
      <c r="D250" s="7">
        <f>'Vendor Entry Sheet'!J252</f>
        <v>0</v>
      </c>
      <c r="E250">
        <f>'Vendor Entry Sheet'!D252</f>
        <v>0</v>
      </c>
      <c r="F250">
        <f>'Vendor Entry Sheet'!E252</f>
        <v>0</v>
      </c>
      <c r="H250" s="50">
        <f>'Vendor Entry Sheet'!F252</f>
        <v>0</v>
      </c>
      <c r="I250">
        <f>'Vendor Entry Sheet'!G252</f>
        <v>0</v>
      </c>
      <c r="K250" s="8">
        <v>1005</v>
      </c>
      <c r="L250">
        <f>'Vendor Entry Sheet'!H252</f>
        <v>0</v>
      </c>
      <c r="M250" s="8" t="s">
        <v>39</v>
      </c>
    </row>
    <row r="251" spans="1:13" x14ac:dyDescent="0.35">
      <c r="A251" s="6">
        <f>'Vendor Entry Sheet'!A253</f>
        <v>0</v>
      </c>
      <c r="B251" s="5">
        <f>'Vendor Entry Sheet'!C253</f>
        <v>0</v>
      </c>
      <c r="C251">
        <f>'Vendor Entry Sheet'!I253</f>
        <v>0</v>
      </c>
      <c r="D251" s="7">
        <f>'Vendor Entry Sheet'!J253</f>
        <v>0</v>
      </c>
      <c r="E251">
        <f>'Vendor Entry Sheet'!D253</f>
        <v>0</v>
      </c>
      <c r="F251">
        <f>'Vendor Entry Sheet'!E253</f>
        <v>0</v>
      </c>
      <c r="H251" s="50">
        <f>'Vendor Entry Sheet'!F253</f>
        <v>0</v>
      </c>
      <c r="I251">
        <f>'Vendor Entry Sheet'!G253</f>
        <v>0</v>
      </c>
      <c r="K251" s="8">
        <v>1005</v>
      </c>
      <c r="L251">
        <f>'Vendor Entry Sheet'!H253</f>
        <v>0</v>
      </c>
      <c r="M251" s="8" t="s">
        <v>39</v>
      </c>
    </row>
    <row r="252" spans="1:13" x14ac:dyDescent="0.35">
      <c r="A252" s="6">
        <f>'Vendor Entry Sheet'!A254</f>
        <v>0</v>
      </c>
      <c r="B252" s="5">
        <f>'Vendor Entry Sheet'!C254</f>
        <v>0</v>
      </c>
      <c r="C252">
        <f>'Vendor Entry Sheet'!I254</f>
        <v>0</v>
      </c>
      <c r="D252" s="7">
        <f>'Vendor Entry Sheet'!J254</f>
        <v>0</v>
      </c>
      <c r="E252">
        <f>'Vendor Entry Sheet'!D254</f>
        <v>0</v>
      </c>
      <c r="F252">
        <f>'Vendor Entry Sheet'!E254</f>
        <v>0</v>
      </c>
      <c r="H252" s="50">
        <f>'Vendor Entry Sheet'!F254</f>
        <v>0</v>
      </c>
      <c r="I252">
        <f>'Vendor Entry Sheet'!G254</f>
        <v>0</v>
      </c>
      <c r="K252" s="8">
        <v>1005</v>
      </c>
      <c r="L252">
        <f>'Vendor Entry Sheet'!H254</f>
        <v>0</v>
      </c>
      <c r="M252" s="8" t="s">
        <v>39</v>
      </c>
    </row>
    <row r="253" spans="1:13" x14ac:dyDescent="0.35">
      <c r="A253" s="6">
        <f>'Vendor Entry Sheet'!A255</f>
        <v>0</v>
      </c>
      <c r="B253" s="5">
        <f>'Vendor Entry Sheet'!C255</f>
        <v>0</v>
      </c>
      <c r="C253">
        <f>'Vendor Entry Sheet'!I255</f>
        <v>0</v>
      </c>
      <c r="D253" s="7">
        <f>'Vendor Entry Sheet'!J255</f>
        <v>0</v>
      </c>
      <c r="E253">
        <f>'Vendor Entry Sheet'!D255</f>
        <v>0</v>
      </c>
      <c r="F253">
        <f>'Vendor Entry Sheet'!E255</f>
        <v>0</v>
      </c>
      <c r="H253" s="50">
        <f>'Vendor Entry Sheet'!F255</f>
        <v>0</v>
      </c>
      <c r="I253">
        <f>'Vendor Entry Sheet'!G255</f>
        <v>0</v>
      </c>
      <c r="K253" s="8">
        <v>1005</v>
      </c>
      <c r="L253">
        <f>'Vendor Entry Sheet'!H255</f>
        <v>0</v>
      </c>
      <c r="M253" s="8" t="s">
        <v>39</v>
      </c>
    </row>
    <row r="254" spans="1:13" x14ac:dyDescent="0.35">
      <c r="A254" s="6">
        <f>'Vendor Entry Sheet'!A256</f>
        <v>0</v>
      </c>
      <c r="B254" s="5">
        <f>'Vendor Entry Sheet'!C256</f>
        <v>0</v>
      </c>
      <c r="C254">
        <f>'Vendor Entry Sheet'!I256</f>
        <v>0</v>
      </c>
      <c r="D254" s="7">
        <f>'Vendor Entry Sheet'!J256</f>
        <v>0</v>
      </c>
      <c r="E254">
        <f>'Vendor Entry Sheet'!D256</f>
        <v>0</v>
      </c>
      <c r="F254">
        <f>'Vendor Entry Sheet'!E256</f>
        <v>0</v>
      </c>
      <c r="H254" s="50">
        <f>'Vendor Entry Sheet'!F256</f>
        <v>0</v>
      </c>
      <c r="I254">
        <f>'Vendor Entry Sheet'!G256</f>
        <v>0</v>
      </c>
      <c r="K254" s="8">
        <v>1005</v>
      </c>
      <c r="L254">
        <f>'Vendor Entry Sheet'!H256</f>
        <v>0</v>
      </c>
      <c r="M254" s="8" t="s">
        <v>39</v>
      </c>
    </row>
    <row r="255" spans="1:13" x14ac:dyDescent="0.35">
      <c r="A255" s="6">
        <f>'Vendor Entry Sheet'!A257</f>
        <v>0</v>
      </c>
      <c r="B255" s="5">
        <f>'Vendor Entry Sheet'!C257</f>
        <v>0</v>
      </c>
      <c r="C255">
        <f>'Vendor Entry Sheet'!I257</f>
        <v>0</v>
      </c>
      <c r="D255" s="7">
        <f>'Vendor Entry Sheet'!J257</f>
        <v>0</v>
      </c>
      <c r="E255">
        <f>'Vendor Entry Sheet'!D257</f>
        <v>0</v>
      </c>
      <c r="F255">
        <f>'Vendor Entry Sheet'!E257</f>
        <v>0</v>
      </c>
      <c r="H255" s="50">
        <f>'Vendor Entry Sheet'!F257</f>
        <v>0</v>
      </c>
      <c r="I255">
        <f>'Vendor Entry Sheet'!G257</f>
        <v>0</v>
      </c>
      <c r="K255" s="8">
        <v>1005</v>
      </c>
      <c r="L255">
        <f>'Vendor Entry Sheet'!H257</f>
        <v>0</v>
      </c>
      <c r="M255" s="8" t="s">
        <v>39</v>
      </c>
    </row>
    <row r="256" spans="1:13" x14ac:dyDescent="0.35">
      <c r="A256" s="6">
        <f>'Vendor Entry Sheet'!A258</f>
        <v>0</v>
      </c>
      <c r="B256" s="5">
        <f>'Vendor Entry Sheet'!C258</f>
        <v>0</v>
      </c>
      <c r="C256">
        <f>'Vendor Entry Sheet'!I258</f>
        <v>0</v>
      </c>
      <c r="D256" s="7">
        <f>'Vendor Entry Sheet'!J258</f>
        <v>0</v>
      </c>
      <c r="E256">
        <f>'Vendor Entry Sheet'!D258</f>
        <v>0</v>
      </c>
      <c r="F256">
        <f>'Vendor Entry Sheet'!E258</f>
        <v>0</v>
      </c>
      <c r="H256" s="50">
        <f>'Vendor Entry Sheet'!F258</f>
        <v>0</v>
      </c>
      <c r="I256">
        <f>'Vendor Entry Sheet'!G258</f>
        <v>0</v>
      </c>
      <c r="K256" s="8">
        <v>1005</v>
      </c>
      <c r="L256">
        <f>'Vendor Entry Sheet'!H258</f>
        <v>0</v>
      </c>
      <c r="M256" s="8" t="s">
        <v>39</v>
      </c>
    </row>
    <row r="257" spans="1:13" x14ac:dyDescent="0.35">
      <c r="A257" s="6">
        <f>'Vendor Entry Sheet'!A259</f>
        <v>0</v>
      </c>
      <c r="B257" s="5">
        <f>'Vendor Entry Sheet'!C259</f>
        <v>0</v>
      </c>
      <c r="C257">
        <f>'Vendor Entry Sheet'!I259</f>
        <v>0</v>
      </c>
      <c r="D257" s="7">
        <f>'Vendor Entry Sheet'!J259</f>
        <v>0</v>
      </c>
      <c r="E257">
        <f>'Vendor Entry Sheet'!D259</f>
        <v>0</v>
      </c>
      <c r="F257">
        <f>'Vendor Entry Sheet'!E259</f>
        <v>0</v>
      </c>
      <c r="H257" s="50">
        <f>'Vendor Entry Sheet'!F259</f>
        <v>0</v>
      </c>
      <c r="I257">
        <f>'Vendor Entry Sheet'!G259</f>
        <v>0</v>
      </c>
      <c r="K257" s="8">
        <v>1005</v>
      </c>
      <c r="L257">
        <f>'Vendor Entry Sheet'!H259</f>
        <v>0</v>
      </c>
      <c r="M257" s="8" t="s">
        <v>39</v>
      </c>
    </row>
    <row r="258" spans="1:13" x14ac:dyDescent="0.35">
      <c r="A258" s="6">
        <f>'Vendor Entry Sheet'!A260</f>
        <v>0</v>
      </c>
      <c r="B258" s="5">
        <f>'Vendor Entry Sheet'!C260</f>
        <v>0</v>
      </c>
      <c r="C258">
        <f>'Vendor Entry Sheet'!I260</f>
        <v>0</v>
      </c>
      <c r="D258" s="7">
        <f>'Vendor Entry Sheet'!J260</f>
        <v>0</v>
      </c>
      <c r="E258">
        <f>'Vendor Entry Sheet'!D260</f>
        <v>0</v>
      </c>
      <c r="F258">
        <f>'Vendor Entry Sheet'!E260</f>
        <v>0</v>
      </c>
      <c r="H258" s="50">
        <f>'Vendor Entry Sheet'!F260</f>
        <v>0</v>
      </c>
      <c r="I258">
        <f>'Vendor Entry Sheet'!G260</f>
        <v>0</v>
      </c>
      <c r="K258" s="8">
        <v>1005</v>
      </c>
      <c r="L258">
        <f>'Vendor Entry Sheet'!H260</f>
        <v>0</v>
      </c>
      <c r="M258" s="8" t="s">
        <v>39</v>
      </c>
    </row>
    <row r="259" spans="1:13" x14ac:dyDescent="0.35">
      <c r="A259" s="6">
        <f>'Vendor Entry Sheet'!A261</f>
        <v>0</v>
      </c>
      <c r="B259" s="5">
        <f>'Vendor Entry Sheet'!C261</f>
        <v>0</v>
      </c>
      <c r="C259">
        <f>'Vendor Entry Sheet'!I261</f>
        <v>0</v>
      </c>
      <c r="D259" s="7">
        <f>'Vendor Entry Sheet'!J261</f>
        <v>0</v>
      </c>
      <c r="E259">
        <f>'Vendor Entry Sheet'!D261</f>
        <v>0</v>
      </c>
      <c r="F259">
        <f>'Vendor Entry Sheet'!E261</f>
        <v>0</v>
      </c>
      <c r="H259" s="50">
        <f>'Vendor Entry Sheet'!F261</f>
        <v>0</v>
      </c>
      <c r="I259">
        <f>'Vendor Entry Sheet'!G261</f>
        <v>0</v>
      </c>
      <c r="K259" s="8">
        <v>1005</v>
      </c>
      <c r="L259">
        <f>'Vendor Entry Sheet'!H261</f>
        <v>0</v>
      </c>
      <c r="M259" s="8" t="s">
        <v>39</v>
      </c>
    </row>
    <row r="260" spans="1:13" x14ac:dyDescent="0.35">
      <c r="A260" s="6">
        <f>'Vendor Entry Sheet'!A262</f>
        <v>0</v>
      </c>
      <c r="B260" s="5">
        <f>'Vendor Entry Sheet'!C262</f>
        <v>0</v>
      </c>
      <c r="C260">
        <f>'Vendor Entry Sheet'!I262</f>
        <v>0</v>
      </c>
      <c r="D260" s="7">
        <f>'Vendor Entry Sheet'!J262</f>
        <v>0</v>
      </c>
      <c r="E260">
        <f>'Vendor Entry Sheet'!D262</f>
        <v>0</v>
      </c>
      <c r="F260">
        <f>'Vendor Entry Sheet'!E262</f>
        <v>0</v>
      </c>
      <c r="H260" s="50">
        <f>'Vendor Entry Sheet'!F262</f>
        <v>0</v>
      </c>
      <c r="I260">
        <f>'Vendor Entry Sheet'!G262</f>
        <v>0</v>
      </c>
      <c r="K260" s="8">
        <v>1005</v>
      </c>
      <c r="L260">
        <f>'Vendor Entry Sheet'!H262</f>
        <v>0</v>
      </c>
      <c r="M260" s="8" t="s">
        <v>39</v>
      </c>
    </row>
    <row r="261" spans="1:13" x14ac:dyDescent="0.35">
      <c r="A261" s="6">
        <f>'Vendor Entry Sheet'!A263</f>
        <v>0</v>
      </c>
      <c r="B261" s="5">
        <f>'Vendor Entry Sheet'!C263</f>
        <v>0</v>
      </c>
      <c r="C261">
        <f>'Vendor Entry Sheet'!I263</f>
        <v>0</v>
      </c>
      <c r="D261" s="7">
        <f>'Vendor Entry Sheet'!J263</f>
        <v>0</v>
      </c>
      <c r="E261">
        <f>'Vendor Entry Sheet'!D263</f>
        <v>0</v>
      </c>
      <c r="F261">
        <f>'Vendor Entry Sheet'!E263</f>
        <v>0</v>
      </c>
      <c r="H261" s="50">
        <f>'Vendor Entry Sheet'!F263</f>
        <v>0</v>
      </c>
      <c r="I261">
        <f>'Vendor Entry Sheet'!G263</f>
        <v>0</v>
      </c>
      <c r="K261" s="8">
        <v>1005</v>
      </c>
      <c r="L261">
        <f>'Vendor Entry Sheet'!H263</f>
        <v>0</v>
      </c>
      <c r="M261" s="8" t="s">
        <v>39</v>
      </c>
    </row>
    <row r="262" spans="1:13" x14ac:dyDescent="0.35">
      <c r="A262" s="6">
        <f>'Vendor Entry Sheet'!A264</f>
        <v>0</v>
      </c>
      <c r="B262" s="5">
        <f>'Vendor Entry Sheet'!C264</f>
        <v>0</v>
      </c>
      <c r="C262">
        <f>'Vendor Entry Sheet'!I264</f>
        <v>0</v>
      </c>
      <c r="D262" s="7">
        <f>'Vendor Entry Sheet'!J264</f>
        <v>0</v>
      </c>
      <c r="E262">
        <f>'Vendor Entry Sheet'!D264</f>
        <v>0</v>
      </c>
      <c r="F262">
        <f>'Vendor Entry Sheet'!E264</f>
        <v>0</v>
      </c>
      <c r="H262" s="50">
        <f>'Vendor Entry Sheet'!F264</f>
        <v>0</v>
      </c>
      <c r="I262">
        <f>'Vendor Entry Sheet'!G264</f>
        <v>0</v>
      </c>
      <c r="K262" s="8">
        <v>1005</v>
      </c>
      <c r="L262">
        <f>'Vendor Entry Sheet'!H264</f>
        <v>0</v>
      </c>
      <c r="M262" s="8" t="s">
        <v>39</v>
      </c>
    </row>
    <row r="263" spans="1:13" x14ac:dyDescent="0.35">
      <c r="A263" s="6">
        <f>'Vendor Entry Sheet'!A265</f>
        <v>0</v>
      </c>
      <c r="B263" s="5">
        <f>'Vendor Entry Sheet'!C265</f>
        <v>0</v>
      </c>
      <c r="C263">
        <f>'Vendor Entry Sheet'!I265</f>
        <v>0</v>
      </c>
      <c r="D263" s="7">
        <f>'Vendor Entry Sheet'!J265</f>
        <v>0</v>
      </c>
      <c r="E263">
        <f>'Vendor Entry Sheet'!D265</f>
        <v>0</v>
      </c>
      <c r="F263">
        <f>'Vendor Entry Sheet'!E265</f>
        <v>0</v>
      </c>
      <c r="H263" s="50">
        <f>'Vendor Entry Sheet'!F265</f>
        <v>0</v>
      </c>
      <c r="I263">
        <f>'Vendor Entry Sheet'!G265</f>
        <v>0</v>
      </c>
      <c r="K263" s="8">
        <v>1005</v>
      </c>
      <c r="L263">
        <f>'Vendor Entry Sheet'!H265</f>
        <v>0</v>
      </c>
      <c r="M263" s="8" t="s">
        <v>39</v>
      </c>
    </row>
    <row r="264" spans="1:13" x14ac:dyDescent="0.35">
      <c r="A264" s="6">
        <f>'Vendor Entry Sheet'!A266</f>
        <v>0</v>
      </c>
      <c r="B264" s="5">
        <f>'Vendor Entry Sheet'!C266</f>
        <v>0</v>
      </c>
      <c r="C264">
        <f>'Vendor Entry Sheet'!I266</f>
        <v>0</v>
      </c>
      <c r="D264" s="7">
        <f>'Vendor Entry Sheet'!J266</f>
        <v>0</v>
      </c>
      <c r="E264">
        <f>'Vendor Entry Sheet'!D266</f>
        <v>0</v>
      </c>
      <c r="F264">
        <f>'Vendor Entry Sheet'!E266</f>
        <v>0</v>
      </c>
      <c r="H264" s="50">
        <f>'Vendor Entry Sheet'!F266</f>
        <v>0</v>
      </c>
      <c r="I264">
        <f>'Vendor Entry Sheet'!G266</f>
        <v>0</v>
      </c>
      <c r="K264" s="8">
        <v>1005</v>
      </c>
      <c r="L264">
        <f>'Vendor Entry Sheet'!H266</f>
        <v>0</v>
      </c>
      <c r="M264" s="8" t="s">
        <v>39</v>
      </c>
    </row>
    <row r="265" spans="1:13" x14ac:dyDescent="0.35">
      <c r="A265" s="6">
        <f>'Vendor Entry Sheet'!A267</f>
        <v>0</v>
      </c>
      <c r="B265" s="5">
        <f>'Vendor Entry Sheet'!C267</f>
        <v>0</v>
      </c>
      <c r="C265">
        <f>'Vendor Entry Sheet'!I267</f>
        <v>0</v>
      </c>
      <c r="D265" s="7">
        <f>'Vendor Entry Sheet'!J267</f>
        <v>0</v>
      </c>
      <c r="E265">
        <f>'Vendor Entry Sheet'!D267</f>
        <v>0</v>
      </c>
      <c r="F265">
        <f>'Vendor Entry Sheet'!E267</f>
        <v>0</v>
      </c>
      <c r="H265" s="50">
        <f>'Vendor Entry Sheet'!F267</f>
        <v>0</v>
      </c>
      <c r="I265">
        <f>'Vendor Entry Sheet'!G267</f>
        <v>0</v>
      </c>
      <c r="K265" s="8">
        <v>1005</v>
      </c>
      <c r="L265">
        <f>'Vendor Entry Sheet'!H267</f>
        <v>0</v>
      </c>
      <c r="M265" s="8" t="s">
        <v>39</v>
      </c>
    </row>
    <row r="266" spans="1:13" x14ac:dyDescent="0.35">
      <c r="A266" s="6">
        <f>'Vendor Entry Sheet'!A268</f>
        <v>0</v>
      </c>
      <c r="B266" s="5">
        <f>'Vendor Entry Sheet'!C268</f>
        <v>0</v>
      </c>
      <c r="C266">
        <f>'Vendor Entry Sheet'!I268</f>
        <v>0</v>
      </c>
      <c r="D266" s="7">
        <f>'Vendor Entry Sheet'!J268</f>
        <v>0</v>
      </c>
      <c r="E266">
        <f>'Vendor Entry Sheet'!D268</f>
        <v>0</v>
      </c>
      <c r="F266">
        <f>'Vendor Entry Sheet'!E268</f>
        <v>0</v>
      </c>
      <c r="H266" s="50">
        <f>'Vendor Entry Sheet'!F268</f>
        <v>0</v>
      </c>
      <c r="I266">
        <f>'Vendor Entry Sheet'!G268</f>
        <v>0</v>
      </c>
      <c r="K266" s="8">
        <v>1005</v>
      </c>
      <c r="L266">
        <f>'Vendor Entry Sheet'!H268</f>
        <v>0</v>
      </c>
      <c r="M266" s="8" t="s">
        <v>39</v>
      </c>
    </row>
    <row r="267" spans="1:13" x14ac:dyDescent="0.35">
      <c r="A267" s="6">
        <f>'Vendor Entry Sheet'!A269</f>
        <v>0</v>
      </c>
      <c r="B267" s="5">
        <f>'Vendor Entry Sheet'!C269</f>
        <v>0</v>
      </c>
      <c r="C267">
        <f>'Vendor Entry Sheet'!I269</f>
        <v>0</v>
      </c>
      <c r="D267" s="7">
        <f>'Vendor Entry Sheet'!J269</f>
        <v>0</v>
      </c>
      <c r="E267">
        <f>'Vendor Entry Sheet'!D269</f>
        <v>0</v>
      </c>
      <c r="F267">
        <f>'Vendor Entry Sheet'!E269</f>
        <v>0</v>
      </c>
      <c r="H267" s="50">
        <f>'Vendor Entry Sheet'!F269</f>
        <v>0</v>
      </c>
      <c r="I267">
        <f>'Vendor Entry Sheet'!G269</f>
        <v>0</v>
      </c>
      <c r="K267" s="8">
        <v>1005</v>
      </c>
      <c r="L267">
        <f>'Vendor Entry Sheet'!H269</f>
        <v>0</v>
      </c>
      <c r="M267" s="8" t="s">
        <v>39</v>
      </c>
    </row>
    <row r="268" spans="1:13" x14ac:dyDescent="0.35">
      <c r="A268" s="6">
        <f>'Vendor Entry Sheet'!A270</f>
        <v>0</v>
      </c>
      <c r="B268" s="5">
        <f>'Vendor Entry Sheet'!C270</f>
        <v>0</v>
      </c>
      <c r="C268">
        <f>'Vendor Entry Sheet'!I270</f>
        <v>0</v>
      </c>
      <c r="D268" s="7">
        <f>'Vendor Entry Sheet'!J270</f>
        <v>0</v>
      </c>
      <c r="E268">
        <f>'Vendor Entry Sheet'!D270</f>
        <v>0</v>
      </c>
      <c r="F268">
        <f>'Vendor Entry Sheet'!E270</f>
        <v>0</v>
      </c>
      <c r="H268" s="50">
        <f>'Vendor Entry Sheet'!F270</f>
        <v>0</v>
      </c>
      <c r="I268">
        <f>'Vendor Entry Sheet'!G270</f>
        <v>0</v>
      </c>
      <c r="K268" s="8">
        <v>1005</v>
      </c>
      <c r="L268">
        <f>'Vendor Entry Sheet'!H270</f>
        <v>0</v>
      </c>
      <c r="M268" s="8" t="s">
        <v>39</v>
      </c>
    </row>
    <row r="269" spans="1:13" x14ac:dyDescent="0.35">
      <c r="A269" s="6">
        <f>'Vendor Entry Sheet'!A271</f>
        <v>0</v>
      </c>
      <c r="B269" s="5">
        <f>'Vendor Entry Sheet'!C271</f>
        <v>0</v>
      </c>
      <c r="C269">
        <f>'Vendor Entry Sheet'!I271</f>
        <v>0</v>
      </c>
      <c r="D269" s="7">
        <f>'Vendor Entry Sheet'!J271</f>
        <v>0</v>
      </c>
      <c r="E269">
        <f>'Vendor Entry Sheet'!D271</f>
        <v>0</v>
      </c>
      <c r="F269">
        <f>'Vendor Entry Sheet'!E271</f>
        <v>0</v>
      </c>
      <c r="H269" s="50">
        <f>'Vendor Entry Sheet'!F271</f>
        <v>0</v>
      </c>
      <c r="I269">
        <f>'Vendor Entry Sheet'!G271</f>
        <v>0</v>
      </c>
      <c r="K269" s="8">
        <v>1005</v>
      </c>
      <c r="L269">
        <f>'Vendor Entry Sheet'!H271</f>
        <v>0</v>
      </c>
      <c r="M269" s="8" t="s">
        <v>39</v>
      </c>
    </row>
    <row r="270" spans="1:13" x14ac:dyDescent="0.35">
      <c r="A270" s="6">
        <f>'Vendor Entry Sheet'!A272</f>
        <v>0</v>
      </c>
      <c r="B270" s="5">
        <f>'Vendor Entry Sheet'!C272</f>
        <v>0</v>
      </c>
      <c r="C270">
        <f>'Vendor Entry Sheet'!I272</f>
        <v>0</v>
      </c>
      <c r="D270" s="7">
        <f>'Vendor Entry Sheet'!J272</f>
        <v>0</v>
      </c>
      <c r="E270">
        <f>'Vendor Entry Sheet'!D272</f>
        <v>0</v>
      </c>
      <c r="F270">
        <f>'Vendor Entry Sheet'!E272</f>
        <v>0</v>
      </c>
      <c r="H270" s="50">
        <f>'Vendor Entry Sheet'!F272</f>
        <v>0</v>
      </c>
      <c r="I270">
        <f>'Vendor Entry Sheet'!G272</f>
        <v>0</v>
      </c>
      <c r="K270" s="8">
        <v>1005</v>
      </c>
      <c r="L270">
        <f>'Vendor Entry Sheet'!H272</f>
        <v>0</v>
      </c>
      <c r="M270" s="8" t="s">
        <v>39</v>
      </c>
    </row>
    <row r="271" spans="1:13" x14ac:dyDescent="0.35">
      <c r="A271" s="6">
        <f>'Vendor Entry Sheet'!A273</f>
        <v>0</v>
      </c>
      <c r="B271" s="5">
        <f>'Vendor Entry Sheet'!C273</f>
        <v>0</v>
      </c>
      <c r="C271">
        <f>'Vendor Entry Sheet'!I273</f>
        <v>0</v>
      </c>
      <c r="D271" s="7">
        <f>'Vendor Entry Sheet'!J273</f>
        <v>0</v>
      </c>
      <c r="E271">
        <f>'Vendor Entry Sheet'!D273</f>
        <v>0</v>
      </c>
      <c r="F271">
        <f>'Vendor Entry Sheet'!E273</f>
        <v>0</v>
      </c>
      <c r="H271" s="50">
        <f>'Vendor Entry Sheet'!F273</f>
        <v>0</v>
      </c>
      <c r="I271">
        <f>'Vendor Entry Sheet'!G273</f>
        <v>0</v>
      </c>
      <c r="K271" s="8">
        <v>1005</v>
      </c>
      <c r="L271">
        <f>'Vendor Entry Sheet'!H273</f>
        <v>0</v>
      </c>
      <c r="M271" s="8" t="s">
        <v>39</v>
      </c>
    </row>
    <row r="272" spans="1:13" x14ac:dyDescent="0.35">
      <c r="A272" s="6">
        <f>'Vendor Entry Sheet'!A274</f>
        <v>0</v>
      </c>
      <c r="B272" s="5">
        <f>'Vendor Entry Sheet'!C274</f>
        <v>0</v>
      </c>
      <c r="C272">
        <f>'Vendor Entry Sheet'!I274</f>
        <v>0</v>
      </c>
      <c r="D272" s="7">
        <f>'Vendor Entry Sheet'!J274</f>
        <v>0</v>
      </c>
      <c r="E272">
        <f>'Vendor Entry Sheet'!D274</f>
        <v>0</v>
      </c>
      <c r="F272">
        <f>'Vendor Entry Sheet'!E274</f>
        <v>0</v>
      </c>
      <c r="H272" s="50">
        <f>'Vendor Entry Sheet'!F274</f>
        <v>0</v>
      </c>
      <c r="I272">
        <f>'Vendor Entry Sheet'!G274</f>
        <v>0</v>
      </c>
      <c r="K272" s="8">
        <v>1005</v>
      </c>
      <c r="L272">
        <f>'Vendor Entry Sheet'!H274</f>
        <v>0</v>
      </c>
      <c r="M272" s="8" t="s">
        <v>39</v>
      </c>
    </row>
    <row r="273" spans="1:13" x14ac:dyDescent="0.35">
      <c r="A273" s="6">
        <f>'Vendor Entry Sheet'!A275</f>
        <v>0</v>
      </c>
      <c r="B273" s="5">
        <f>'Vendor Entry Sheet'!C275</f>
        <v>0</v>
      </c>
      <c r="C273">
        <f>'Vendor Entry Sheet'!I275</f>
        <v>0</v>
      </c>
      <c r="D273" s="7">
        <f>'Vendor Entry Sheet'!J275</f>
        <v>0</v>
      </c>
      <c r="E273">
        <f>'Vendor Entry Sheet'!D275</f>
        <v>0</v>
      </c>
      <c r="F273">
        <f>'Vendor Entry Sheet'!E275</f>
        <v>0</v>
      </c>
      <c r="H273" s="50">
        <f>'Vendor Entry Sheet'!F275</f>
        <v>0</v>
      </c>
      <c r="I273">
        <f>'Vendor Entry Sheet'!G275</f>
        <v>0</v>
      </c>
      <c r="K273" s="8">
        <v>1005</v>
      </c>
      <c r="L273">
        <f>'Vendor Entry Sheet'!H275</f>
        <v>0</v>
      </c>
      <c r="M273" s="8" t="s">
        <v>39</v>
      </c>
    </row>
    <row r="274" spans="1:13" x14ac:dyDescent="0.35">
      <c r="A274" s="6">
        <f>'Vendor Entry Sheet'!A276</f>
        <v>0</v>
      </c>
      <c r="B274" s="5">
        <f>'Vendor Entry Sheet'!C276</f>
        <v>0</v>
      </c>
      <c r="C274">
        <f>'Vendor Entry Sheet'!I276</f>
        <v>0</v>
      </c>
      <c r="D274" s="7">
        <f>'Vendor Entry Sheet'!J276</f>
        <v>0</v>
      </c>
      <c r="E274">
        <f>'Vendor Entry Sheet'!D276</f>
        <v>0</v>
      </c>
      <c r="F274">
        <f>'Vendor Entry Sheet'!E276</f>
        <v>0</v>
      </c>
      <c r="H274" s="50">
        <f>'Vendor Entry Sheet'!F276</f>
        <v>0</v>
      </c>
      <c r="I274">
        <f>'Vendor Entry Sheet'!G276</f>
        <v>0</v>
      </c>
      <c r="K274" s="8">
        <v>1005</v>
      </c>
      <c r="L274">
        <f>'Vendor Entry Sheet'!H276</f>
        <v>0</v>
      </c>
      <c r="M274" s="8" t="s">
        <v>39</v>
      </c>
    </row>
    <row r="275" spans="1:13" x14ac:dyDescent="0.35">
      <c r="A275" s="6">
        <f>'Vendor Entry Sheet'!A277</f>
        <v>0</v>
      </c>
      <c r="B275" s="5">
        <f>'Vendor Entry Sheet'!C277</f>
        <v>0</v>
      </c>
      <c r="C275">
        <f>'Vendor Entry Sheet'!I277</f>
        <v>0</v>
      </c>
      <c r="D275" s="7">
        <f>'Vendor Entry Sheet'!J277</f>
        <v>0</v>
      </c>
      <c r="E275">
        <f>'Vendor Entry Sheet'!D277</f>
        <v>0</v>
      </c>
      <c r="F275">
        <f>'Vendor Entry Sheet'!E277</f>
        <v>0</v>
      </c>
      <c r="H275" s="50">
        <f>'Vendor Entry Sheet'!F277</f>
        <v>0</v>
      </c>
      <c r="I275">
        <f>'Vendor Entry Sheet'!G277</f>
        <v>0</v>
      </c>
      <c r="K275" s="8">
        <v>1005</v>
      </c>
      <c r="L275">
        <f>'Vendor Entry Sheet'!H277</f>
        <v>0</v>
      </c>
      <c r="M275" s="8" t="s">
        <v>39</v>
      </c>
    </row>
    <row r="276" spans="1:13" x14ac:dyDescent="0.35">
      <c r="A276" s="6">
        <f>'Vendor Entry Sheet'!A278</f>
        <v>0</v>
      </c>
      <c r="B276" s="5">
        <f>'Vendor Entry Sheet'!C278</f>
        <v>0</v>
      </c>
      <c r="C276">
        <f>'Vendor Entry Sheet'!I278</f>
        <v>0</v>
      </c>
      <c r="D276" s="7">
        <f>'Vendor Entry Sheet'!J278</f>
        <v>0</v>
      </c>
      <c r="E276">
        <f>'Vendor Entry Sheet'!D278</f>
        <v>0</v>
      </c>
      <c r="F276">
        <f>'Vendor Entry Sheet'!E278</f>
        <v>0</v>
      </c>
      <c r="H276" s="50">
        <f>'Vendor Entry Sheet'!F278</f>
        <v>0</v>
      </c>
      <c r="I276">
        <f>'Vendor Entry Sheet'!G278</f>
        <v>0</v>
      </c>
      <c r="K276" s="8">
        <v>1005</v>
      </c>
      <c r="L276">
        <f>'Vendor Entry Sheet'!H278</f>
        <v>0</v>
      </c>
      <c r="M276" s="8" t="s">
        <v>39</v>
      </c>
    </row>
    <row r="277" spans="1:13" x14ac:dyDescent="0.35">
      <c r="A277" s="6">
        <f>'Vendor Entry Sheet'!A279</f>
        <v>0</v>
      </c>
      <c r="B277" s="5">
        <f>'Vendor Entry Sheet'!C279</f>
        <v>0</v>
      </c>
      <c r="C277">
        <f>'Vendor Entry Sheet'!I279</f>
        <v>0</v>
      </c>
      <c r="D277" s="7">
        <f>'Vendor Entry Sheet'!J279</f>
        <v>0</v>
      </c>
      <c r="E277">
        <f>'Vendor Entry Sheet'!D279</f>
        <v>0</v>
      </c>
      <c r="F277">
        <f>'Vendor Entry Sheet'!E279</f>
        <v>0</v>
      </c>
      <c r="H277" s="50">
        <f>'Vendor Entry Sheet'!F279</f>
        <v>0</v>
      </c>
      <c r="I277">
        <f>'Vendor Entry Sheet'!G279</f>
        <v>0</v>
      </c>
      <c r="K277" s="8">
        <v>1005</v>
      </c>
      <c r="L277">
        <f>'Vendor Entry Sheet'!H279</f>
        <v>0</v>
      </c>
      <c r="M277" s="8" t="s">
        <v>39</v>
      </c>
    </row>
    <row r="278" spans="1:13" x14ac:dyDescent="0.35">
      <c r="A278" s="6">
        <f>'Vendor Entry Sheet'!A280</f>
        <v>0</v>
      </c>
      <c r="B278" s="5">
        <f>'Vendor Entry Sheet'!C280</f>
        <v>0</v>
      </c>
      <c r="C278">
        <f>'Vendor Entry Sheet'!I280</f>
        <v>0</v>
      </c>
      <c r="D278" s="7">
        <f>'Vendor Entry Sheet'!J280</f>
        <v>0</v>
      </c>
      <c r="E278">
        <f>'Vendor Entry Sheet'!D280</f>
        <v>0</v>
      </c>
      <c r="F278">
        <f>'Vendor Entry Sheet'!E280</f>
        <v>0</v>
      </c>
      <c r="H278" s="50">
        <f>'Vendor Entry Sheet'!F280</f>
        <v>0</v>
      </c>
      <c r="I278">
        <f>'Vendor Entry Sheet'!G280</f>
        <v>0</v>
      </c>
      <c r="K278" s="8">
        <v>1005</v>
      </c>
      <c r="L278">
        <f>'Vendor Entry Sheet'!H280</f>
        <v>0</v>
      </c>
      <c r="M278" s="8" t="s">
        <v>39</v>
      </c>
    </row>
    <row r="279" spans="1:13" x14ac:dyDescent="0.35">
      <c r="A279" s="6">
        <f>'Vendor Entry Sheet'!A281</f>
        <v>0</v>
      </c>
      <c r="B279" s="5">
        <f>'Vendor Entry Sheet'!C281</f>
        <v>0</v>
      </c>
      <c r="C279">
        <f>'Vendor Entry Sheet'!I281</f>
        <v>0</v>
      </c>
      <c r="D279" s="7">
        <f>'Vendor Entry Sheet'!J281</f>
        <v>0</v>
      </c>
      <c r="E279">
        <f>'Vendor Entry Sheet'!D281</f>
        <v>0</v>
      </c>
      <c r="F279">
        <f>'Vendor Entry Sheet'!E281</f>
        <v>0</v>
      </c>
      <c r="H279" s="50">
        <f>'Vendor Entry Sheet'!F281</f>
        <v>0</v>
      </c>
      <c r="I279">
        <f>'Vendor Entry Sheet'!G281</f>
        <v>0</v>
      </c>
      <c r="K279" s="8">
        <v>1005</v>
      </c>
      <c r="L279">
        <f>'Vendor Entry Sheet'!H281</f>
        <v>0</v>
      </c>
      <c r="M279" s="8" t="s">
        <v>39</v>
      </c>
    </row>
    <row r="280" spans="1:13" x14ac:dyDescent="0.35">
      <c r="A280" s="6">
        <f>'Vendor Entry Sheet'!A282</f>
        <v>0</v>
      </c>
      <c r="B280" s="5">
        <f>'Vendor Entry Sheet'!C282</f>
        <v>0</v>
      </c>
      <c r="C280">
        <f>'Vendor Entry Sheet'!I282</f>
        <v>0</v>
      </c>
      <c r="D280" s="7">
        <f>'Vendor Entry Sheet'!J282</f>
        <v>0</v>
      </c>
      <c r="E280">
        <f>'Vendor Entry Sheet'!D282</f>
        <v>0</v>
      </c>
      <c r="F280">
        <f>'Vendor Entry Sheet'!E282</f>
        <v>0</v>
      </c>
      <c r="H280" s="50">
        <f>'Vendor Entry Sheet'!F282</f>
        <v>0</v>
      </c>
      <c r="I280">
        <f>'Vendor Entry Sheet'!G282</f>
        <v>0</v>
      </c>
      <c r="K280" s="8">
        <v>1005</v>
      </c>
      <c r="L280">
        <f>'Vendor Entry Sheet'!H282</f>
        <v>0</v>
      </c>
      <c r="M280" s="8" t="s">
        <v>39</v>
      </c>
    </row>
    <row r="281" spans="1:13" x14ac:dyDescent="0.35">
      <c r="A281" s="6">
        <f>'Vendor Entry Sheet'!A283</f>
        <v>0</v>
      </c>
      <c r="B281" s="5">
        <f>'Vendor Entry Sheet'!C283</f>
        <v>0</v>
      </c>
      <c r="C281">
        <f>'Vendor Entry Sheet'!I283</f>
        <v>0</v>
      </c>
      <c r="D281" s="7">
        <f>'Vendor Entry Sheet'!J283</f>
        <v>0</v>
      </c>
      <c r="E281">
        <f>'Vendor Entry Sheet'!D283</f>
        <v>0</v>
      </c>
      <c r="F281">
        <f>'Vendor Entry Sheet'!E283</f>
        <v>0</v>
      </c>
      <c r="H281" s="50">
        <f>'Vendor Entry Sheet'!F283</f>
        <v>0</v>
      </c>
      <c r="I281">
        <f>'Vendor Entry Sheet'!G283</f>
        <v>0</v>
      </c>
      <c r="K281" s="8">
        <v>1005</v>
      </c>
      <c r="L281">
        <f>'Vendor Entry Sheet'!H283</f>
        <v>0</v>
      </c>
      <c r="M281" s="8" t="s">
        <v>39</v>
      </c>
    </row>
    <row r="282" spans="1:13" x14ac:dyDescent="0.35">
      <c r="A282" s="6">
        <f>'Vendor Entry Sheet'!A284</f>
        <v>0</v>
      </c>
      <c r="B282" s="5">
        <f>'Vendor Entry Sheet'!C284</f>
        <v>0</v>
      </c>
      <c r="C282">
        <f>'Vendor Entry Sheet'!I284</f>
        <v>0</v>
      </c>
      <c r="D282" s="7">
        <f>'Vendor Entry Sheet'!J284</f>
        <v>0</v>
      </c>
      <c r="E282">
        <f>'Vendor Entry Sheet'!D284</f>
        <v>0</v>
      </c>
      <c r="F282">
        <f>'Vendor Entry Sheet'!E284</f>
        <v>0</v>
      </c>
      <c r="H282" s="50">
        <f>'Vendor Entry Sheet'!F284</f>
        <v>0</v>
      </c>
      <c r="I282">
        <f>'Vendor Entry Sheet'!G284</f>
        <v>0</v>
      </c>
      <c r="K282" s="8">
        <v>1005</v>
      </c>
      <c r="L282">
        <f>'Vendor Entry Sheet'!H284</f>
        <v>0</v>
      </c>
      <c r="M282" s="8" t="s">
        <v>39</v>
      </c>
    </row>
    <row r="283" spans="1:13" x14ac:dyDescent="0.35">
      <c r="A283" s="6">
        <f>'Vendor Entry Sheet'!A285</f>
        <v>0</v>
      </c>
      <c r="B283" s="5">
        <f>'Vendor Entry Sheet'!C285</f>
        <v>0</v>
      </c>
      <c r="C283">
        <f>'Vendor Entry Sheet'!I285</f>
        <v>0</v>
      </c>
      <c r="D283" s="7">
        <f>'Vendor Entry Sheet'!J285</f>
        <v>0</v>
      </c>
      <c r="E283">
        <f>'Vendor Entry Sheet'!D285</f>
        <v>0</v>
      </c>
      <c r="F283">
        <f>'Vendor Entry Sheet'!E285</f>
        <v>0</v>
      </c>
      <c r="H283" s="50">
        <f>'Vendor Entry Sheet'!F285</f>
        <v>0</v>
      </c>
      <c r="I283">
        <f>'Vendor Entry Sheet'!G285</f>
        <v>0</v>
      </c>
      <c r="K283" s="8">
        <v>1005</v>
      </c>
      <c r="L283">
        <f>'Vendor Entry Sheet'!H285</f>
        <v>0</v>
      </c>
      <c r="M283" s="8" t="s">
        <v>39</v>
      </c>
    </row>
    <row r="284" spans="1:13" x14ac:dyDescent="0.35">
      <c r="A284" s="6">
        <f>'Vendor Entry Sheet'!A286</f>
        <v>0</v>
      </c>
      <c r="B284" s="5">
        <f>'Vendor Entry Sheet'!C286</f>
        <v>0</v>
      </c>
      <c r="C284">
        <f>'Vendor Entry Sheet'!I286</f>
        <v>0</v>
      </c>
      <c r="D284" s="7">
        <f>'Vendor Entry Sheet'!J286</f>
        <v>0</v>
      </c>
      <c r="E284">
        <f>'Vendor Entry Sheet'!D286</f>
        <v>0</v>
      </c>
      <c r="F284">
        <f>'Vendor Entry Sheet'!E286</f>
        <v>0</v>
      </c>
      <c r="H284" s="50">
        <f>'Vendor Entry Sheet'!F286</f>
        <v>0</v>
      </c>
      <c r="I284">
        <f>'Vendor Entry Sheet'!G286</f>
        <v>0</v>
      </c>
      <c r="K284" s="8">
        <v>1005</v>
      </c>
      <c r="L284">
        <f>'Vendor Entry Sheet'!H286</f>
        <v>0</v>
      </c>
      <c r="M284" s="8" t="s">
        <v>39</v>
      </c>
    </row>
    <row r="285" spans="1:13" x14ac:dyDescent="0.35">
      <c r="A285" s="6">
        <f>'Vendor Entry Sheet'!A287</f>
        <v>0</v>
      </c>
      <c r="B285" s="5">
        <f>'Vendor Entry Sheet'!C287</f>
        <v>0</v>
      </c>
      <c r="C285">
        <f>'Vendor Entry Sheet'!I287</f>
        <v>0</v>
      </c>
      <c r="D285" s="7">
        <f>'Vendor Entry Sheet'!J287</f>
        <v>0</v>
      </c>
      <c r="E285">
        <f>'Vendor Entry Sheet'!D287</f>
        <v>0</v>
      </c>
      <c r="F285">
        <f>'Vendor Entry Sheet'!E287</f>
        <v>0</v>
      </c>
      <c r="H285" s="50">
        <f>'Vendor Entry Sheet'!F287</f>
        <v>0</v>
      </c>
      <c r="I285">
        <f>'Vendor Entry Sheet'!G287</f>
        <v>0</v>
      </c>
      <c r="K285" s="8">
        <v>1005</v>
      </c>
      <c r="L285">
        <f>'Vendor Entry Sheet'!H287</f>
        <v>0</v>
      </c>
      <c r="M285" s="8" t="s">
        <v>39</v>
      </c>
    </row>
    <row r="286" spans="1:13" x14ac:dyDescent="0.35">
      <c r="A286" s="6">
        <f>'Vendor Entry Sheet'!A288</f>
        <v>0</v>
      </c>
      <c r="B286" s="5">
        <f>'Vendor Entry Sheet'!C288</f>
        <v>0</v>
      </c>
      <c r="C286">
        <f>'Vendor Entry Sheet'!I288</f>
        <v>0</v>
      </c>
      <c r="D286" s="7">
        <f>'Vendor Entry Sheet'!J288</f>
        <v>0</v>
      </c>
      <c r="E286">
        <f>'Vendor Entry Sheet'!D288</f>
        <v>0</v>
      </c>
      <c r="F286">
        <f>'Vendor Entry Sheet'!E288</f>
        <v>0</v>
      </c>
      <c r="H286" s="50">
        <f>'Vendor Entry Sheet'!F288</f>
        <v>0</v>
      </c>
      <c r="I286">
        <f>'Vendor Entry Sheet'!G288</f>
        <v>0</v>
      </c>
      <c r="K286" s="8">
        <v>1005</v>
      </c>
      <c r="L286">
        <f>'Vendor Entry Sheet'!H288</f>
        <v>0</v>
      </c>
      <c r="M286" s="8" t="s">
        <v>39</v>
      </c>
    </row>
    <row r="287" spans="1:13" x14ac:dyDescent="0.35">
      <c r="A287" s="6">
        <f>'Vendor Entry Sheet'!A289</f>
        <v>0</v>
      </c>
      <c r="B287" s="5">
        <f>'Vendor Entry Sheet'!C289</f>
        <v>0</v>
      </c>
      <c r="C287">
        <f>'Vendor Entry Sheet'!I289</f>
        <v>0</v>
      </c>
      <c r="D287" s="7">
        <f>'Vendor Entry Sheet'!J289</f>
        <v>0</v>
      </c>
      <c r="E287">
        <f>'Vendor Entry Sheet'!D289</f>
        <v>0</v>
      </c>
      <c r="F287">
        <f>'Vendor Entry Sheet'!E289</f>
        <v>0</v>
      </c>
      <c r="H287" s="50">
        <f>'Vendor Entry Sheet'!F289</f>
        <v>0</v>
      </c>
      <c r="I287">
        <f>'Vendor Entry Sheet'!G289</f>
        <v>0</v>
      </c>
      <c r="K287" s="8">
        <v>1005</v>
      </c>
      <c r="L287">
        <f>'Vendor Entry Sheet'!H289</f>
        <v>0</v>
      </c>
      <c r="M287" s="8" t="s">
        <v>39</v>
      </c>
    </row>
    <row r="288" spans="1:13" x14ac:dyDescent="0.35">
      <c r="A288" s="6">
        <f>'Vendor Entry Sheet'!A290</f>
        <v>0</v>
      </c>
      <c r="B288" s="5">
        <f>'Vendor Entry Sheet'!C290</f>
        <v>0</v>
      </c>
      <c r="C288">
        <f>'Vendor Entry Sheet'!I290</f>
        <v>0</v>
      </c>
      <c r="D288" s="7">
        <f>'Vendor Entry Sheet'!J290</f>
        <v>0</v>
      </c>
      <c r="E288">
        <f>'Vendor Entry Sheet'!D290</f>
        <v>0</v>
      </c>
      <c r="F288">
        <f>'Vendor Entry Sheet'!E290</f>
        <v>0</v>
      </c>
      <c r="H288" s="50">
        <f>'Vendor Entry Sheet'!F290</f>
        <v>0</v>
      </c>
      <c r="I288">
        <f>'Vendor Entry Sheet'!G290</f>
        <v>0</v>
      </c>
      <c r="K288" s="8">
        <v>1005</v>
      </c>
      <c r="L288">
        <f>'Vendor Entry Sheet'!H290</f>
        <v>0</v>
      </c>
      <c r="M288" s="8" t="s">
        <v>39</v>
      </c>
    </row>
    <row r="289" spans="1:13" x14ac:dyDescent="0.35">
      <c r="A289" s="6">
        <f>'Vendor Entry Sheet'!A291</f>
        <v>0</v>
      </c>
      <c r="B289" s="5">
        <f>'Vendor Entry Sheet'!C291</f>
        <v>0</v>
      </c>
      <c r="C289">
        <f>'Vendor Entry Sheet'!I291</f>
        <v>0</v>
      </c>
      <c r="D289" s="7">
        <f>'Vendor Entry Sheet'!J291</f>
        <v>0</v>
      </c>
      <c r="E289">
        <f>'Vendor Entry Sheet'!D291</f>
        <v>0</v>
      </c>
      <c r="F289">
        <f>'Vendor Entry Sheet'!E291</f>
        <v>0</v>
      </c>
      <c r="H289" s="50">
        <f>'Vendor Entry Sheet'!F291</f>
        <v>0</v>
      </c>
      <c r="I289">
        <f>'Vendor Entry Sheet'!G291</f>
        <v>0</v>
      </c>
      <c r="K289" s="8">
        <v>1005</v>
      </c>
      <c r="L289">
        <f>'Vendor Entry Sheet'!H291</f>
        <v>0</v>
      </c>
      <c r="M289" s="8" t="s">
        <v>39</v>
      </c>
    </row>
    <row r="290" spans="1:13" x14ac:dyDescent="0.35">
      <c r="A290" s="6">
        <f>'Vendor Entry Sheet'!A292</f>
        <v>0</v>
      </c>
      <c r="B290" s="5">
        <f>'Vendor Entry Sheet'!C292</f>
        <v>0</v>
      </c>
      <c r="C290">
        <f>'Vendor Entry Sheet'!I292</f>
        <v>0</v>
      </c>
      <c r="D290" s="7">
        <f>'Vendor Entry Sheet'!J292</f>
        <v>0</v>
      </c>
      <c r="E290">
        <f>'Vendor Entry Sheet'!D292</f>
        <v>0</v>
      </c>
      <c r="F290">
        <f>'Vendor Entry Sheet'!E292</f>
        <v>0</v>
      </c>
      <c r="H290" s="50">
        <f>'Vendor Entry Sheet'!F292</f>
        <v>0</v>
      </c>
      <c r="I290">
        <f>'Vendor Entry Sheet'!G292</f>
        <v>0</v>
      </c>
      <c r="K290" s="8">
        <v>1005</v>
      </c>
      <c r="L290">
        <f>'Vendor Entry Sheet'!H292</f>
        <v>0</v>
      </c>
      <c r="M290" s="8" t="s">
        <v>39</v>
      </c>
    </row>
    <row r="291" spans="1:13" x14ac:dyDescent="0.35">
      <c r="A291" s="6">
        <f>'Vendor Entry Sheet'!A293</f>
        <v>0</v>
      </c>
      <c r="B291" s="5">
        <f>'Vendor Entry Sheet'!C293</f>
        <v>0</v>
      </c>
      <c r="C291">
        <f>'Vendor Entry Sheet'!I293</f>
        <v>0</v>
      </c>
      <c r="D291" s="7">
        <f>'Vendor Entry Sheet'!J293</f>
        <v>0</v>
      </c>
      <c r="E291">
        <f>'Vendor Entry Sheet'!D293</f>
        <v>0</v>
      </c>
      <c r="F291">
        <f>'Vendor Entry Sheet'!E293</f>
        <v>0</v>
      </c>
      <c r="H291" s="50">
        <f>'Vendor Entry Sheet'!F293</f>
        <v>0</v>
      </c>
      <c r="I291">
        <f>'Vendor Entry Sheet'!G293</f>
        <v>0</v>
      </c>
      <c r="K291" s="8">
        <v>1005</v>
      </c>
      <c r="L291">
        <f>'Vendor Entry Sheet'!H293</f>
        <v>0</v>
      </c>
      <c r="M291" s="8" t="s">
        <v>39</v>
      </c>
    </row>
    <row r="292" spans="1:13" x14ac:dyDescent="0.35">
      <c r="A292" s="6">
        <f>'Vendor Entry Sheet'!A294</f>
        <v>0</v>
      </c>
      <c r="B292" s="5">
        <f>'Vendor Entry Sheet'!C294</f>
        <v>0</v>
      </c>
      <c r="C292">
        <f>'Vendor Entry Sheet'!I294</f>
        <v>0</v>
      </c>
      <c r="D292" s="7">
        <f>'Vendor Entry Sheet'!J294</f>
        <v>0</v>
      </c>
      <c r="E292">
        <f>'Vendor Entry Sheet'!D294</f>
        <v>0</v>
      </c>
      <c r="F292">
        <f>'Vendor Entry Sheet'!E294</f>
        <v>0</v>
      </c>
      <c r="H292" s="50">
        <f>'Vendor Entry Sheet'!F294</f>
        <v>0</v>
      </c>
      <c r="I292">
        <f>'Vendor Entry Sheet'!G294</f>
        <v>0</v>
      </c>
      <c r="K292" s="8">
        <v>1005</v>
      </c>
      <c r="L292">
        <f>'Vendor Entry Sheet'!H294</f>
        <v>0</v>
      </c>
      <c r="M292" s="8" t="s">
        <v>39</v>
      </c>
    </row>
    <row r="293" spans="1:13" x14ac:dyDescent="0.35">
      <c r="A293" s="6">
        <f>'Vendor Entry Sheet'!A295</f>
        <v>0</v>
      </c>
      <c r="B293" s="5">
        <f>'Vendor Entry Sheet'!C295</f>
        <v>0</v>
      </c>
      <c r="C293">
        <f>'Vendor Entry Sheet'!I295</f>
        <v>0</v>
      </c>
      <c r="D293" s="7">
        <f>'Vendor Entry Sheet'!J295</f>
        <v>0</v>
      </c>
      <c r="E293">
        <f>'Vendor Entry Sheet'!D295</f>
        <v>0</v>
      </c>
      <c r="F293">
        <f>'Vendor Entry Sheet'!E295</f>
        <v>0</v>
      </c>
      <c r="H293" s="50">
        <f>'Vendor Entry Sheet'!F295</f>
        <v>0</v>
      </c>
      <c r="I293">
        <f>'Vendor Entry Sheet'!G295</f>
        <v>0</v>
      </c>
      <c r="K293" s="8">
        <v>1005</v>
      </c>
      <c r="L293">
        <f>'Vendor Entry Sheet'!H295</f>
        <v>0</v>
      </c>
      <c r="M293" s="8" t="s">
        <v>39</v>
      </c>
    </row>
    <row r="294" spans="1:13" x14ac:dyDescent="0.35">
      <c r="A294" s="6">
        <f>'Vendor Entry Sheet'!A296</f>
        <v>0</v>
      </c>
      <c r="B294" s="5">
        <f>'Vendor Entry Sheet'!C296</f>
        <v>0</v>
      </c>
      <c r="C294">
        <f>'Vendor Entry Sheet'!I296</f>
        <v>0</v>
      </c>
      <c r="D294" s="7">
        <f>'Vendor Entry Sheet'!J296</f>
        <v>0</v>
      </c>
      <c r="E294">
        <f>'Vendor Entry Sheet'!D296</f>
        <v>0</v>
      </c>
      <c r="F294">
        <f>'Vendor Entry Sheet'!E296</f>
        <v>0</v>
      </c>
      <c r="H294" s="50">
        <f>'Vendor Entry Sheet'!F296</f>
        <v>0</v>
      </c>
      <c r="I294">
        <f>'Vendor Entry Sheet'!G296</f>
        <v>0</v>
      </c>
      <c r="K294" s="8">
        <v>1005</v>
      </c>
      <c r="L294">
        <f>'Vendor Entry Sheet'!H296</f>
        <v>0</v>
      </c>
      <c r="M294" s="8" t="s">
        <v>39</v>
      </c>
    </row>
    <row r="295" spans="1:13" x14ac:dyDescent="0.35">
      <c r="A295" s="6">
        <f>'Vendor Entry Sheet'!A297</f>
        <v>0</v>
      </c>
      <c r="B295" s="5">
        <f>'Vendor Entry Sheet'!C297</f>
        <v>0</v>
      </c>
      <c r="C295">
        <f>'Vendor Entry Sheet'!I297</f>
        <v>0</v>
      </c>
      <c r="D295" s="7">
        <f>'Vendor Entry Sheet'!J297</f>
        <v>0</v>
      </c>
      <c r="E295">
        <f>'Vendor Entry Sheet'!D297</f>
        <v>0</v>
      </c>
      <c r="F295">
        <f>'Vendor Entry Sheet'!E297</f>
        <v>0</v>
      </c>
      <c r="H295" s="50">
        <f>'Vendor Entry Sheet'!F297</f>
        <v>0</v>
      </c>
      <c r="I295">
        <f>'Vendor Entry Sheet'!G297</f>
        <v>0</v>
      </c>
      <c r="K295" s="8">
        <v>1005</v>
      </c>
      <c r="L295">
        <f>'Vendor Entry Sheet'!H297</f>
        <v>0</v>
      </c>
      <c r="M295" s="8" t="s">
        <v>39</v>
      </c>
    </row>
    <row r="296" spans="1:13" x14ac:dyDescent="0.35">
      <c r="A296" s="6">
        <f>'Vendor Entry Sheet'!A298</f>
        <v>0</v>
      </c>
      <c r="B296" s="5">
        <f>'Vendor Entry Sheet'!C298</f>
        <v>0</v>
      </c>
      <c r="C296">
        <f>'Vendor Entry Sheet'!I298</f>
        <v>0</v>
      </c>
      <c r="D296" s="7">
        <f>'Vendor Entry Sheet'!J298</f>
        <v>0</v>
      </c>
      <c r="E296">
        <f>'Vendor Entry Sheet'!D298</f>
        <v>0</v>
      </c>
      <c r="F296">
        <f>'Vendor Entry Sheet'!E298</f>
        <v>0</v>
      </c>
      <c r="H296" s="50">
        <f>'Vendor Entry Sheet'!F298</f>
        <v>0</v>
      </c>
      <c r="I296">
        <f>'Vendor Entry Sheet'!G298</f>
        <v>0</v>
      </c>
      <c r="K296" s="8">
        <v>1005</v>
      </c>
      <c r="L296">
        <f>'Vendor Entry Sheet'!H298</f>
        <v>0</v>
      </c>
      <c r="M296" s="8" t="s">
        <v>39</v>
      </c>
    </row>
    <row r="297" spans="1:13" x14ac:dyDescent="0.35">
      <c r="A297" s="6">
        <f>'Vendor Entry Sheet'!A299</f>
        <v>0</v>
      </c>
      <c r="B297" s="5">
        <f>'Vendor Entry Sheet'!C299</f>
        <v>0</v>
      </c>
      <c r="C297">
        <f>'Vendor Entry Sheet'!I299</f>
        <v>0</v>
      </c>
      <c r="D297" s="7">
        <f>'Vendor Entry Sheet'!J299</f>
        <v>0</v>
      </c>
      <c r="E297">
        <f>'Vendor Entry Sheet'!D299</f>
        <v>0</v>
      </c>
      <c r="F297">
        <f>'Vendor Entry Sheet'!E299</f>
        <v>0</v>
      </c>
      <c r="H297" s="50">
        <f>'Vendor Entry Sheet'!F299</f>
        <v>0</v>
      </c>
      <c r="I297">
        <f>'Vendor Entry Sheet'!G299</f>
        <v>0</v>
      </c>
      <c r="K297" s="8">
        <v>1005</v>
      </c>
      <c r="L297">
        <f>'Vendor Entry Sheet'!H299</f>
        <v>0</v>
      </c>
      <c r="M297" s="8" t="s">
        <v>39</v>
      </c>
    </row>
    <row r="298" spans="1:13" x14ac:dyDescent="0.35">
      <c r="A298" s="6">
        <f>'Vendor Entry Sheet'!A300</f>
        <v>0</v>
      </c>
      <c r="B298" s="5">
        <f>'Vendor Entry Sheet'!C300</f>
        <v>0</v>
      </c>
      <c r="C298">
        <f>'Vendor Entry Sheet'!I300</f>
        <v>0</v>
      </c>
      <c r="D298" s="7">
        <f>'Vendor Entry Sheet'!J300</f>
        <v>0</v>
      </c>
      <c r="E298">
        <f>'Vendor Entry Sheet'!D300</f>
        <v>0</v>
      </c>
      <c r="F298">
        <f>'Vendor Entry Sheet'!E300</f>
        <v>0</v>
      </c>
      <c r="H298" s="50">
        <f>'Vendor Entry Sheet'!F300</f>
        <v>0</v>
      </c>
      <c r="I298">
        <f>'Vendor Entry Sheet'!G300</f>
        <v>0</v>
      </c>
      <c r="K298" s="8">
        <v>1005</v>
      </c>
      <c r="L298">
        <f>'Vendor Entry Sheet'!H300</f>
        <v>0</v>
      </c>
      <c r="M298" s="8" t="s">
        <v>39</v>
      </c>
    </row>
    <row r="299" spans="1:13" x14ac:dyDescent="0.35">
      <c r="A299" s="6">
        <f>'Vendor Entry Sheet'!A301</f>
        <v>0</v>
      </c>
      <c r="B299" s="5">
        <f>'Vendor Entry Sheet'!C301</f>
        <v>0</v>
      </c>
      <c r="C299">
        <f>'Vendor Entry Sheet'!I301</f>
        <v>0</v>
      </c>
      <c r="D299" s="7">
        <f>'Vendor Entry Sheet'!J301</f>
        <v>0</v>
      </c>
      <c r="E299">
        <f>'Vendor Entry Sheet'!D301</f>
        <v>0</v>
      </c>
      <c r="F299">
        <f>'Vendor Entry Sheet'!E301</f>
        <v>0</v>
      </c>
      <c r="H299" s="50">
        <f>'Vendor Entry Sheet'!F301</f>
        <v>0</v>
      </c>
      <c r="I299">
        <f>'Vendor Entry Sheet'!G301</f>
        <v>0</v>
      </c>
      <c r="K299" s="8">
        <v>1005</v>
      </c>
      <c r="L299">
        <f>'Vendor Entry Sheet'!H301</f>
        <v>0</v>
      </c>
      <c r="M299" s="8" t="s">
        <v>39</v>
      </c>
    </row>
    <row r="300" spans="1:13" x14ac:dyDescent="0.35">
      <c r="A300" s="6">
        <f>'Vendor Entry Sheet'!A302</f>
        <v>0</v>
      </c>
      <c r="B300" s="5">
        <f>'Vendor Entry Sheet'!C302</f>
        <v>0</v>
      </c>
      <c r="C300">
        <f>'Vendor Entry Sheet'!I302</f>
        <v>0</v>
      </c>
      <c r="D300" s="7">
        <f>'Vendor Entry Sheet'!J302</f>
        <v>0</v>
      </c>
      <c r="E300">
        <f>'Vendor Entry Sheet'!D302</f>
        <v>0</v>
      </c>
      <c r="F300">
        <f>'Vendor Entry Sheet'!E302</f>
        <v>0</v>
      </c>
      <c r="H300" s="50">
        <f>'Vendor Entry Sheet'!F302</f>
        <v>0</v>
      </c>
      <c r="I300">
        <f>'Vendor Entry Sheet'!G302</f>
        <v>0</v>
      </c>
      <c r="K300" s="8">
        <v>1005</v>
      </c>
      <c r="L300">
        <f>'Vendor Entry Sheet'!H302</f>
        <v>0</v>
      </c>
      <c r="M300" s="8" t="s">
        <v>39</v>
      </c>
    </row>
    <row r="301" spans="1:13" x14ac:dyDescent="0.35">
      <c r="A301" s="6">
        <f>'Vendor Entry Sheet'!A303</f>
        <v>0</v>
      </c>
      <c r="B301" s="5">
        <f>'Vendor Entry Sheet'!C303</f>
        <v>0</v>
      </c>
      <c r="C301">
        <f>'Vendor Entry Sheet'!I303</f>
        <v>0</v>
      </c>
      <c r="D301" s="7">
        <f>'Vendor Entry Sheet'!J303</f>
        <v>0</v>
      </c>
      <c r="E301">
        <f>'Vendor Entry Sheet'!D303</f>
        <v>0</v>
      </c>
      <c r="F301">
        <f>'Vendor Entry Sheet'!E303</f>
        <v>0</v>
      </c>
      <c r="H301" s="50">
        <f>'Vendor Entry Sheet'!F303</f>
        <v>0</v>
      </c>
      <c r="I301">
        <f>'Vendor Entry Sheet'!G303</f>
        <v>0</v>
      </c>
      <c r="K301" s="8">
        <v>1005</v>
      </c>
      <c r="L301">
        <f>'Vendor Entry Sheet'!H303</f>
        <v>0</v>
      </c>
      <c r="M301" s="8" t="s">
        <v>39</v>
      </c>
    </row>
    <row r="302" spans="1:13" x14ac:dyDescent="0.35">
      <c r="A302" s="6">
        <f>'Vendor Entry Sheet'!A304</f>
        <v>0</v>
      </c>
      <c r="B302" s="5">
        <f>'Vendor Entry Sheet'!C304</f>
        <v>0</v>
      </c>
      <c r="C302">
        <f>'Vendor Entry Sheet'!I304</f>
        <v>0</v>
      </c>
      <c r="D302" s="7">
        <f>'Vendor Entry Sheet'!J304</f>
        <v>0</v>
      </c>
      <c r="E302">
        <f>'Vendor Entry Sheet'!D304</f>
        <v>0</v>
      </c>
      <c r="F302">
        <f>'Vendor Entry Sheet'!E304</f>
        <v>0</v>
      </c>
      <c r="H302" s="50">
        <f>'Vendor Entry Sheet'!F304</f>
        <v>0</v>
      </c>
      <c r="I302">
        <f>'Vendor Entry Sheet'!G304</f>
        <v>0</v>
      </c>
      <c r="K302" s="8">
        <v>1005</v>
      </c>
      <c r="L302">
        <f>'Vendor Entry Sheet'!H304</f>
        <v>0</v>
      </c>
      <c r="M302" s="8" t="s">
        <v>39</v>
      </c>
    </row>
    <row r="303" spans="1:13" x14ac:dyDescent="0.35">
      <c r="A303" s="6">
        <f>'Vendor Entry Sheet'!A305</f>
        <v>0</v>
      </c>
      <c r="B303" s="5">
        <f>'Vendor Entry Sheet'!C305</f>
        <v>0</v>
      </c>
      <c r="C303">
        <f>'Vendor Entry Sheet'!I305</f>
        <v>0</v>
      </c>
      <c r="D303" s="7">
        <f>'Vendor Entry Sheet'!J305</f>
        <v>0</v>
      </c>
      <c r="E303">
        <f>'Vendor Entry Sheet'!D305</f>
        <v>0</v>
      </c>
      <c r="F303">
        <f>'Vendor Entry Sheet'!E305</f>
        <v>0</v>
      </c>
      <c r="H303" s="50">
        <f>'Vendor Entry Sheet'!F305</f>
        <v>0</v>
      </c>
      <c r="I303">
        <f>'Vendor Entry Sheet'!G305</f>
        <v>0</v>
      </c>
      <c r="K303" s="8">
        <v>1005</v>
      </c>
      <c r="L303">
        <f>'Vendor Entry Sheet'!H305</f>
        <v>0</v>
      </c>
      <c r="M303" s="8" t="s">
        <v>39</v>
      </c>
    </row>
    <row r="304" spans="1:13" x14ac:dyDescent="0.35">
      <c r="A304" s="6">
        <f>'Vendor Entry Sheet'!A306</f>
        <v>0</v>
      </c>
      <c r="B304" s="5">
        <f>'Vendor Entry Sheet'!C306</f>
        <v>0</v>
      </c>
      <c r="C304">
        <f>'Vendor Entry Sheet'!I306</f>
        <v>0</v>
      </c>
      <c r="D304" s="7">
        <f>'Vendor Entry Sheet'!J306</f>
        <v>0</v>
      </c>
      <c r="E304">
        <f>'Vendor Entry Sheet'!D306</f>
        <v>0</v>
      </c>
      <c r="F304">
        <f>'Vendor Entry Sheet'!E306</f>
        <v>0</v>
      </c>
      <c r="H304" s="50">
        <f>'Vendor Entry Sheet'!F306</f>
        <v>0</v>
      </c>
      <c r="I304">
        <f>'Vendor Entry Sheet'!G306</f>
        <v>0</v>
      </c>
      <c r="K304" s="8">
        <v>1005</v>
      </c>
      <c r="L304">
        <f>'Vendor Entry Sheet'!H306</f>
        <v>0</v>
      </c>
      <c r="M304" s="8" t="s">
        <v>39</v>
      </c>
    </row>
    <row r="305" spans="1:13" x14ac:dyDescent="0.35">
      <c r="A305" s="6">
        <f>'Vendor Entry Sheet'!A307</f>
        <v>0</v>
      </c>
      <c r="B305" s="5">
        <f>'Vendor Entry Sheet'!C307</f>
        <v>0</v>
      </c>
      <c r="C305">
        <f>'Vendor Entry Sheet'!I307</f>
        <v>0</v>
      </c>
      <c r="D305" s="7">
        <f>'Vendor Entry Sheet'!J307</f>
        <v>0</v>
      </c>
      <c r="E305">
        <f>'Vendor Entry Sheet'!D307</f>
        <v>0</v>
      </c>
      <c r="F305">
        <f>'Vendor Entry Sheet'!E307</f>
        <v>0</v>
      </c>
      <c r="H305" s="50">
        <f>'Vendor Entry Sheet'!F307</f>
        <v>0</v>
      </c>
      <c r="I305">
        <f>'Vendor Entry Sheet'!G307</f>
        <v>0</v>
      </c>
      <c r="K305" s="8">
        <v>1005</v>
      </c>
      <c r="L305">
        <f>'Vendor Entry Sheet'!H307</f>
        <v>0</v>
      </c>
      <c r="M305" s="8" t="s">
        <v>39</v>
      </c>
    </row>
    <row r="306" spans="1:13" x14ac:dyDescent="0.35">
      <c r="A306" s="6">
        <f>'Vendor Entry Sheet'!A308</f>
        <v>0</v>
      </c>
      <c r="B306" s="5">
        <f>'Vendor Entry Sheet'!C308</f>
        <v>0</v>
      </c>
      <c r="C306">
        <f>'Vendor Entry Sheet'!I308</f>
        <v>0</v>
      </c>
      <c r="D306" s="7">
        <f>'Vendor Entry Sheet'!J308</f>
        <v>0</v>
      </c>
      <c r="E306">
        <f>'Vendor Entry Sheet'!D308</f>
        <v>0</v>
      </c>
      <c r="F306">
        <f>'Vendor Entry Sheet'!E308</f>
        <v>0</v>
      </c>
      <c r="H306" s="50">
        <f>'Vendor Entry Sheet'!F308</f>
        <v>0</v>
      </c>
      <c r="I306">
        <f>'Vendor Entry Sheet'!G308</f>
        <v>0</v>
      </c>
      <c r="K306" s="8">
        <v>1005</v>
      </c>
      <c r="L306">
        <f>'Vendor Entry Sheet'!H308</f>
        <v>0</v>
      </c>
      <c r="M306" s="8" t="s">
        <v>39</v>
      </c>
    </row>
    <row r="307" spans="1:13" x14ac:dyDescent="0.35">
      <c r="A307" s="6">
        <f>'Vendor Entry Sheet'!A309</f>
        <v>0</v>
      </c>
      <c r="B307" s="5">
        <f>'Vendor Entry Sheet'!C309</f>
        <v>0</v>
      </c>
      <c r="C307">
        <f>'Vendor Entry Sheet'!I309</f>
        <v>0</v>
      </c>
      <c r="D307" s="7">
        <f>'Vendor Entry Sheet'!J309</f>
        <v>0</v>
      </c>
      <c r="E307">
        <f>'Vendor Entry Sheet'!D309</f>
        <v>0</v>
      </c>
      <c r="F307">
        <f>'Vendor Entry Sheet'!E309</f>
        <v>0</v>
      </c>
      <c r="H307" s="50">
        <f>'Vendor Entry Sheet'!F309</f>
        <v>0</v>
      </c>
      <c r="I307">
        <f>'Vendor Entry Sheet'!G309</f>
        <v>0</v>
      </c>
      <c r="K307" s="8">
        <v>1005</v>
      </c>
      <c r="L307">
        <f>'Vendor Entry Sheet'!H309</f>
        <v>0</v>
      </c>
      <c r="M307" s="8" t="s">
        <v>39</v>
      </c>
    </row>
    <row r="308" spans="1:13" x14ac:dyDescent="0.35">
      <c r="A308" s="6">
        <f>'Vendor Entry Sheet'!A310</f>
        <v>0</v>
      </c>
      <c r="B308" s="5">
        <f>'Vendor Entry Sheet'!C310</f>
        <v>0</v>
      </c>
      <c r="C308">
        <f>'Vendor Entry Sheet'!I310</f>
        <v>0</v>
      </c>
      <c r="D308" s="7">
        <f>'Vendor Entry Sheet'!J310</f>
        <v>0</v>
      </c>
      <c r="E308">
        <f>'Vendor Entry Sheet'!D310</f>
        <v>0</v>
      </c>
      <c r="F308">
        <f>'Vendor Entry Sheet'!E310</f>
        <v>0</v>
      </c>
      <c r="H308" s="50">
        <f>'Vendor Entry Sheet'!F310</f>
        <v>0</v>
      </c>
      <c r="I308">
        <f>'Vendor Entry Sheet'!G310</f>
        <v>0</v>
      </c>
      <c r="K308" s="8">
        <v>1005</v>
      </c>
      <c r="L308">
        <f>'Vendor Entry Sheet'!H310</f>
        <v>0</v>
      </c>
      <c r="M308" s="8" t="s">
        <v>39</v>
      </c>
    </row>
    <row r="309" spans="1:13" x14ac:dyDescent="0.35">
      <c r="A309" s="6">
        <f>'Vendor Entry Sheet'!A311</f>
        <v>0</v>
      </c>
      <c r="B309" s="5">
        <f>'Vendor Entry Sheet'!C311</f>
        <v>0</v>
      </c>
      <c r="C309">
        <f>'Vendor Entry Sheet'!I311</f>
        <v>0</v>
      </c>
      <c r="D309" s="7">
        <f>'Vendor Entry Sheet'!J311</f>
        <v>0</v>
      </c>
      <c r="E309">
        <f>'Vendor Entry Sheet'!D311</f>
        <v>0</v>
      </c>
      <c r="F309">
        <f>'Vendor Entry Sheet'!E311</f>
        <v>0</v>
      </c>
      <c r="H309" s="50">
        <f>'Vendor Entry Sheet'!F311</f>
        <v>0</v>
      </c>
      <c r="I309">
        <f>'Vendor Entry Sheet'!G311</f>
        <v>0</v>
      </c>
      <c r="K309" s="8">
        <v>1005</v>
      </c>
      <c r="L309">
        <f>'Vendor Entry Sheet'!H311</f>
        <v>0</v>
      </c>
      <c r="M309" s="8" t="s">
        <v>39</v>
      </c>
    </row>
    <row r="310" spans="1:13" x14ac:dyDescent="0.35">
      <c r="A310" s="6">
        <f>'Vendor Entry Sheet'!A312</f>
        <v>0</v>
      </c>
      <c r="B310" s="5">
        <f>'Vendor Entry Sheet'!C312</f>
        <v>0</v>
      </c>
      <c r="C310">
        <f>'Vendor Entry Sheet'!I312</f>
        <v>0</v>
      </c>
      <c r="D310" s="7">
        <f>'Vendor Entry Sheet'!J312</f>
        <v>0</v>
      </c>
      <c r="E310">
        <f>'Vendor Entry Sheet'!D312</f>
        <v>0</v>
      </c>
      <c r="F310">
        <f>'Vendor Entry Sheet'!E312</f>
        <v>0</v>
      </c>
      <c r="H310" s="50">
        <f>'Vendor Entry Sheet'!F312</f>
        <v>0</v>
      </c>
      <c r="I310">
        <f>'Vendor Entry Sheet'!G312</f>
        <v>0</v>
      </c>
      <c r="K310" s="8">
        <v>1005</v>
      </c>
      <c r="L310">
        <f>'Vendor Entry Sheet'!H312</f>
        <v>0</v>
      </c>
      <c r="M310" s="8" t="s">
        <v>39</v>
      </c>
    </row>
    <row r="311" spans="1:13" x14ac:dyDescent="0.35">
      <c r="A311" s="6">
        <f>'Vendor Entry Sheet'!A313</f>
        <v>0</v>
      </c>
      <c r="B311" s="5">
        <f>'Vendor Entry Sheet'!C313</f>
        <v>0</v>
      </c>
      <c r="C311">
        <f>'Vendor Entry Sheet'!I313</f>
        <v>0</v>
      </c>
      <c r="D311" s="7">
        <f>'Vendor Entry Sheet'!J313</f>
        <v>0</v>
      </c>
      <c r="E311">
        <f>'Vendor Entry Sheet'!D313</f>
        <v>0</v>
      </c>
      <c r="F311">
        <f>'Vendor Entry Sheet'!E313</f>
        <v>0</v>
      </c>
      <c r="H311" s="50">
        <f>'Vendor Entry Sheet'!F313</f>
        <v>0</v>
      </c>
      <c r="I311">
        <f>'Vendor Entry Sheet'!G313</f>
        <v>0</v>
      </c>
      <c r="K311" s="8">
        <v>1005</v>
      </c>
      <c r="L311">
        <f>'Vendor Entry Sheet'!H313</f>
        <v>0</v>
      </c>
      <c r="M311" s="8" t="s">
        <v>39</v>
      </c>
    </row>
    <row r="312" spans="1:13" x14ac:dyDescent="0.35">
      <c r="A312" s="6">
        <f>'Vendor Entry Sheet'!A314</f>
        <v>0</v>
      </c>
      <c r="B312" s="5">
        <f>'Vendor Entry Sheet'!C314</f>
        <v>0</v>
      </c>
      <c r="C312">
        <f>'Vendor Entry Sheet'!I314</f>
        <v>0</v>
      </c>
      <c r="D312" s="7">
        <f>'Vendor Entry Sheet'!J314</f>
        <v>0</v>
      </c>
      <c r="E312">
        <f>'Vendor Entry Sheet'!D314</f>
        <v>0</v>
      </c>
      <c r="F312">
        <f>'Vendor Entry Sheet'!E314</f>
        <v>0</v>
      </c>
      <c r="H312" s="50">
        <f>'Vendor Entry Sheet'!F314</f>
        <v>0</v>
      </c>
      <c r="I312">
        <f>'Vendor Entry Sheet'!G314</f>
        <v>0</v>
      </c>
      <c r="K312" s="8">
        <v>1005</v>
      </c>
      <c r="L312">
        <f>'Vendor Entry Sheet'!H314</f>
        <v>0</v>
      </c>
      <c r="M312" s="8" t="s">
        <v>39</v>
      </c>
    </row>
    <row r="313" spans="1:13" x14ac:dyDescent="0.35">
      <c r="A313" s="6">
        <f>'Vendor Entry Sheet'!A315</f>
        <v>0</v>
      </c>
      <c r="B313" s="5">
        <f>'Vendor Entry Sheet'!C315</f>
        <v>0</v>
      </c>
      <c r="C313">
        <f>'Vendor Entry Sheet'!I315</f>
        <v>0</v>
      </c>
      <c r="D313" s="7">
        <f>'Vendor Entry Sheet'!J315</f>
        <v>0</v>
      </c>
      <c r="E313">
        <f>'Vendor Entry Sheet'!D315</f>
        <v>0</v>
      </c>
      <c r="F313">
        <f>'Vendor Entry Sheet'!E315</f>
        <v>0</v>
      </c>
      <c r="H313" s="50">
        <f>'Vendor Entry Sheet'!F315</f>
        <v>0</v>
      </c>
      <c r="I313">
        <f>'Vendor Entry Sheet'!G315</f>
        <v>0</v>
      </c>
      <c r="K313" s="8">
        <v>1005</v>
      </c>
      <c r="L313">
        <f>'Vendor Entry Sheet'!H315</f>
        <v>0</v>
      </c>
      <c r="M313" s="8" t="s">
        <v>39</v>
      </c>
    </row>
    <row r="314" spans="1:13" x14ac:dyDescent="0.35">
      <c r="A314" s="6">
        <f>'Vendor Entry Sheet'!A316</f>
        <v>0</v>
      </c>
      <c r="B314" s="5">
        <f>'Vendor Entry Sheet'!C316</f>
        <v>0</v>
      </c>
      <c r="C314">
        <f>'Vendor Entry Sheet'!I316</f>
        <v>0</v>
      </c>
      <c r="D314" s="7">
        <f>'Vendor Entry Sheet'!J316</f>
        <v>0</v>
      </c>
      <c r="E314">
        <f>'Vendor Entry Sheet'!D316</f>
        <v>0</v>
      </c>
      <c r="F314">
        <f>'Vendor Entry Sheet'!E316</f>
        <v>0</v>
      </c>
      <c r="H314" s="50">
        <f>'Vendor Entry Sheet'!F316</f>
        <v>0</v>
      </c>
      <c r="I314">
        <f>'Vendor Entry Sheet'!G316</f>
        <v>0</v>
      </c>
      <c r="K314" s="8">
        <v>1005</v>
      </c>
      <c r="L314">
        <f>'Vendor Entry Sheet'!H316</f>
        <v>0</v>
      </c>
      <c r="M314" s="8" t="s">
        <v>39</v>
      </c>
    </row>
    <row r="315" spans="1:13" x14ac:dyDescent="0.35">
      <c r="A315" s="6">
        <f>'Vendor Entry Sheet'!A317</f>
        <v>0</v>
      </c>
      <c r="B315" s="5">
        <f>'Vendor Entry Sheet'!C317</f>
        <v>0</v>
      </c>
      <c r="C315">
        <f>'Vendor Entry Sheet'!I317</f>
        <v>0</v>
      </c>
      <c r="D315" s="7">
        <f>'Vendor Entry Sheet'!J317</f>
        <v>0</v>
      </c>
      <c r="E315">
        <f>'Vendor Entry Sheet'!D317</f>
        <v>0</v>
      </c>
      <c r="F315">
        <f>'Vendor Entry Sheet'!E317</f>
        <v>0</v>
      </c>
      <c r="H315" s="50">
        <f>'Vendor Entry Sheet'!F317</f>
        <v>0</v>
      </c>
      <c r="I315">
        <f>'Vendor Entry Sheet'!G317</f>
        <v>0</v>
      </c>
      <c r="K315" s="8">
        <v>1005</v>
      </c>
      <c r="L315">
        <f>'Vendor Entry Sheet'!H317</f>
        <v>0</v>
      </c>
      <c r="M315" s="8" t="s">
        <v>39</v>
      </c>
    </row>
    <row r="316" spans="1:13" x14ac:dyDescent="0.35">
      <c r="A316" s="6">
        <f>'Vendor Entry Sheet'!A318</f>
        <v>0</v>
      </c>
      <c r="B316" s="5">
        <f>'Vendor Entry Sheet'!C318</f>
        <v>0</v>
      </c>
      <c r="C316">
        <f>'Vendor Entry Sheet'!I318</f>
        <v>0</v>
      </c>
      <c r="D316" s="7">
        <f>'Vendor Entry Sheet'!J318</f>
        <v>0</v>
      </c>
      <c r="E316">
        <f>'Vendor Entry Sheet'!D318</f>
        <v>0</v>
      </c>
      <c r="F316">
        <f>'Vendor Entry Sheet'!E318</f>
        <v>0</v>
      </c>
      <c r="H316" s="50">
        <f>'Vendor Entry Sheet'!F318</f>
        <v>0</v>
      </c>
      <c r="I316">
        <f>'Vendor Entry Sheet'!G318</f>
        <v>0</v>
      </c>
      <c r="K316" s="8">
        <v>1005</v>
      </c>
      <c r="L316">
        <f>'Vendor Entry Sheet'!H318</f>
        <v>0</v>
      </c>
      <c r="M316" s="8" t="s">
        <v>39</v>
      </c>
    </row>
    <row r="317" spans="1:13" x14ac:dyDescent="0.35">
      <c r="A317" s="6">
        <f>'Vendor Entry Sheet'!A319</f>
        <v>0</v>
      </c>
      <c r="B317" s="5">
        <f>'Vendor Entry Sheet'!C319</f>
        <v>0</v>
      </c>
      <c r="C317">
        <f>'Vendor Entry Sheet'!I319</f>
        <v>0</v>
      </c>
      <c r="D317" s="7">
        <f>'Vendor Entry Sheet'!J319</f>
        <v>0</v>
      </c>
      <c r="E317">
        <f>'Vendor Entry Sheet'!D319</f>
        <v>0</v>
      </c>
      <c r="F317">
        <f>'Vendor Entry Sheet'!E319</f>
        <v>0</v>
      </c>
      <c r="H317" s="50">
        <f>'Vendor Entry Sheet'!F319</f>
        <v>0</v>
      </c>
      <c r="I317">
        <f>'Vendor Entry Sheet'!G319</f>
        <v>0</v>
      </c>
      <c r="K317" s="8">
        <v>1005</v>
      </c>
      <c r="L317">
        <f>'Vendor Entry Sheet'!H319</f>
        <v>0</v>
      </c>
      <c r="M317" s="8" t="s">
        <v>39</v>
      </c>
    </row>
    <row r="318" spans="1:13" x14ac:dyDescent="0.35">
      <c r="A318" s="6">
        <f>'Vendor Entry Sheet'!A320</f>
        <v>0</v>
      </c>
      <c r="B318" s="5">
        <f>'Vendor Entry Sheet'!C320</f>
        <v>0</v>
      </c>
      <c r="C318">
        <f>'Vendor Entry Sheet'!I320</f>
        <v>0</v>
      </c>
      <c r="D318" s="7">
        <f>'Vendor Entry Sheet'!J320</f>
        <v>0</v>
      </c>
      <c r="E318">
        <f>'Vendor Entry Sheet'!D320</f>
        <v>0</v>
      </c>
      <c r="F318">
        <f>'Vendor Entry Sheet'!E320</f>
        <v>0</v>
      </c>
      <c r="H318" s="50">
        <f>'Vendor Entry Sheet'!F320</f>
        <v>0</v>
      </c>
      <c r="I318">
        <f>'Vendor Entry Sheet'!G320</f>
        <v>0</v>
      </c>
      <c r="K318" s="8">
        <v>1005</v>
      </c>
      <c r="L318">
        <f>'Vendor Entry Sheet'!H320</f>
        <v>0</v>
      </c>
      <c r="M318" s="8" t="s">
        <v>39</v>
      </c>
    </row>
    <row r="319" spans="1:13" x14ac:dyDescent="0.35">
      <c r="A319" s="6">
        <f>'Vendor Entry Sheet'!A321</f>
        <v>0</v>
      </c>
      <c r="B319" s="5">
        <f>'Vendor Entry Sheet'!C321</f>
        <v>0</v>
      </c>
      <c r="C319">
        <f>'Vendor Entry Sheet'!I321</f>
        <v>0</v>
      </c>
      <c r="D319" s="7">
        <f>'Vendor Entry Sheet'!J321</f>
        <v>0</v>
      </c>
      <c r="E319">
        <f>'Vendor Entry Sheet'!D321</f>
        <v>0</v>
      </c>
      <c r="F319">
        <f>'Vendor Entry Sheet'!E321</f>
        <v>0</v>
      </c>
      <c r="H319" s="50">
        <f>'Vendor Entry Sheet'!F321</f>
        <v>0</v>
      </c>
      <c r="I319">
        <f>'Vendor Entry Sheet'!G321</f>
        <v>0</v>
      </c>
      <c r="K319" s="8">
        <v>1005</v>
      </c>
      <c r="L319">
        <f>'Vendor Entry Sheet'!H321</f>
        <v>0</v>
      </c>
      <c r="M319" s="8" t="s">
        <v>39</v>
      </c>
    </row>
    <row r="320" spans="1:13" x14ac:dyDescent="0.35">
      <c r="A320" s="6">
        <f>'Vendor Entry Sheet'!A322</f>
        <v>0</v>
      </c>
      <c r="B320" s="5">
        <f>'Vendor Entry Sheet'!C322</f>
        <v>0</v>
      </c>
      <c r="C320">
        <f>'Vendor Entry Sheet'!I322</f>
        <v>0</v>
      </c>
      <c r="D320" s="7">
        <f>'Vendor Entry Sheet'!J322</f>
        <v>0</v>
      </c>
      <c r="E320">
        <f>'Vendor Entry Sheet'!D322</f>
        <v>0</v>
      </c>
      <c r="F320">
        <f>'Vendor Entry Sheet'!E322</f>
        <v>0</v>
      </c>
      <c r="H320" s="50">
        <f>'Vendor Entry Sheet'!F322</f>
        <v>0</v>
      </c>
      <c r="I320">
        <f>'Vendor Entry Sheet'!G322</f>
        <v>0</v>
      </c>
      <c r="K320" s="8">
        <v>1005</v>
      </c>
      <c r="L320">
        <f>'Vendor Entry Sheet'!H322</f>
        <v>0</v>
      </c>
      <c r="M320" s="8" t="s">
        <v>39</v>
      </c>
    </row>
    <row r="321" spans="1:13" x14ac:dyDescent="0.35">
      <c r="A321" s="6">
        <f>'Vendor Entry Sheet'!A323</f>
        <v>0</v>
      </c>
      <c r="B321" s="5">
        <f>'Vendor Entry Sheet'!C323</f>
        <v>0</v>
      </c>
      <c r="C321">
        <f>'Vendor Entry Sheet'!I323</f>
        <v>0</v>
      </c>
      <c r="D321" s="7">
        <f>'Vendor Entry Sheet'!J323</f>
        <v>0</v>
      </c>
      <c r="E321">
        <f>'Vendor Entry Sheet'!D323</f>
        <v>0</v>
      </c>
      <c r="F321">
        <f>'Vendor Entry Sheet'!E323</f>
        <v>0</v>
      </c>
      <c r="H321" s="50">
        <f>'Vendor Entry Sheet'!F323</f>
        <v>0</v>
      </c>
      <c r="I321">
        <f>'Vendor Entry Sheet'!G323</f>
        <v>0</v>
      </c>
      <c r="K321" s="8">
        <v>1005</v>
      </c>
      <c r="L321">
        <f>'Vendor Entry Sheet'!H323</f>
        <v>0</v>
      </c>
      <c r="M321" s="8" t="s">
        <v>39</v>
      </c>
    </row>
    <row r="322" spans="1:13" x14ac:dyDescent="0.35">
      <c r="A322" s="6">
        <f>'Vendor Entry Sheet'!A324</f>
        <v>0</v>
      </c>
      <c r="B322" s="5">
        <f>'Vendor Entry Sheet'!C324</f>
        <v>0</v>
      </c>
      <c r="C322">
        <f>'Vendor Entry Sheet'!I324</f>
        <v>0</v>
      </c>
      <c r="D322" s="7">
        <f>'Vendor Entry Sheet'!J324</f>
        <v>0</v>
      </c>
      <c r="E322">
        <f>'Vendor Entry Sheet'!D324</f>
        <v>0</v>
      </c>
      <c r="F322">
        <f>'Vendor Entry Sheet'!E324</f>
        <v>0</v>
      </c>
      <c r="H322" s="50">
        <f>'Vendor Entry Sheet'!F324</f>
        <v>0</v>
      </c>
      <c r="I322">
        <f>'Vendor Entry Sheet'!G324</f>
        <v>0</v>
      </c>
      <c r="K322" s="8">
        <v>1005</v>
      </c>
      <c r="L322">
        <f>'Vendor Entry Sheet'!H324</f>
        <v>0</v>
      </c>
      <c r="M322" s="8" t="s">
        <v>39</v>
      </c>
    </row>
    <row r="323" spans="1:13" x14ac:dyDescent="0.35">
      <c r="A323" s="6">
        <f>'Vendor Entry Sheet'!A325</f>
        <v>0</v>
      </c>
      <c r="B323" s="5">
        <f>'Vendor Entry Sheet'!C325</f>
        <v>0</v>
      </c>
      <c r="C323">
        <f>'Vendor Entry Sheet'!I325</f>
        <v>0</v>
      </c>
      <c r="D323" s="7">
        <f>'Vendor Entry Sheet'!J325</f>
        <v>0</v>
      </c>
      <c r="E323">
        <f>'Vendor Entry Sheet'!D325</f>
        <v>0</v>
      </c>
      <c r="F323">
        <f>'Vendor Entry Sheet'!E325</f>
        <v>0</v>
      </c>
      <c r="H323" s="50">
        <f>'Vendor Entry Sheet'!F325</f>
        <v>0</v>
      </c>
      <c r="I323">
        <f>'Vendor Entry Sheet'!G325</f>
        <v>0</v>
      </c>
      <c r="K323" s="8">
        <v>1005</v>
      </c>
      <c r="L323">
        <f>'Vendor Entry Sheet'!H325</f>
        <v>0</v>
      </c>
      <c r="M323" s="8" t="s">
        <v>39</v>
      </c>
    </row>
    <row r="324" spans="1:13" x14ac:dyDescent="0.35">
      <c r="A324" s="6">
        <f>'Vendor Entry Sheet'!A326</f>
        <v>0</v>
      </c>
      <c r="B324" s="5">
        <f>'Vendor Entry Sheet'!C326</f>
        <v>0</v>
      </c>
      <c r="C324">
        <f>'Vendor Entry Sheet'!I326</f>
        <v>0</v>
      </c>
      <c r="D324" s="7">
        <f>'Vendor Entry Sheet'!J326</f>
        <v>0</v>
      </c>
      <c r="E324">
        <f>'Vendor Entry Sheet'!D326</f>
        <v>0</v>
      </c>
      <c r="F324">
        <f>'Vendor Entry Sheet'!E326</f>
        <v>0</v>
      </c>
      <c r="H324" s="50">
        <f>'Vendor Entry Sheet'!F326</f>
        <v>0</v>
      </c>
      <c r="I324">
        <f>'Vendor Entry Sheet'!G326</f>
        <v>0</v>
      </c>
      <c r="K324" s="8">
        <v>1005</v>
      </c>
      <c r="L324">
        <f>'Vendor Entry Sheet'!H326</f>
        <v>0</v>
      </c>
      <c r="M324" s="8" t="s">
        <v>39</v>
      </c>
    </row>
    <row r="325" spans="1:13" x14ac:dyDescent="0.35">
      <c r="A325" s="6">
        <f>'Vendor Entry Sheet'!A327</f>
        <v>0</v>
      </c>
      <c r="B325" s="5">
        <f>'Vendor Entry Sheet'!C327</f>
        <v>0</v>
      </c>
      <c r="C325">
        <f>'Vendor Entry Sheet'!I327</f>
        <v>0</v>
      </c>
      <c r="D325" s="7">
        <f>'Vendor Entry Sheet'!J327</f>
        <v>0</v>
      </c>
      <c r="E325">
        <f>'Vendor Entry Sheet'!D327</f>
        <v>0</v>
      </c>
      <c r="F325">
        <f>'Vendor Entry Sheet'!E327</f>
        <v>0</v>
      </c>
      <c r="H325" s="50">
        <f>'Vendor Entry Sheet'!F327</f>
        <v>0</v>
      </c>
      <c r="I325">
        <f>'Vendor Entry Sheet'!G327</f>
        <v>0</v>
      </c>
      <c r="K325" s="8">
        <v>1005</v>
      </c>
      <c r="L325">
        <f>'Vendor Entry Sheet'!H327</f>
        <v>0</v>
      </c>
      <c r="M325" s="8" t="s">
        <v>39</v>
      </c>
    </row>
    <row r="326" spans="1:13" x14ac:dyDescent="0.35">
      <c r="A326" s="6">
        <f>'Vendor Entry Sheet'!A328</f>
        <v>0</v>
      </c>
      <c r="B326" s="5">
        <f>'Vendor Entry Sheet'!C328</f>
        <v>0</v>
      </c>
      <c r="C326">
        <f>'Vendor Entry Sheet'!I328</f>
        <v>0</v>
      </c>
      <c r="D326" s="7">
        <f>'Vendor Entry Sheet'!J328</f>
        <v>0</v>
      </c>
      <c r="E326">
        <f>'Vendor Entry Sheet'!D328</f>
        <v>0</v>
      </c>
      <c r="F326">
        <f>'Vendor Entry Sheet'!E328</f>
        <v>0</v>
      </c>
      <c r="H326" s="50">
        <f>'Vendor Entry Sheet'!F328</f>
        <v>0</v>
      </c>
      <c r="I326">
        <f>'Vendor Entry Sheet'!G328</f>
        <v>0</v>
      </c>
      <c r="K326" s="8">
        <v>1005</v>
      </c>
      <c r="L326">
        <f>'Vendor Entry Sheet'!H328</f>
        <v>0</v>
      </c>
      <c r="M326" s="8" t="s">
        <v>39</v>
      </c>
    </row>
    <row r="327" spans="1:13" x14ac:dyDescent="0.35">
      <c r="A327" s="6">
        <f>'Vendor Entry Sheet'!A329</f>
        <v>0</v>
      </c>
      <c r="B327" s="5">
        <f>'Vendor Entry Sheet'!C329</f>
        <v>0</v>
      </c>
      <c r="C327">
        <f>'Vendor Entry Sheet'!I329</f>
        <v>0</v>
      </c>
      <c r="D327" s="7">
        <f>'Vendor Entry Sheet'!J329</f>
        <v>0</v>
      </c>
      <c r="E327">
        <f>'Vendor Entry Sheet'!D329</f>
        <v>0</v>
      </c>
      <c r="F327">
        <f>'Vendor Entry Sheet'!E329</f>
        <v>0</v>
      </c>
      <c r="H327" s="50">
        <f>'Vendor Entry Sheet'!F329</f>
        <v>0</v>
      </c>
      <c r="I327">
        <f>'Vendor Entry Sheet'!G329</f>
        <v>0</v>
      </c>
      <c r="K327" s="8">
        <v>1005</v>
      </c>
      <c r="L327">
        <f>'Vendor Entry Sheet'!H329</f>
        <v>0</v>
      </c>
      <c r="M327" s="8" t="s">
        <v>39</v>
      </c>
    </row>
    <row r="328" spans="1:13" x14ac:dyDescent="0.35">
      <c r="A328" s="6">
        <f>'Vendor Entry Sheet'!A330</f>
        <v>0</v>
      </c>
      <c r="B328" s="5">
        <f>'Vendor Entry Sheet'!C330</f>
        <v>0</v>
      </c>
      <c r="C328">
        <f>'Vendor Entry Sheet'!I330</f>
        <v>0</v>
      </c>
      <c r="D328" s="7">
        <f>'Vendor Entry Sheet'!J330</f>
        <v>0</v>
      </c>
      <c r="E328">
        <f>'Vendor Entry Sheet'!D330</f>
        <v>0</v>
      </c>
      <c r="F328">
        <f>'Vendor Entry Sheet'!E330</f>
        <v>0</v>
      </c>
      <c r="H328" s="50">
        <f>'Vendor Entry Sheet'!F330</f>
        <v>0</v>
      </c>
      <c r="I328">
        <f>'Vendor Entry Sheet'!G330</f>
        <v>0</v>
      </c>
      <c r="K328" s="8">
        <v>1005</v>
      </c>
      <c r="L328">
        <f>'Vendor Entry Sheet'!H330</f>
        <v>0</v>
      </c>
      <c r="M328" s="8" t="s">
        <v>39</v>
      </c>
    </row>
    <row r="329" spans="1:13" x14ac:dyDescent="0.35">
      <c r="A329" s="6">
        <f>'Vendor Entry Sheet'!A331</f>
        <v>0</v>
      </c>
      <c r="B329" s="5">
        <f>'Vendor Entry Sheet'!C331</f>
        <v>0</v>
      </c>
      <c r="C329">
        <f>'Vendor Entry Sheet'!I331</f>
        <v>0</v>
      </c>
      <c r="D329" s="7">
        <f>'Vendor Entry Sheet'!J331</f>
        <v>0</v>
      </c>
      <c r="E329">
        <f>'Vendor Entry Sheet'!D331</f>
        <v>0</v>
      </c>
      <c r="F329">
        <f>'Vendor Entry Sheet'!E331</f>
        <v>0</v>
      </c>
      <c r="H329" s="50">
        <f>'Vendor Entry Sheet'!F331</f>
        <v>0</v>
      </c>
      <c r="I329">
        <f>'Vendor Entry Sheet'!G331</f>
        <v>0</v>
      </c>
      <c r="K329" s="8">
        <v>1005</v>
      </c>
      <c r="L329">
        <f>'Vendor Entry Sheet'!H331</f>
        <v>0</v>
      </c>
      <c r="M329" s="8" t="s">
        <v>39</v>
      </c>
    </row>
    <row r="330" spans="1:13" x14ac:dyDescent="0.35">
      <c r="A330" s="6">
        <f>'Vendor Entry Sheet'!A332</f>
        <v>0</v>
      </c>
      <c r="B330" s="5">
        <f>'Vendor Entry Sheet'!C332</f>
        <v>0</v>
      </c>
      <c r="C330">
        <f>'Vendor Entry Sheet'!I332</f>
        <v>0</v>
      </c>
      <c r="D330" s="7">
        <f>'Vendor Entry Sheet'!J332</f>
        <v>0</v>
      </c>
      <c r="E330">
        <f>'Vendor Entry Sheet'!D332</f>
        <v>0</v>
      </c>
      <c r="F330">
        <f>'Vendor Entry Sheet'!E332</f>
        <v>0</v>
      </c>
      <c r="H330" s="50">
        <f>'Vendor Entry Sheet'!F332</f>
        <v>0</v>
      </c>
      <c r="I330">
        <f>'Vendor Entry Sheet'!G332</f>
        <v>0</v>
      </c>
      <c r="K330" s="8">
        <v>1005</v>
      </c>
      <c r="L330">
        <f>'Vendor Entry Sheet'!H332</f>
        <v>0</v>
      </c>
      <c r="M330" s="8" t="s">
        <v>39</v>
      </c>
    </row>
    <row r="331" spans="1:13" x14ac:dyDescent="0.35">
      <c r="A331" s="6">
        <f>'Vendor Entry Sheet'!A333</f>
        <v>0</v>
      </c>
      <c r="B331" s="5">
        <f>'Vendor Entry Sheet'!C333</f>
        <v>0</v>
      </c>
      <c r="C331">
        <f>'Vendor Entry Sheet'!I333</f>
        <v>0</v>
      </c>
      <c r="D331" s="7">
        <f>'Vendor Entry Sheet'!J333</f>
        <v>0</v>
      </c>
      <c r="E331">
        <f>'Vendor Entry Sheet'!D333</f>
        <v>0</v>
      </c>
      <c r="F331">
        <f>'Vendor Entry Sheet'!E333</f>
        <v>0</v>
      </c>
      <c r="H331" s="50">
        <f>'Vendor Entry Sheet'!F333</f>
        <v>0</v>
      </c>
      <c r="I331">
        <f>'Vendor Entry Sheet'!G333</f>
        <v>0</v>
      </c>
      <c r="K331" s="8">
        <v>1005</v>
      </c>
      <c r="L331">
        <f>'Vendor Entry Sheet'!H333</f>
        <v>0</v>
      </c>
      <c r="M331" s="8" t="s">
        <v>39</v>
      </c>
    </row>
    <row r="332" spans="1:13" x14ac:dyDescent="0.35">
      <c r="A332" s="6">
        <f>'Vendor Entry Sheet'!A334</f>
        <v>0</v>
      </c>
      <c r="B332" s="5">
        <f>'Vendor Entry Sheet'!C334</f>
        <v>0</v>
      </c>
      <c r="C332">
        <f>'Vendor Entry Sheet'!I334</f>
        <v>0</v>
      </c>
      <c r="D332" s="7">
        <f>'Vendor Entry Sheet'!J334</f>
        <v>0</v>
      </c>
      <c r="E332">
        <f>'Vendor Entry Sheet'!D334</f>
        <v>0</v>
      </c>
      <c r="F332">
        <f>'Vendor Entry Sheet'!E334</f>
        <v>0</v>
      </c>
      <c r="H332" s="50">
        <f>'Vendor Entry Sheet'!F334</f>
        <v>0</v>
      </c>
      <c r="I332">
        <f>'Vendor Entry Sheet'!G334</f>
        <v>0</v>
      </c>
      <c r="K332" s="8">
        <v>1005</v>
      </c>
      <c r="L332">
        <f>'Vendor Entry Sheet'!H334</f>
        <v>0</v>
      </c>
      <c r="M332" s="8" t="s">
        <v>39</v>
      </c>
    </row>
    <row r="333" spans="1:13" x14ac:dyDescent="0.35">
      <c r="A333" s="6">
        <f>'Vendor Entry Sheet'!A335</f>
        <v>0</v>
      </c>
      <c r="B333" s="5">
        <f>'Vendor Entry Sheet'!C335</f>
        <v>0</v>
      </c>
      <c r="C333">
        <f>'Vendor Entry Sheet'!I335</f>
        <v>0</v>
      </c>
      <c r="D333" s="7">
        <f>'Vendor Entry Sheet'!J335</f>
        <v>0</v>
      </c>
      <c r="E333">
        <f>'Vendor Entry Sheet'!D335</f>
        <v>0</v>
      </c>
      <c r="F333">
        <f>'Vendor Entry Sheet'!E335</f>
        <v>0</v>
      </c>
      <c r="H333" s="50">
        <f>'Vendor Entry Sheet'!F335</f>
        <v>0</v>
      </c>
      <c r="I333">
        <f>'Vendor Entry Sheet'!G335</f>
        <v>0</v>
      </c>
      <c r="K333" s="8">
        <v>1005</v>
      </c>
      <c r="L333">
        <f>'Vendor Entry Sheet'!H335</f>
        <v>0</v>
      </c>
      <c r="M333" s="8" t="s">
        <v>39</v>
      </c>
    </row>
    <row r="334" spans="1:13" x14ac:dyDescent="0.35">
      <c r="A334" s="6">
        <f>'Vendor Entry Sheet'!A336</f>
        <v>0</v>
      </c>
      <c r="B334" s="5">
        <f>'Vendor Entry Sheet'!C336</f>
        <v>0</v>
      </c>
      <c r="C334">
        <f>'Vendor Entry Sheet'!I336</f>
        <v>0</v>
      </c>
      <c r="D334" s="7">
        <f>'Vendor Entry Sheet'!J336</f>
        <v>0</v>
      </c>
      <c r="E334">
        <f>'Vendor Entry Sheet'!D336</f>
        <v>0</v>
      </c>
      <c r="F334">
        <f>'Vendor Entry Sheet'!E336</f>
        <v>0</v>
      </c>
      <c r="H334" s="50">
        <f>'Vendor Entry Sheet'!F336</f>
        <v>0</v>
      </c>
      <c r="I334">
        <f>'Vendor Entry Sheet'!G336</f>
        <v>0</v>
      </c>
      <c r="K334" s="8">
        <v>1005</v>
      </c>
      <c r="L334">
        <f>'Vendor Entry Sheet'!H336</f>
        <v>0</v>
      </c>
      <c r="M334" s="8" t="s">
        <v>39</v>
      </c>
    </row>
    <row r="335" spans="1:13" x14ac:dyDescent="0.35">
      <c r="A335" s="6">
        <f>'Vendor Entry Sheet'!A337</f>
        <v>0</v>
      </c>
      <c r="B335" s="5">
        <f>'Vendor Entry Sheet'!C337</f>
        <v>0</v>
      </c>
      <c r="C335">
        <f>'Vendor Entry Sheet'!I337</f>
        <v>0</v>
      </c>
      <c r="D335" s="7">
        <f>'Vendor Entry Sheet'!J337</f>
        <v>0</v>
      </c>
      <c r="E335">
        <f>'Vendor Entry Sheet'!D337</f>
        <v>0</v>
      </c>
      <c r="F335">
        <f>'Vendor Entry Sheet'!E337</f>
        <v>0</v>
      </c>
      <c r="H335" s="50">
        <f>'Vendor Entry Sheet'!F337</f>
        <v>0</v>
      </c>
      <c r="I335">
        <f>'Vendor Entry Sheet'!G337</f>
        <v>0</v>
      </c>
      <c r="K335" s="8">
        <v>1005</v>
      </c>
      <c r="L335">
        <f>'Vendor Entry Sheet'!H337</f>
        <v>0</v>
      </c>
      <c r="M335" s="8" t="s">
        <v>39</v>
      </c>
    </row>
    <row r="336" spans="1:13" x14ac:dyDescent="0.35">
      <c r="A336" s="6">
        <f>'Vendor Entry Sheet'!A338</f>
        <v>0</v>
      </c>
      <c r="B336" s="5">
        <f>'Vendor Entry Sheet'!C338</f>
        <v>0</v>
      </c>
      <c r="C336">
        <f>'Vendor Entry Sheet'!I338</f>
        <v>0</v>
      </c>
      <c r="D336" s="7">
        <f>'Vendor Entry Sheet'!J338</f>
        <v>0</v>
      </c>
      <c r="E336">
        <f>'Vendor Entry Sheet'!D338</f>
        <v>0</v>
      </c>
      <c r="F336">
        <f>'Vendor Entry Sheet'!E338</f>
        <v>0</v>
      </c>
      <c r="H336" s="50">
        <f>'Vendor Entry Sheet'!F338</f>
        <v>0</v>
      </c>
      <c r="I336">
        <f>'Vendor Entry Sheet'!G338</f>
        <v>0</v>
      </c>
      <c r="K336" s="8">
        <v>1005</v>
      </c>
      <c r="L336">
        <f>'Vendor Entry Sheet'!H338</f>
        <v>0</v>
      </c>
      <c r="M336" s="8" t="s">
        <v>39</v>
      </c>
    </row>
    <row r="337" spans="1:13" x14ac:dyDescent="0.35">
      <c r="A337" s="6">
        <f>'Vendor Entry Sheet'!A339</f>
        <v>0</v>
      </c>
      <c r="B337" s="5">
        <f>'Vendor Entry Sheet'!C339</f>
        <v>0</v>
      </c>
      <c r="C337">
        <f>'Vendor Entry Sheet'!I339</f>
        <v>0</v>
      </c>
      <c r="D337" s="7">
        <f>'Vendor Entry Sheet'!J339</f>
        <v>0</v>
      </c>
      <c r="E337">
        <f>'Vendor Entry Sheet'!D339</f>
        <v>0</v>
      </c>
      <c r="F337">
        <f>'Vendor Entry Sheet'!E339</f>
        <v>0</v>
      </c>
      <c r="H337" s="50">
        <f>'Vendor Entry Sheet'!F339</f>
        <v>0</v>
      </c>
      <c r="I337">
        <f>'Vendor Entry Sheet'!G339</f>
        <v>0</v>
      </c>
      <c r="K337" s="8">
        <v>1005</v>
      </c>
      <c r="L337">
        <f>'Vendor Entry Sheet'!H339</f>
        <v>0</v>
      </c>
      <c r="M337" s="8" t="s">
        <v>39</v>
      </c>
    </row>
    <row r="338" spans="1:13" x14ac:dyDescent="0.35">
      <c r="A338" s="6">
        <f>'Vendor Entry Sheet'!A340</f>
        <v>0</v>
      </c>
      <c r="B338" s="5">
        <f>'Vendor Entry Sheet'!C340</f>
        <v>0</v>
      </c>
      <c r="C338">
        <f>'Vendor Entry Sheet'!I340</f>
        <v>0</v>
      </c>
      <c r="D338" s="7">
        <f>'Vendor Entry Sheet'!J340</f>
        <v>0</v>
      </c>
      <c r="E338">
        <f>'Vendor Entry Sheet'!D340</f>
        <v>0</v>
      </c>
      <c r="F338">
        <f>'Vendor Entry Sheet'!E340</f>
        <v>0</v>
      </c>
      <c r="H338" s="50">
        <f>'Vendor Entry Sheet'!F340</f>
        <v>0</v>
      </c>
      <c r="I338">
        <f>'Vendor Entry Sheet'!G340</f>
        <v>0</v>
      </c>
      <c r="K338" s="8">
        <v>1005</v>
      </c>
      <c r="L338">
        <f>'Vendor Entry Sheet'!H340</f>
        <v>0</v>
      </c>
      <c r="M338" s="8" t="s">
        <v>39</v>
      </c>
    </row>
    <row r="339" spans="1:13" x14ac:dyDescent="0.35">
      <c r="A339" s="6">
        <f>'Vendor Entry Sheet'!A341</f>
        <v>0</v>
      </c>
      <c r="B339" s="5">
        <f>'Vendor Entry Sheet'!C341</f>
        <v>0</v>
      </c>
      <c r="C339">
        <f>'Vendor Entry Sheet'!I341</f>
        <v>0</v>
      </c>
      <c r="D339" s="7">
        <f>'Vendor Entry Sheet'!J341</f>
        <v>0</v>
      </c>
      <c r="E339">
        <f>'Vendor Entry Sheet'!D341</f>
        <v>0</v>
      </c>
      <c r="F339">
        <f>'Vendor Entry Sheet'!E341</f>
        <v>0</v>
      </c>
      <c r="H339" s="50">
        <f>'Vendor Entry Sheet'!F341</f>
        <v>0</v>
      </c>
      <c r="I339">
        <f>'Vendor Entry Sheet'!G341</f>
        <v>0</v>
      </c>
      <c r="K339" s="8">
        <v>1005</v>
      </c>
      <c r="L339">
        <f>'Vendor Entry Sheet'!H341</f>
        <v>0</v>
      </c>
      <c r="M339" s="8" t="s">
        <v>39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"/>
  <sheetViews>
    <sheetView workbookViewId="0">
      <selection activeCell="H20" sqref="H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344C-5E6C-4937-A6DB-D67A680918AA}">
  <sheetPr>
    <tabColor rgb="FF00B050"/>
  </sheetPr>
  <dimension ref="A1:L101"/>
  <sheetViews>
    <sheetView workbookViewId="0">
      <selection activeCell="F69" sqref="F69"/>
    </sheetView>
  </sheetViews>
  <sheetFormatPr defaultRowHeight="14.5" x14ac:dyDescent="0.35"/>
  <cols>
    <col min="1" max="1" width="22.1796875" customWidth="1"/>
    <col min="2" max="2" width="30.1796875" bestFit="1" customWidth="1"/>
    <col min="3" max="3" width="14.1796875" style="10" customWidth="1"/>
    <col min="4" max="4" width="21.453125" customWidth="1"/>
    <col min="5" max="5" width="26" style="10" bestFit="1" customWidth="1"/>
    <col min="7" max="7" width="30.7265625" style="11" customWidth="1"/>
    <col min="8" max="8" width="18.453125" style="10" customWidth="1"/>
    <col min="10" max="10" width="22" customWidth="1"/>
    <col min="11" max="11" width="17.54296875" customWidth="1"/>
    <col min="12" max="12" width="18.54296875" customWidth="1"/>
  </cols>
  <sheetData>
    <row r="1" spans="1:12" x14ac:dyDescent="0.35">
      <c r="A1" s="24" t="s">
        <v>51</v>
      </c>
      <c r="B1" s="24" t="s">
        <v>40</v>
      </c>
      <c r="C1" s="25" t="s">
        <v>41</v>
      </c>
      <c r="D1" s="25" t="s">
        <v>18</v>
      </c>
      <c r="E1" s="25" t="s">
        <v>42</v>
      </c>
      <c r="G1" s="25" t="s">
        <v>18</v>
      </c>
      <c r="H1" s="25" t="s">
        <v>42</v>
      </c>
      <c r="J1" s="24" t="s">
        <v>51</v>
      </c>
      <c r="K1" s="26" t="s">
        <v>43</v>
      </c>
      <c r="L1" s="26" t="s">
        <v>44</v>
      </c>
    </row>
    <row r="2" spans="1:12" x14ac:dyDescent="0.35">
      <c r="A2" s="49" t="s">
        <v>50</v>
      </c>
      <c r="B2" t="s">
        <v>480</v>
      </c>
      <c r="C2">
        <v>90140920</v>
      </c>
      <c r="D2" t="s">
        <v>542</v>
      </c>
      <c r="E2" s="21">
        <v>3001951</v>
      </c>
      <c r="G2" s="11" t="s">
        <v>582</v>
      </c>
      <c r="H2" s="21">
        <v>3001951</v>
      </c>
      <c r="J2" t="s">
        <v>52</v>
      </c>
      <c r="K2">
        <v>4700020660</v>
      </c>
      <c r="L2">
        <v>10</v>
      </c>
    </row>
    <row r="3" spans="1:12" x14ac:dyDescent="0.35">
      <c r="A3" s="49" t="s">
        <v>50</v>
      </c>
      <c r="B3" t="s">
        <v>558</v>
      </c>
      <c r="C3">
        <v>90301465</v>
      </c>
      <c r="D3" t="s">
        <v>581</v>
      </c>
      <c r="E3" s="21">
        <v>3001951</v>
      </c>
      <c r="G3" s="11" t="s">
        <v>541</v>
      </c>
      <c r="H3" s="21">
        <v>3001951</v>
      </c>
      <c r="J3" t="s">
        <v>50</v>
      </c>
      <c r="K3">
        <v>4700020658</v>
      </c>
      <c r="L3">
        <v>10</v>
      </c>
    </row>
    <row r="4" spans="1:12" x14ac:dyDescent="0.35">
      <c r="A4" s="49"/>
      <c r="C4"/>
      <c r="E4" s="21"/>
      <c r="G4" s="11" t="s">
        <v>542</v>
      </c>
      <c r="H4" s="21">
        <v>3001951</v>
      </c>
      <c r="J4" t="s">
        <v>477</v>
      </c>
      <c r="K4">
        <v>4700020659</v>
      </c>
      <c r="L4">
        <v>10</v>
      </c>
    </row>
    <row r="5" spans="1:12" x14ac:dyDescent="0.35">
      <c r="A5" s="49" t="s">
        <v>50</v>
      </c>
      <c r="B5" t="s">
        <v>481</v>
      </c>
      <c r="C5">
        <v>90300849</v>
      </c>
      <c r="D5" s="11" t="s">
        <v>541</v>
      </c>
      <c r="E5" s="21">
        <v>3001951</v>
      </c>
      <c r="G5" s="11" t="s">
        <v>538</v>
      </c>
      <c r="H5" s="11">
        <v>3001951</v>
      </c>
      <c r="J5" t="s">
        <v>479</v>
      </c>
      <c r="K5">
        <v>4700020804</v>
      </c>
      <c r="L5">
        <v>10</v>
      </c>
    </row>
    <row r="6" spans="1:12" x14ac:dyDescent="0.35">
      <c r="A6" s="49" t="s">
        <v>50</v>
      </c>
      <c r="B6" t="s">
        <v>559</v>
      </c>
      <c r="C6">
        <v>90302562</v>
      </c>
      <c r="D6" s="11" t="s">
        <v>541</v>
      </c>
      <c r="E6" s="21">
        <v>3001951</v>
      </c>
      <c r="G6" t="s">
        <v>540</v>
      </c>
      <c r="H6" s="11">
        <v>3001951</v>
      </c>
      <c r="J6" t="s">
        <v>478</v>
      </c>
      <c r="K6">
        <v>4700020661</v>
      </c>
      <c r="L6">
        <v>10</v>
      </c>
    </row>
    <row r="7" spans="1:12" x14ac:dyDescent="0.35">
      <c r="A7" s="49" t="s">
        <v>50</v>
      </c>
      <c r="B7" t="s">
        <v>560</v>
      </c>
      <c r="C7">
        <v>90302563</v>
      </c>
      <c r="D7" t="s">
        <v>581</v>
      </c>
      <c r="E7" s="21">
        <v>3001951</v>
      </c>
      <c r="G7" t="s">
        <v>539</v>
      </c>
      <c r="H7" s="11">
        <v>3001951</v>
      </c>
      <c r="J7" t="s">
        <v>516</v>
      </c>
      <c r="K7">
        <v>4700020657</v>
      </c>
      <c r="L7">
        <v>10</v>
      </c>
    </row>
    <row r="8" spans="1:12" x14ac:dyDescent="0.35">
      <c r="A8" s="49" t="s">
        <v>50</v>
      </c>
      <c r="B8" t="s">
        <v>482</v>
      </c>
      <c r="C8">
        <v>90300016</v>
      </c>
      <c r="D8" s="11" t="s">
        <v>541</v>
      </c>
      <c r="E8" s="21">
        <v>3001951</v>
      </c>
      <c r="G8" t="s">
        <v>545</v>
      </c>
      <c r="H8" s="11">
        <v>3001951</v>
      </c>
    </row>
    <row r="9" spans="1:12" x14ac:dyDescent="0.35">
      <c r="A9" s="49" t="s">
        <v>50</v>
      </c>
      <c r="B9" t="s">
        <v>483</v>
      </c>
      <c r="C9">
        <v>90301850</v>
      </c>
      <c r="D9" t="s">
        <v>581</v>
      </c>
      <c r="E9" s="21">
        <v>3001951</v>
      </c>
      <c r="G9" t="s">
        <v>544</v>
      </c>
      <c r="H9" s="11">
        <v>3001951</v>
      </c>
    </row>
    <row r="10" spans="1:12" x14ac:dyDescent="0.35">
      <c r="A10" s="49" t="s">
        <v>50</v>
      </c>
      <c r="B10" t="s">
        <v>484</v>
      </c>
      <c r="C10">
        <v>90302512</v>
      </c>
      <c r="D10" s="11" t="s">
        <v>541</v>
      </c>
      <c r="E10" s="21">
        <v>3001951</v>
      </c>
      <c r="G10" t="s">
        <v>543</v>
      </c>
      <c r="H10" s="11">
        <v>3001951</v>
      </c>
    </row>
    <row r="11" spans="1:12" x14ac:dyDescent="0.35">
      <c r="A11" s="49" t="s">
        <v>50</v>
      </c>
      <c r="B11" t="s">
        <v>485</v>
      </c>
      <c r="C11">
        <v>90137237</v>
      </c>
      <c r="D11" t="s">
        <v>542</v>
      </c>
      <c r="E11" s="21">
        <v>3001951</v>
      </c>
      <c r="G11" t="s">
        <v>548</v>
      </c>
      <c r="H11" s="11">
        <v>3001951</v>
      </c>
    </row>
    <row r="12" spans="1:12" x14ac:dyDescent="0.35">
      <c r="A12" s="49" t="s">
        <v>50</v>
      </c>
      <c r="B12" t="s">
        <v>486</v>
      </c>
      <c r="C12">
        <v>90300199</v>
      </c>
      <c r="D12" t="s">
        <v>581</v>
      </c>
      <c r="E12" s="21">
        <v>3001951</v>
      </c>
      <c r="G12" t="s">
        <v>550</v>
      </c>
      <c r="H12" s="11">
        <v>3001951</v>
      </c>
    </row>
    <row r="13" spans="1:12" x14ac:dyDescent="0.35">
      <c r="A13" s="49" t="s">
        <v>50</v>
      </c>
      <c r="B13" t="s">
        <v>487</v>
      </c>
      <c r="C13">
        <v>90300019</v>
      </c>
      <c r="D13" s="11" t="s">
        <v>541</v>
      </c>
      <c r="E13" s="21">
        <v>3001951</v>
      </c>
      <c r="G13" t="s">
        <v>546</v>
      </c>
      <c r="H13" s="11">
        <v>3001951</v>
      </c>
    </row>
    <row r="14" spans="1:12" x14ac:dyDescent="0.35">
      <c r="A14" s="49" t="s">
        <v>50</v>
      </c>
      <c r="B14" t="s">
        <v>488</v>
      </c>
      <c r="C14">
        <v>90301314</v>
      </c>
      <c r="D14" s="11" t="s">
        <v>541</v>
      </c>
      <c r="E14" s="21">
        <v>3001951</v>
      </c>
      <c r="G14" t="s">
        <v>551</v>
      </c>
      <c r="H14" s="11">
        <v>3001951</v>
      </c>
    </row>
    <row r="15" spans="1:12" x14ac:dyDescent="0.35">
      <c r="A15" s="49" t="s">
        <v>50</v>
      </c>
      <c r="B15" t="s">
        <v>489</v>
      </c>
      <c r="C15">
        <v>90302329</v>
      </c>
      <c r="D15" t="s">
        <v>581</v>
      </c>
      <c r="E15" s="21">
        <v>3001951</v>
      </c>
      <c r="G15" t="s">
        <v>552</v>
      </c>
      <c r="H15" s="11">
        <v>3001951</v>
      </c>
    </row>
    <row r="16" spans="1:12" x14ac:dyDescent="0.35">
      <c r="A16" s="49" t="s">
        <v>50</v>
      </c>
      <c r="B16" t="s">
        <v>490</v>
      </c>
      <c r="C16">
        <v>90300213</v>
      </c>
      <c r="D16" s="11" t="s">
        <v>541</v>
      </c>
      <c r="E16" s="21">
        <v>3001951</v>
      </c>
      <c r="G16" t="s">
        <v>553</v>
      </c>
      <c r="H16" s="11">
        <v>3001951</v>
      </c>
    </row>
    <row r="17" spans="1:8" x14ac:dyDescent="0.35">
      <c r="A17" s="49" t="s">
        <v>50</v>
      </c>
      <c r="B17" t="s">
        <v>491</v>
      </c>
      <c r="C17">
        <v>90301259</v>
      </c>
      <c r="D17" t="s">
        <v>581</v>
      </c>
      <c r="E17" s="21">
        <v>3001951</v>
      </c>
      <c r="G17" t="s">
        <v>554</v>
      </c>
      <c r="H17" s="11">
        <v>3001951</v>
      </c>
    </row>
    <row r="18" spans="1:8" x14ac:dyDescent="0.35">
      <c r="A18" s="49" t="s">
        <v>50</v>
      </c>
      <c r="B18" t="s">
        <v>492</v>
      </c>
      <c r="C18">
        <v>90300214</v>
      </c>
      <c r="D18" s="11" t="s">
        <v>541</v>
      </c>
      <c r="E18" s="21">
        <v>3001951</v>
      </c>
      <c r="G18" t="s">
        <v>556</v>
      </c>
      <c r="H18" s="11">
        <v>3001951</v>
      </c>
    </row>
    <row r="19" spans="1:8" x14ac:dyDescent="0.35">
      <c r="A19" s="49" t="s">
        <v>477</v>
      </c>
      <c r="B19" t="s">
        <v>561</v>
      </c>
      <c r="C19">
        <v>90300498</v>
      </c>
      <c r="D19" t="s">
        <v>543</v>
      </c>
      <c r="E19" s="21">
        <v>3001951</v>
      </c>
      <c r="G19" t="s">
        <v>557</v>
      </c>
      <c r="H19" s="11">
        <v>3001951</v>
      </c>
    </row>
    <row r="20" spans="1:8" x14ac:dyDescent="0.35">
      <c r="A20" s="49" t="s">
        <v>477</v>
      </c>
      <c r="B20" t="s">
        <v>562</v>
      </c>
      <c r="C20">
        <v>90302549</v>
      </c>
      <c r="D20" t="s">
        <v>544</v>
      </c>
      <c r="E20" s="21">
        <v>3001951</v>
      </c>
      <c r="G20" t="s">
        <v>555</v>
      </c>
      <c r="H20" s="11">
        <v>3001951</v>
      </c>
    </row>
    <row r="21" spans="1:8" x14ac:dyDescent="0.35">
      <c r="A21" s="49" t="s">
        <v>477</v>
      </c>
      <c r="B21" t="s">
        <v>563</v>
      </c>
      <c r="C21">
        <v>90302546</v>
      </c>
      <c r="D21" t="s">
        <v>544</v>
      </c>
      <c r="E21" s="21">
        <v>3001951</v>
      </c>
      <c r="H21"/>
    </row>
    <row r="22" spans="1:8" x14ac:dyDescent="0.35">
      <c r="A22" s="49" t="s">
        <v>477</v>
      </c>
      <c r="B22" t="s">
        <v>493</v>
      </c>
      <c r="C22">
        <v>90300003</v>
      </c>
      <c r="D22" t="s">
        <v>545</v>
      </c>
      <c r="E22" s="21">
        <v>3001951</v>
      </c>
    </row>
    <row r="23" spans="1:8" x14ac:dyDescent="0.35">
      <c r="A23" s="49" t="s">
        <v>477</v>
      </c>
      <c r="B23" t="s">
        <v>526</v>
      </c>
      <c r="C23">
        <v>90302529</v>
      </c>
      <c r="D23" t="s">
        <v>545</v>
      </c>
      <c r="E23" s="21">
        <v>3001951</v>
      </c>
    </row>
    <row r="24" spans="1:8" x14ac:dyDescent="0.35">
      <c r="A24" s="49" t="s">
        <v>477</v>
      </c>
      <c r="B24" t="s">
        <v>494</v>
      </c>
      <c r="C24">
        <v>90300039</v>
      </c>
      <c r="D24" t="s">
        <v>543</v>
      </c>
      <c r="E24" s="21">
        <v>3001951</v>
      </c>
    </row>
    <row r="25" spans="1:8" x14ac:dyDescent="0.35">
      <c r="A25" s="49" t="s">
        <v>477</v>
      </c>
      <c r="B25" t="s">
        <v>495</v>
      </c>
      <c r="C25">
        <v>90144128</v>
      </c>
      <c r="D25" t="s">
        <v>544</v>
      </c>
      <c r="E25" s="21">
        <v>3001951</v>
      </c>
    </row>
    <row r="26" spans="1:8" x14ac:dyDescent="0.35">
      <c r="A26" s="49" t="s">
        <v>477</v>
      </c>
      <c r="B26" t="s">
        <v>564</v>
      </c>
      <c r="C26">
        <v>90302547</v>
      </c>
      <c r="D26" t="s">
        <v>544</v>
      </c>
      <c r="E26" s="21">
        <v>3001951</v>
      </c>
    </row>
    <row r="27" spans="1:8" x14ac:dyDescent="0.35">
      <c r="A27" s="49" t="s">
        <v>477</v>
      </c>
      <c r="B27" t="s">
        <v>496</v>
      </c>
      <c r="C27">
        <v>90301392</v>
      </c>
      <c r="D27" t="s">
        <v>545</v>
      </c>
      <c r="E27" s="21">
        <v>3001951</v>
      </c>
    </row>
    <row r="28" spans="1:8" x14ac:dyDescent="0.35">
      <c r="A28" s="49" t="s">
        <v>477</v>
      </c>
      <c r="B28" t="s">
        <v>565</v>
      </c>
      <c r="C28">
        <v>90302551</v>
      </c>
      <c r="D28" t="s">
        <v>545</v>
      </c>
      <c r="E28" s="21">
        <v>3001951</v>
      </c>
    </row>
    <row r="29" spans="1:8" x14ac:dyDescent="0.35">
      <c r="A29" s="49" t="s">
        <v>52</v>
      </c>
      <c r="B29" t="s">
        <v>527</v>
      </c>
      <c r="C29">
        <v>90053092</v>
      </c>
      <c r="D29" t="s">
        <v>538</v>
      </c>
      <c r="E29" s="21">
        <v>3001951</v>
      </c>
    </row>
    <row r="30" spans="1:8" x14ac:dyDescent="0.35">
      <c r="A30" s="49" t="s">
        <v>52</v>
      </c>
      <c r="B30" t="s">
        <v>528</v>
      </c>
      <c r="C30">
        <v>90300606</v>
      </c>
      <c r="D30" t="s">
        <v>539</v>
      </c>
      <c r="E30" s="21">
        <v>3001951</v>
      </c>
    </row>
    <row r="31" spans="1:8" x14ac:dyDescent="0.35">
      <c r="A31" s="49" t="s">
        <v>52</v>
      </c>
      <c r="B31" t="s">
        <v>566</v>
      </c>
      <c r="C31">
        <v>90302553</v>
      </c>
      <c r="D31" t="s">
        <v>539</v>
      </c>
      <c r="E31" s="21">
        <v>3001951</v>
      </c>
    </row>
    <row r="32" spans="1:8" x14ac:dyDescent="0.35">
      <c r="A32" s="49" t="s">
        <v>52</v>
      </c>
      <c r="B32" t="s">
        <v>529</v>
      </c>
      <c r="C32">
        <v>90300753</v>
      </c>
      <c r="D32" t="s">
        <v>540</v>
      </c>
      <c r="E32" s="21">
        <v>3001951</v>
      </c>
    </row>
    <row r="33" spans="1:5" x14ac:dyDescent="0.35">
      <c r="A33" s="49" t="s">
        <v>52</v>
      </c>
      <c r="B33" t="s">
        <v>530</v>
      </c>
      <c r="C33">
        <v>90302536</v>
      </c>
      <c r="D33" t="s">
        <v>539</v>
      </c>
      <c r="E33" s="21">
        <v>3001951</v>
      </c>
    </row>
    <row r="34" spans="1:5" x14ac:dyDescent="0.35">
      <c r="A34" s="49" t="s">
        <v>52</v>
      </c>
      <c r="B34" t="s">
        <v>567</v>
      </c>
      <c r="C34">
        <v>90301904</v>
      </c>
      <c r="D34" t="s">
        <v>539</v>
      </c>
      <c r="E34" s="21">
        <v>3001951</v>
      </c>
    </row>
    <row r="35" spans="1:5" x14ac:dyDescent="0.35">
      <c r="A35" s="49" t="s">
        <v>52</v>
      </c>
      <c r="B35" t="s">
        <v>531</v>
      </c>
      <c r="C35">
        <v>90301596</v>
      </c>
      <c r="D35" t="s">
        <v>540</v>
      </c>
      <c r="E35" s="21">
        <v>3001951</v>
      </c>
    </row>
    <row r="36" spans="1:5" x14ac:dyDescent="0.35">
      <c r="A36" s="49" t="s">
        <v>52</v>
      </c>
      <c r="B36" t="s">
        <v>532</v>
      </c>
      <c r="C36">
        <v>90077966</v>
      </c>
      <c r="D36" t="s">
        <v>538</v>
      </c>
      <c r="E36" s="21">
        <v>3001951</v>
      </c>
    </row>
    <row r="37" spans="1:5" x14ac:dyDescent="0.35">
      <c r="A37" s="49" t="s">
        <v>52</v>
      </c>
      <c r="B37" t="s">
        <v>533</v>
      </c>
      <c r="C37">
        <v>90300834</v>
      </c>
      <c r="D37" t="s">
        <v>539</v>
      </c>
      <c r="E37" s="21">
        <v>3001951</v>
      </c>
    </row>
    <row r="38" spans="1:5" x14ac:dyDescent="0.35">
      <c r="A38" s="49" t="s">
        <v>52</v>
      </c>
      <c r="B38" t="s">
        <v>534</v>
      </c>
      <c r="C38">
        <v>90302378</v>
      </c>
      <c r="D38" t="s">
        <v>539</v>
      </c>
      <c r="E38" s="21">
        <v>3001951</v>
      </c>
    </row>
    <row r="39" spans="1:5" x14ac:dyDescent="0.35">
      <c r="A39" s="49" t="s">
        <v>52</v>
      </c>
      <c r="B39" t="s">
        <v>535</v>
      </c>
      <c r="C39">
        <v>90300607</v>
      </c>
      <c r="D39" t="s">
        <v>540</v>
      </c>
      <c r="E39" s="21">
        <v>3001951</v>
      </c>
    </row>
    <row r="40" spans="1:5" x14ac:dyDescent="0.35">
      <c r="A40" s="49" t="s">
        <v>52</v>
      </c>
      <c r="B40" t="s">
        <v>536</v>
      </c>
      <c r="C40">
        <v>90302537</v>
      </c>
      <c r="D40" t="s">
        <v>539</v>
      </c>
      <c r="E40" s="21">
        <v>3001951</v>
      </c>
    </row>
    <row r="41" spans="1:5" x14ac:dyDescent="0.35">
      <c r="A41" s="49" t="s">
        <v>52</v>
      </c>
      <c r="B41" t="s">
        <v>568</v>
      </c>
      <c r="C41">
        <v>90301210</v>
      </c>
      <c r="D41" t="s">
        <v>539</v>
      </c>
      <c r="E41" s="21">
        <v>3001951</v>
      </c>
    </row>
    <row r="42" spans="1:5" x14ac:dyDescent="0.35">
      <c r="A42" s="49" t="s">
        <v>52</v>
      </c>
      <c r="B42" t="s">
        <v>537</v>
      </c>
      <c r="C42">
        <v>90301394</v>
      </c>
      <c r="D42" t="s">
        <v>540</v>
      </c>
      <c r="E42" s="21">
        <v>3001951</v>
      </c>
    </row>
    <row r="43" spans="1:5" x14ac:dyDescent="0.35">
      <c r="A43" s="49" t="s">
        <v>478</v>
      </c>
      <c r="B43" t="s">
        <v>569</v>
      </c>
      <c r="C43">
        <v>90116535</v>
      </c>
      <c r="D43" t="s">
        <v>551</v>
      </c>
      <c r="E43" s="21">
        <v>3001951</v>
      </c>
    </row>
    <row r="44" spans="1:5" x14ac:dyDescent="0.35">
      <c r="A44" s="49" t="s">
        <v>478</v>
      </c>
      <c r="B44" t="s">
        <v>497</v>
      </c>
      <c r="C44">
        <v>90300462</v>
      </c>
      <c r="D44" t="s">
        <v>552</v>
      </c>
      <c r="E44" s="21">
        <v>3001951</v>
      </c>
    </row>
    <row r="45" spans="1:5" x14ac:dyDescent="0.35">
      <c r="A45" s="49" t="s">
        <v>478</v>
      </c>
      <c r="B45" t="s">
        <v>498</v>
      </c>
      <c r="C45">
        <v>90302117</v>
      </c>
      <c r="D45" t="s">
        <v>553</v>
      </c>
      <c r="E45" s="21">
        <v>3001951</v>
      </c>
    </row>
    <row r="46" spans="1:5" x14ac:dyDescent="0.35">
      <c r="A46" s="49" t="s">
        <v>478</v>
      </c>
      <c r="B46" t="s">
        <v>499</v>
      </c>
      <c r="C46">
        <v>90302543</v>
      </c>
      <c r="D46" t="s">
        <v>554</v>
      </c>
      <c r="E46" s="21">
        <v>3001951</v>
      </c>
    </row>
    <row r="47" spans="1:5" x14ac:dyDescent="0.35">
      <c r="A47" s="49" t="s">
        <v>478</v>
      </c>
      <c r="B47" t="s">
        <v>570</v>
      </c>
      <c r="C47">
        <v>90302565</v>
      </c>
      <c r="D47" t="s">
        <v>552</v>
      </c>
      <c r="E47" s="21">
        <v>3001951</v>
      </c>
    </row>
    <row r="48" spans="1:5" x14ac:dyDescent="0.35">
      <c r="A48" s="49" t="s">
        <v>478</v>
      </c>
      <c r="C48"/>
      <c r="E48" s="21">
        <v>3001951</v>
      </c>
    </row>
    <row r="49" spans="1:5" x14ac:dyDescent="0.35">
      <c r="A49" s="49" t="s">
        <v>478</v>
      </c>
      <c r="B49" t="s">
        <v>571</v>
      </c>
      <c r="C49">
        <v>90137959</v>
      </c>
      <c r="D49" t="s">
        <v>554</v>
      </c>
      <c r="E49" s="21">
        <v>3001951</v>
      </c>
    </row>
    <row r="50" spans="1:5" x14ac:dyDescent="0.35">
      <c r="A50" s="49" t="s">
        <v>478</v>
      </c>
      <c r="B50" t="s">
        <v>500</v>
      </c>
      <c r="C50">
        <v>90117360</v>
      </c>
      <c r="D50" t="s">
        <v>47</v>
      </c>
      <c r="E50" s="21">
        <v>3001951</v>
      </c>
    </row>
    <row r="51" spans="1:5" x14ac:dyDescent="0.35">
      <c r="A51" s="49" t="s">
        <v>478</v>
      </c>
      <c r="B51" t="s">
        <v>501</v>
      </c>
      <c r="C51">
        <v>90302118</v>
      </c>
      <c r="D51" t="s">
        <v>552</v>
      </c>
      <c r="E51" s="21">
        <v>3001951</v>
      </c>
    </row>
    <row r="52" spans="1:5" x14ac:dyDescent="0.35">
      <c r="A52" s="49" t="s">
        <v>478</v>
      </c>
      <c r="B52" t="s">
        <v>502</v>
      </c>
      <c r="C52">
        <v>90144804</v>
      </c>
      <c r="D52" t="s">
        <v>553</v>
      </c>
      <c r="E52" s="21">
        <v>3001951</v>
      </c>
    </row>
    <row r="53" spans="1:5" x14ac:dyDescent="0.35">
      <c r="A53" s="49" t="s">
        <v>478</v>
      </c>
      <c r="B53" t="s">
        <v>503</v>
      </c>
      <c r="C53">
        <v>90302398</v>
      </c>
      <c r="D53" t="s">
        <v>554</v>
      </c>
      <c r="E53" s="21">
        <v>3001951</v>
      </c>
    </row>
    <row r="54" spans="1:5" x14ac:dyDescent="0.35">
      <c r="A54" s="49" t="s">
        <v>478</v>
      </c>
      <c r="B54" t="s">
        <v>572</v>
      </c>
      <c r="C54">
        <v>90302559</v>
      </c>
      <c r="D54" t="s">
        <v>552</v>
      </c>
      <c r="E54" s="21">
        <v>3001951</v>
      </c>
    </row>
    <row r="55" spans="1:5" x14ac:dyDescent="0.35">
      <c r="A55" s="49" t="s">
        <v>478</v>
      </c>
      <c r="B55" t="s">
        <v>504</v>
      </c>
      <c r="C55">
        <v>90302504</v>
      </c>
      <c r="D55" t="s">
        <v>553</v>
      </c>
      <c r="E55" s="21">
        <v>3001951</v>
      </c>
    </row>
    <row r="56" spans="1:5" x14ac:dyDescent="0.35">
      <c r="A56" s="49" t="s">
        <v>478</v>
      </c>
      <c r="B56" t="s">
        <v>505</v>
      </c>
      <c r="C56">
        <v>90302527</v>
      </c>
      <c r="D56" t="s">
        <v>554</v>
      </c>
      <c r="E56" s="21">
        <v>3001951</v>
      </c>
    </row>
    <row r="57" spans="1:5" x14ac:dyDescent="0.35">
      <c r="A57" s="49" t="s">
        <v>479</v>
      </c>
      <c r="B57" t="s">
        <v>507</v>
      </c>
      <c r="C57">
        <v>90290068</v>
      </c>
      <c r="D57" t="s">
        <v>546</v>
      </c>
      <c r="E57" s="21">
        <v>3001951</v>
      </c>
    </row>
    <row r="58" spans="1:5" x14ac:dyDescent="0.35">
      <c r="A58" s="49" t="s">
        <v>479</v>
      </c>
      <c r="B58" t="s">
        <v>508</v>
      </c>
      <c r="C58">
        <v>90302469</v>
      </c>
      <c r="D58" t="s">
        <v>547</v>
      </c>
      <c r="E58" s="21">
        <v>3001951</v>
      </c>
    </row>
    <row r="59" spans="1:5" x14ac:dyDescent="0.35">
      <c r="A59" s="49" t="s">
        <v>479</v>
      </c>
      <c r="B59" t="s">
        <v>573</v>
      </c>
      <c r="C59">
        <v>90302531</v>
      </c>
      <c r="D59" t="s">
        <v>547</v>
      </c>
      <c r="E59" s="21">
        <v>3001951</v>
      </c>
    </row>
    <row r="60" spans="1:5" x14ac:dyDescent="0.35">
      <c r="A60" s="49" t="s">
        <v>479</v>
      </c>
      <c r="B60" t="s">
        <v>509</v>
      </c>
      <c r="C60">
        <v>90301928</v>
      </c>
      <c r="D60" t="s">
        <v>548</v>
      </c>
      <c r="E60" s="21">
        <v>3001951</v>
      </c>
    </row>
    <row r="61" spans="1:5" x14ac:dyDescent="0.35">
      <c r="A61" s="49" t="s">
        <v>479</v>
      </c>
      <c r="B61" t="s">
        <v>510</v>
      </c>
      <c r="C61">
        <v>90302455</v>
      </c>
      <c r="D61" t="s">
        <v>506</v>
      </c>
      <c r="E61" s="21">
        <v>3001951</v>
      </c>
    </row>
    <row r="62" spans="1:5" x14ac:dyDescent="0.35">
      <c r="A62" s="49" t="s">
        <v>479</v>
      </c>
      <c r="B62" t="s">
        <v>511</v>
      </c>
      <c r="C62">
        <v>90302470</v>
      </c>
      <c r="D62" t="s">
        <v>549</v>
      </c>
      <c r="E62" s="21">
        <v>3001951</v>
      </c>
    </row>
    <row r="63" spans="1:5" x14ac:dyDescent="0.35">
      <c r="A63" s="49" t="s">
        <v>479</v>
      </c>
      <c r="B63" t="s">
        <v>575</v>
      </c>
      <c r="C63">
        <v>90302463</v>
      </c>
      <c r="D63" t="s">
        <v>506</v>
      </c>
      <c r="E63" s="21">
        <v>3001951</v>
      </c>
    </row>
    <row r="64" spans="1:5" x14ac:dyDescent="0.35">
      <c r="A64" s="49" t="s">
        <v>479</v>
      </c>
      <c r="B64" t="s">
        <v>512</v>
      </c>
      <c r="C64">
        <v>90302457</v>
      </c>
      <c r="D64" t="s">
        <v>547</v>
      </c>
      <c r="E64" s="21">
        <v>3001951</v>
      </c>
    </row>
    <row r="65" spans="1:5" x14ac:dyDescent="0.35">
      <c r="A65" s="49" t="s">
        <v>479</v>
      </c>
      <c r="B65" t="s">
        <v>574</v>
      </c>
      <c r="C65">
        <v>90290070</v>
      </c>
      <c r="D65" t="s">
        <v>547</v>
      </c>
      <c r="E65" s="21">
        <v>3001951</v>
      </c>
    </row>
    <row r="66" spans="1:5" x14ac:dyDescent="0.35">
      <c r="A66" s="49" t="s">
        <v>479</v>
      </c>
      <c r="B66" t="s">
        <v>513</v>
      </c>
      <c r="C66">
        <v>90290075</v>
      </c>
      <c r="D66" t="s">
        <v>548</v>
      </c>
      <c r="E66" s="21">
        <v>3001951</v>
      </c>
    </row>
    <row r="67" spans="1:5" x14ac:dyDescent="0.35">
      <c r="A67" s="49" t="s">
        <v>479</v>
      </c>
      <c r="B67" t="s">
        <v>514</v>
      </c>
      <c r="C67">
        <v>90302218</v>
      </c>
      <c r="D67" t="s">
        <v>550</v>
      </c>
      <c r="E67" s="21">
        <v>3001951</v>
      </c>
    </row>
    <row r="68" spans="1:5" x14ac:dyDescent="0.35">
      <c r="A68" s="49" t="s">
        <v>479</v>
      </c>
      <c r="B68" t="s">
        <v>515</v>
      </c>
      <c r="C68">
        <v>90290074</v>
      </c>
      <c r="D68" t="s">
        <v>546</v>
      </c>
      <c r="E68" s="21">
        <v>3001951</v>
      </c>
    </row>
    <row r="69" spans="1:5" x14ac:dyDescent="0.35">
      <c r="A69" s="49" t="s">
        <v>516</v>
      </c>
      <c r="B69" t="s">
        <v>576</v>
      </c>
      <c r="C69">
        <v>90128099</v>
      </c>
      <c r="D69" t="s">
        <v>555</v>
      </c>
      <c r="E69" s="21">
        <v>3001951</v>
      </c>
    </row>
    <row r="70" spans="1:5" x14ac:dyDescent="0.35">
      <c r="A70" s="49" t="s">
        <v>516</v>
      </c>
      <c r="B70" t="s">
        <v>577</v>
      </c>
      <c r="C70">
        <v>90137312</v>
      </c>
      <c r="D70" t="s">
        <v>556</v>
      </c>
      <c r="E70" s="21">
        <v>3001951</v>
      </c>
    </row>
    <row r="71" spans="1:5" x14ac:dyDescent="0.35">
      <c r="A71" s="49" t="s">
        <v>516</v>
      </c>
      <c r="B71" t="s">
        <v>517</v>
      </c>
      <c r="C71">
        <v>90301852</v>
      </c>
      <c r="D71" t="s">
        <v>556</v>
      </c>
      <c r="E71" s="21">
        <v>3001951</v>
      </c>
    </row>
    <row r="72" spans="1:5" x14ac:dyDescent="0.35">
      <c r="A72" s="49" t="s">
        <v>516</v>
      </c>
      <c r="B72" t="s">
        <v>518</v>
      </c>
      <c r="C72">
        <v>90128100</v>
      </c>
      <c r="D72" t="s">
        <v>556</v>
      </c>
      <c r="E72" s="21">
        <v>3001951</v>
      </c>
    </row>
    <row r="73" spans="1:5" x14ac:dyDescent="0.35">
      <c r="A73" s="49" t="s">
        <v>516</v>
      </c>
      <c r="B73" t="s">
        <v>519</v>
      </c>
      <c r="C73">
        <v>90290053</v>
      </c>
      <c r="D73" t="s">
        <v>556</v>
      </c>
      <c r="E73" s="21">
        <v>3001951</v>
      </c>
    </row>
    <row r="74" spans="1:5" x14ac:dyDescent="0.35">
      <c r="A74" s="49" t="s">
        <v>516</v>
      </c>
      <c r="B74" t="s">
        <v>578</v>
      </c>
      <c r="C74">
        <v>90301507</v>
      </c>
      <c r="D74" t="s">
        <v>556</v>
      </c>
      <c r="E74" s="21">
        <v>3001951</v>
      </c>
    </row>
    <row r="75" spans="1:5" x14ac:dyDescent="0.35">
      <c r="A75" s="49" t="s">
        <v>516</v>
      </c>
      <c r="B75" t="s">
        <v>520</v>
      </c>
      <c r="C75">
        <v>90301651</v>
      </c>
      <c r="D75" t="s">
        <v>557</v>
      </c>
      <c r="E75" s="21">
        <v>3001951</v>
      </c>
    </row>
    <row r="76" spans="1:5" x14ac:dyDescent="0.35">
      <c r="A76" s="49" t="s">
        <v>516</v>
      </c>
      <c r="B76" t="s">
        <v>521</v>
      </c>
      <c r="C76">
        <v>90302044</v>
      </c>
      <c r="D76" t="s">
        <v>557</v>
      </c>
      <c r="E76" s="21">
        <v>3001951</v>
      </c>
    </row>
    <row r="77" spans="1:5" x14ac:dyDescent="0.35">
      <c r="A77" s="49" t="s">
        <v>516</v>
      </c>
      <c r="B77" t="s">
        <v>522</v>
      </c>
      <c r="C77">
        <v>90300312</v>
      </c>
      <c r="D77" t="s">
        <v>557</v>
      </c>
      <c r="E77" s="21">
        <v>3001951</v>
      </c>
    </row>
    <row r="78" spans="1:5" x14ac:dyDescent="0.35">
      <c r="A78" s="49" t="s">
        <v>516</v>
      </c>
      <c r="B78" t="s">
        <v>579</v>
      </c>
      <c r="C78">
        <v>90300287</v>
      </c>
      <c r="D78" t="s">
        <v>557</v>
      </c>
      <c r="E78" s="21">
        <v>3001951</v>
      </c>
    </row>
    <row r="79" spans="1:5" x14ac:dyDescent="0.35">
      <c r="A79" s="49" t="s">
        <v>516</v>
      </c>
      <c r="B79" t="s">
        <v>523</v>
      </c>
      <c r="C79">
        <v>90300546</v>
      </c>
      <c r="D79" t="s">
        <v>557</v>
      </c>
      <c r="E79" s="21">
        <v>3001951</v>
      </c>
    </row>
    <row r="80" spans="1:5" x14ac:dyDescent="0.35">
      <c r="A80" s="49" t="s">
        <v>516</v>
      </c>
      <c r="B80" t="s">
        <v>524</v>
      </c>
      <c r="C80">
        <v>90300274</v>
      </c>
      <c r="D80" t="s">
        <v>557</v>
      </c>
      <c r="E80" s="21">
        <v>3001951</v>
      </c>
    </row>
    <row r="81" spans="1:5" x14ac:dyDescent="0.35">
      <c r="A81" s="49" t="s">
        <v>516</v>
      </c>
      <c r="B81" t="s">
        <v>525</v>
      </c>
      <c r="C81">
        <v>90300281</v>
      </c>
      <c r="D81" t="s">
        <v>557</v>
      </c>
      <c r="E81" s="21">
        <v>3001951</v>
      </c>
    </row>
    <row r="82" spans="1:5" x14ac:dyDescent="0.35">
      <c r="A82" s="49" t="s">
        <v>516</v>
      </c>
      <c r="B82" t="s">
        <v>580</v>
      </c>
      <c r="C82">
        <v>90300273</v>
      </c>
      <c r="D82" t="s">
        <v>557</v>
      </c>
      <c r="E82" s="21">
        <v>3001951</v>
      </c>
    </row>
    <row r="95" spans="1:5" x14ac:dyDescent="0.35">
      <c r="E95" s="10" t="str">
        <f t="shared" ref="E95:E101" si="0">IFERROR(VLOOKUP(D95,$G$2:$H$18,2,FALSE),"")</f>
        <v/>
      </c>
    </row>
    <row r="96" spans="1:5" x14ac:dyDescent="0.35">
      <c r="E96" s="10" t="str">
        <f t="shared" si="0"/>
        <v/>
      </c>
    </row>
    <row r="97" spans="5:5" x14ac:dyDescent="0.35">
      <c r="E97" s="10" t="str">
        <f t="shared" si="0"/>
        <v/>
      </c>
    </row>
    <row r="98" spans="5:5" x14ac:dyDescent="0.35">
      <c r="E98" s="10" t="str">
        <f t="shared" si="0"/>
        <v/>
      </c>
    </row>
    <row r="99" spans="5:5" x14ac:dyDescent="0.35">
      <c r="E99" s="10" t="str">
        <f t="shared" si="0"/>
        <v/>
      </c>
    </row>
    <row r="100" spans="5:5" x14ac:dyDescent="0.35">
      <c r="E100" s="10" t="str">
        <f t="shared" si="0"/>
        <v/>
      </c>
    </row>
    <row r="101" spans="5:5" x14ac:dyDescent="0.35">
      <c r="E101" s="10" t="str">
        <f t="shared" si="0"/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BC1A-32B2-4777-AAB5-998C660AF0A9}">
  <sheetPr>
    <tabColor rgb="FF00B050"/>
  </sheetPr>
  <dimension ref="A1:F397"/>
  <sheetViews>
    <sheetView topLeftCell="A287" workbookViewId="0">
      <selection activeCell="F301" sqref="F301"/>
    </sheetView>
  </sheetViews>
  <sheetFormatPr defaultColWidth="18.453125" defaultRowHeight="14.5" x14ac:dyDescent="0.35"/>
  <cols>
    <col min="1" max="1" width="18.7265625" customWidth="1"/>
    <col min="2" max="2" width="18" bestFit="1" customWidth="1"/>
    <col min="3" max="3" width="53.81640625" customWidth="1"/>
    <col min="4" max="4" width="40.7265625" customWidth="1"/>
    <col min="5" max="5" width="16.7265625" customWidth="1"/>
  </cols>
  <sheetData>
    <row r="1" spans="1:6" x14ac:dyDescent="0.35">
      <c r="A1" s="51" t="s">
        <v>45</v>
      </c>
      <c r="B1" s="51" t="s">
        <v>14</v>
      </c>
      <c r="C1" s="51" t="s">
        <v>48</v>
      </c>
      <c r="D1" s="51" t="s">
        <v>53</v>
      </c>
      <c r="E1" s="51" t="s">
        <v>46</v>
      </c>
      <c r="F1" s="51" t="s">
        <v>51</v>
      </c>
    </row>
    <row r="2" spans="1:6" x14ac:dyDescent="0.35">
      <c r="A2" s="5" t="s">
        <v>115</v>
      </c>
      <c r="B2" s="5" t="s">
        <v>178</v>
      </c>
      <c r="C2" s="5" t="s">
        <v>54</v>
      </c>
      <c r="D2" s="5" t="s">
        <v>215</v>
      </c>
      <c r="E2" s="5" t="s">
        <v>450</v>
      </c>
      <c r="F2" s="47"/>
    </row>
    <row r="3" spans="1:6" x14ac:dyDescent="0.35">
      <c r="A3" s="5" t="s">
        <v>116</v>
      </c>
      <c r="B3" s="5" t="s">
        <v>179</v>
      </c>
      <c r="C3" s="5" t="s">
        <v>55</v>
      </c>
      <c r="D3" s="5" t="s">
        <v>216</v>
      </c>
      <c r="E3" s="5" t="s">
        <v>451</v>
      </c>
      <c r="F3" s="47" t="s">
        <v>52</v>
      </c>
    </row>
    <row r="4" spans="1:6" x14ac:dyDescent="0.35">
      <c r="A4" s="5" t="s">
        <v>116</v>
      </c>
      <c r="B4" s="5" t="s">
        <v>178</v>
      </c>
      <c r="C4" s="5" t="s">
        <v>55</v>
      </c>
      <c r="D4" s="5" t="s">
        <v>217</v>
      </c>
      <c r="E4" s="5" t="s">
        <v>452</v>
      </c>
      <c r="F4" s="47" t="s">
        <v>516</v>
      </c>
    </row>
    <row r="5" spans="1:6" x14ac:dyDescent="0.35">
      <c r="A5" s="5" t="s">
        <v>116</v>
      </c>
      <c r="B5" s="5" t="s">
        <v>180</v>
      </c>
      <c r="C5" s="5" t="s">
        <v>55</v>
      </c>
      <c r="D5" s="5" t="s">
        <v>218</v>
      </c>
      <c r="E5" s="5" t="s">
        <v>451</v>
      </c>
      <c r="F5" s="47" t="s">
        <v>52</v>
      </c>
    </row>
    <row r="6" spans="1:6" x14ac:dyDescent="0.35">
      <c r="A6" s="5" t="s">
        <v>116</v>
      </c>
      <c r="B6" s="5" t="s">
        <v>181</v>
      </c>
      <c r="C6" s="5" t="s">
        <v>55</v>
      </c>
      <c r="D6" s="5" t="s">
        <v>219</v>
      </c>
      <c r="E6" s="5" t="s">
        <v>453</v>
      </c>
      <c r="F6" s="47"/>
    </row>
    <row r="7" spans="1:6" x14ac:dyDescent="0.35">
      <c r="A7" s="5" t="s">
        <v>116</v>
      </c>
      <c r="B7" s="5" t="s">
        <v>182</v>
      </c>
      <c r="C7" s="5" t="s">
        <v>55</v>
      </c>
      <c r="D7" s="5" t="s">
        <v>220</v>
      </c>
      <c r="E7" s="5" t="s">
        <v>454</v>
      </c>
      <c r="F7" s="47" t="s">
        <v>50</v>
      </c>
    </row>
    <row r="8" spans="1:6" x14ac:dyDescent="0.35">
      <c r="A8" s="5" t="s">
        <v>116</v>
      </c>
      <c r="B8" s="5" t="s">
        <v>183</v>
      </c>
      <c r="C8" s="5" t="s">
        <v>55</v>
      </c>
      <c r="D8" s="5" t="s">
        <v>221</v>
      </c>
      <c r="E8" s="5" t="s">
        <v>455</v>
      </c>
      <c r="F8" s="47" t="s">
        <v>50</v>
      </c>
    </row>
    <row r="9" spans="1:6" x14ac:dyDescent="0.35">
      <c r="A9" s="5" t="s">
        <v>116</v>
      </c>
      <c r="B9" s="5" t="s">
        <v>184</v>
      </c>
      <c r="C9" s="5" t="s">
        <v>55</v>
      </c>
      <c r="D9" s="5" t="s">
        <v>222</v>
      </c>
      <c r="E9" s="5" t="s">
        <v>452</v>
      </c>
      <c r="F9" s="47" t="s">
        <v>516</v>
      </c>
    </row>
    <row r="10" spans="1:6" x14ac:dyDescent="0.35">
      <c r="A10" s="5" t="s">
        <v>117</v>
      </c>
      <c r="B10" s="5" t="s">
        <v>178</v>
      </c>
      <c r="C10" s="5" t="s">
        <v>56</v>
      </c>
      <c r="D10" s="5" t="s">
        <v>223</v>
      </c>
      <c r="E10" s="5" t="s">
        <v>452</v>
      </c>
      <c r="F10" s="47" t="s">
        <v>516</v>
      </c>
    </row>
    <row r="11" spans="1:6" x14ac:dyDescent="0.35">
      <c r="A11" s="5" t="s">
        <v>117</v>
      </c>
      <c r="B11" s="5" t="s">
        <v>180</v>
      </c>
      <c r="C11" s="5" t="s">
        <v>56</v>
      </c>
      <c r="D11" s="5" t="s">
        <v>224</v>
      </c>
      <c r="E11" s="5" t="s">
        <v>451</v>
      </c>
      <c r="F11" s="47" t="s">
        <v>52</v>
      </c>
    </row>
    <row r="12" spans="1:6" x14ac:dyDescent="0.35">
      <c r="A12" s="5" t="s">
        <v>117</v>
      </c>
      <c r="B12" s="5" t="s">
        <v>181</v>
      </c>
      <c r="C12" s="5" t="s">
        <v>56</v>
      </c>
      <c r="D12" s="5" t="s">
        <v>225</v>
      </c>
      <c r="E12" s="5" t="s">
        <v>452</v>
      </c>
      <c r="F12" s="47" t="s">
        <v>516</v>
      </c>
    </row>
    <row r="13" spans="1:6" x14ac:dyDescent="0.35">
      <c r="A13" s="5" t="s">
        <v>118</v>
      </c>
      <c r="B13" s="5" t="s">
        <v>178</v>
      </c>
      <c r="C13" s="5" t="s">
        <v>57</v>
      </c>
      <c r="D13" s="5" t="s">
        <v>226</v>
      </c>
      <c r="E13" s="5" t="s">
        <v>452</v>
      </c>
      <c r="F13" s="47" t="s">
        <v>516</v>
      </c>
    </row>
    <row r="14" spans="1:6" x14ac:dyDescent="0.35">
      <c r="A14" s="5" t="s">
        <v>118</v>
      </c>
      <c r="B14" s="5" t="s">
        <v>180</v>
      </c>
      <c r="C14" s="5" t="s">
        <v>57</v>
      </c>
      <c r="D14" s="5" t="s">
        <v>227</v>
      </c>
      <c r="E14" s="5" t="s">
        <v>456</v>
      </c>
      <c r="F14" s="47" t="s">
        <v>478</v>
      </c>
    </row>
    <row r="15" spans="1:6" x14ac:dyDescent="0.35">
      <c r="A15" s="5" t="s">
        <v>118</v>
      </c>
      <c r="B15" s="5" t="s">
        <v>181</v>
      </c>
      <c r="C15" s="5" t="s">
        <v>57</v>
      </c>
      <c r="D15" s="5" t="s">
        <v>228</v>
      </c>
      <c r="E15" s="5" t="s">
        <v>456</v>
      </c>
      <c r="F15" s="47" t="s">
        <v>478</v>
      </c>
    </row>
    <row r="16" spans="1:6" x14ac:dyDescent="0.35">
      <c r="A16" s="5" t="s">
        <v>118</v>
      </c>
      <c r="B16" s="5" t="s">
        <v>182</v>
      </c>
      <c r="C16" s="5" t="s">
        <v>57</v>
      </c>
      <c r="D16" s="5" t="s">
        <v>229</v>
      </c>
      <c r="E16" s="5" t="s">
        <v>456</v>
      </c>
      <c r="F16" s="47" t="s">
        <v>478</v>
      </c>
    </row>
    <row r="17" spans="1:6" x14ac:dyDescent="0.35">
      <c r="A17" s="5" t="s">
        <v>118</v>
      </c>
      <c r="B17" s="5" t="s">
        <v>183</v>
      </c>
      <c r="C17" s="5" t="s">
        <v>57</v>
      </c>
      <c r="D17" s="5" t="s">
        <v>230</v>
      </c>
      <c r="E17" s="5" t="s">
        <v>452</v>
      </c>
      <c r="F17" s="47" t="s">
        <v>516</v>
      </c>
    </row>
    <row r="18" spans="1:6" x14ac:dyDescent="0.35">
      <c r="A18" s="5" t="s">
        <v>119</v>
      </c>
      <c r="B18" s="5" t="s">
        <v>178</v>
      </c>
      <c r="C18" s="5" t="s">
        <v>58</v>
      </c>
      <c r="D18" s="5" t="s">
        <v>58</v>
      </c>
      <c r="E18" s="5" t="s">
        <v>457</v>
      </c>
      <c r="F18" s="47" t="s">
        <v>478</v>
      </c>
    </row>
    <row r="19" spans="1:6" x14ac:dyDescent="0.35">
      <c r="A19" s="5" t="s">
        <v>120</v>
      </c>
      <c r="B19" s="5" t="s">
        <v>178</v>
      </c>
      <c r="C19" s="5" t="s">
        <v>59</v>
      </c>
      <c r="D19" s="5" t="s">
        <v>231</v>
      </c>
      <c r="E19" s="5" t="s">
        <v>458</v>
      </c>
      <c r="F19" s="47"/>
    </row>
    <row r="20" spans="1:6" x14ac:dyDescent="0.35">
      <c r="A20" s="5" t="s">
        <v>120</v>
      </c>
      <c r="B20" s="5" t="s">
        <v>180</v>
      </c>
      <c r="C20" s="5" t="s">
        <v>59</v>
      </c>
      <c r="D20" s="5" t="s">
        <v>232</v>
      </c>
      <c r="E20" s="5" t="s">
        <v>450</v>
      </c>
      <c r="F20" s="47"/>
    </row>
    <row r="21" spans="1:6" x14ac:dyDescent="0.35">
      <c r="A21" s="5" t="s">
        <v>120</v>
      </c>
      <c r="B21" s="5" t="s">
        <v>181</v>
      </c>
      <c r="C21" s="5" t="s">
        <v>59</v>
      </c>
      <c r="D21" s="5" t="s">
        <v>233</v>
      </c>
      <c r="E21" s="5" t="s">
        <v>49</v>
      </c>
      <c r="F21" s="47"/>
    </row>
    <row r="22" spans="1:6" x14ac:dyDescent="0.35">
      <c r="A22" s="5" t="s">
        <v>120</v>
      </c>
      <c r="B22" s="5" t="s">
        <v>183</v>
      </c>
      <c r="C22" s="5" t="s">
        <v>59</v>
      </c>
      <c r="D22" s="5" t="s">
        <v>233</v>
      </c>
      <c r="E22" s="5" t="s">
        <v>49</v>
      </c>
      <c r="F22" s="47"/>
    </row>
    <row r="23" spans="1:6" x14ac:dyDescent="0.35">
      <c r="A23" s="5" t="s">
        <v>120</v>
      </c>
      <c r="B23" s="5" t="s">
        <v>185</v>
      </c>
      <c r="C23" s="5" t="s">
        <v>59</v>
      </c>
      <c r="D23" s="5" t="s">
        <v>233</v>
      </c>
      <c r="E23" s="5" t="s">
        <v>49</v>
      </c>
      <c r="F23" s="47"/>
    </row>
    <row r="24" spans="1:6" x14ac:dyDescent="0.35">
      <c r="A24" s="5" t="s">
        <v>120</v>
      </c>
      <c r="B24" s="5" t="s">
        <v>186</v>
      </c>
      <c r="C24" s="5" t="s">
        <v>59</v>
      </c>
      <c r="D24" s="5" t="s">
        <v>233</v>
      </c>
      <c r="E24" s="5" t="s">
        <v>49</v>
      </c>
      <c r="F24" s="47"/>
    </row>
    <row r="25" spans="1:6" x14ac:dyDescent="0.35">
      <c r="A25" s="5" t="s">
        <v>120</v>
      </c>
      <c r="B25" s="5" t="s">
        <v>187</v>
      </c>
      <c r="C25" s="5" t="s">
        <v>59</v>
      </c>
      <c r="D25" s="5" t="s">
        <v>233</v>
      </c>
      <c r="E25" s="5" t="s">
        <v>49</v>
      </c>
      <c r="F25" s="47"/>
    </row>
    <row r="26" spans="1:6" x14ac:dyDescent="0.35">
      <c r="A26" s="5" t="s">
        <v>121</v>
      </c>
      <c r="B26" s="5" t="s">
        <v>178</v>
      </c>
      <c r="C26" s="5" t="s">
        <v>60</v>
      </c>
      <c r="D26" s="5" t="s">
        <v>60</v>
      </c>
      <c r="E26" s="5" t="s">
        <v>457</v>
      </c>
      <c r="F26" s="47" t="s">
        <v>478</v>
      </c>
    </row>
    <row r="27" spans="1:6" x14ac:dyDescent="0.35">
      <c r="A27" s="5" t="s">
        <v>121</v>
      </c>
      <c r="B27" s="5" t="s">
        <v>180</v>
      </c>
      <c r="C27" s="5" t="s">
        <v>60</v>
      </c>
      <c r="D27" s="5" t="s">
        <v>234</v>
      </c>
      <c r="E27" s="5" t="s">
        <v>457</v>
      </c>
      <c r="F27" s="47" t="s">
        <v>478</v>
      </c>
    </row>
    <row r="28" spans="1:6" x14ac:dyDescent="0.35">
      <c r="A28" s="5" t="s">
        <v>121</v>
      </c>
      <c r="B28" s="5" t="s">
        <v>181</v>
      </c>
      <c r="C28" s="5" t="s">
        <v>60</v>
      </c>
      <c r="D28" s="5" t="s">
        <v>60</v>
      </c>
      <c r="E28" s="5" t="s">
        <v>457</v>
      </c>
      <c r="F28" s="47" t="s">
        <v>478</v>
      </c>
    </row>
    <row r="29" spans="1:6" x14ac:dyDescent="0.35">
      <c r="A29" s="5" t="s">
        <v>122</v>
      </c>
      <c r="B29" s="5" t="s">
        <v>178</v>
      </c>
      <c r="C29" s="5" t="s">
        <v>61</v>
      </c>
      <c r="D29" s="5" t="s">
        <v>235</v>
      </c>
      <c r="E29" s="5" t="s">
        <v>456</v>
      </c>
      <c r="F29" s="47" t="s">
        <v>478</v>
      </c>
    </row>
    <row r="30" spans="1:6" x14ac:dyDescent="0.35">
      <c r="A30" s="5" t="s">
        <v>122</v>
      </c>
      <c r="B30" s="5" t="s">
        <v>180</v>
      </c>
      <c r="C30" s="5" t="s">
        <v>61</v>
      </c>
      <c r="D30" s="5" t="s">
        <v>235</v>
      </c>
      <c r="E30" s="5" t="s">
        <v>457</v>
      </c>
      <c r="F30" s="47" t="s">
        <v>478</v>
      </c>
    </row>
    <row r="31" spans="1:6" x14ac:dyDescent="0.35">
      <c r="A31" s="5" t="s">
        <v>123</v>
      </c>
      <c r="B31" s="5" t="s">
        <v>178</v>
      </c>
      <c r="C31" s="5" t="s">
        <v>62</v>
      </c>
      <c r="D31" s="5" t="s">
        <v>236</v>
      </c>
      <c r="E31" s="5" t="s">
        <v>452</v>
      </c>
      <c r="F31" s="47" t="s">
        <v>516</v>
      </c>
    </row>
    <row r="32" spans="1:6" x14ac:dyDescent="0.35">
      <c r="A32" s="5" t="s">
        <v>123</v>
      </c>
      <c r="B32" s="5" t="s">
        <v>180</v>
      </c>
      <c r="C32" s="5" t="s">
        <v>62</v>
      </c>
      <c r="D32" s="5" t="s">
        <v>62</v>
      </c>
      <c r="E32" s="5" t="s">
        <v>456</v>
      </c>
      <c r="F32" s="47" t="s">
        <v>478</v>
      </c>
    </row>
    <row r="33" spans="1:6" x14ac:dyDescent="0.35">
      <c r="A33" s="5" t="s">
        <v>123</v>
      </c>
      <c r="B33" s="5" t="s">
        <v>181</v>
      </c>
      <c r="C33" s="5" t="s">
        <v>62</v>
      </c>
      <c r="D33" s="5" t="s">
        <v>237</v>
      </c>
      <c r="E33" s="5" t="s">
        <v>456</v>
      </c>
      <c r="F33" s="47" t="s">
        <v>478</v>
      </c>
    </row>
    <row r="34" spans="1:6" x14ac:dyDescent="0.35">
      <c r="A34" s="5" t="s">
        <v>123</v>
      </c>
      <c r="B34" s="5" t="s">
        <v>182</v>
      </c>
      <c r="C34" s="5" t="s">
        <v>62</v>
      </c>
      <c r="D34" s="5" t="s">
        <v>236</v>
      </c>
      <c r="E34" s="5" t="s">
        <v>452</v>
      </c>
      <c r="F34" s="47" t="s">
        <v>516</v>
      </c>
    </row>
    <row r="35" spans="1:6" x14ac:dyDescent="0.35">
      <c r="A35" s="5" t="s">
        <v>124</v>
      </c>
      <c r="B35" s="5" t="s">
        <v>178</v>
      </c>
      <c r="C35" s="5" t="s">
        <v>63</v>
      </c>
      <c r="D35" s="5" t="s">
        <v>238</v>
      </c>
      <c r="E35" s="5" t="s">
        <v>460</v>
      </c>
    </row>
    <row r="36" spans="1:6" x14ac:dyDescent="0.35">
      <c r="A36" s="5" t="s">
        <v>124</v>
      </c>
      <c r="B36" s="5" t="s">
        <v>180</v>
      </c>
      <c r="C36" s="5" t="s">
        <v>63</v>
      </c>
      <c r="D36" s="5" t="s">
        <v>239</v>
      </c>
      <c r="E36" s="5" t="s">
        <v>461</v>
      </c>
    </row>
    <row r="37" spans="1:6" x14ac:dyDescent="0.35">
      <c r="A37" s="5" t="s">
        <v>124</v>
      </c>
      <c r="B37" s="5" t="s">
        <v>181</v>
      </c>
      <c r="C37" s="5" t="s">
        <v>63</v>
      </c>
      <c r="D37" s="5" t="s">
        <v>240</v>
      </c>
      <c r="E37" s="5" t="s">
        <v>462</v>
      </c>
      <c r="F37" s="47" t="s">
        <v>516</v>
      </c>
    </row>
    <row r="38" spans="1:6" x14ac:dyDescent="0.35">
      <c r="A38" s="5" t="s">
        <v>125</v>
      </c>
      <c r="B38" s="5" t="s">
        <v>178</v>
      </c>
      <c r="C38" s="5" t="s">
        <v>64</v>
      </c>
      <c r="D38" s="5" t="s">
        <v>241</v>
      </c>
      <c r="E38" s="5" t="s">
        <v>450</v>
      </c>
    </row>
    <row r="39" spans="1:6" x14ac:dyDescent="0.35">
      <c r="A39" s="5" t="s">
        <v>126</v>
      </c>
      <c r="B39" s="5" t="s">
        <v>178</v>
      </c>
      <c r="C39" s="5" t="s">
        <v>65</v>
      </c>
      <c r="D39" s="5" t="s">
        <v>242</v>
      </c>
      <c r="E39" s="5" t="s">
        <v>458</v>
      </c>
    </row>
    <row r="40" spans="1:6" x14ac:dyDescent="0.35">
      <c r="A40" s="5" t="s">
        <v>126</v>
      </c>
      <c r="B40" s="5" t="s">
        <v>180</v>
      </c>
      <c r="C40" s="5" t="s">
        <v>65</v>
      </c>
      <c r="D40" s="5" t="s">
        <v>243</v>
      </c>
      <c r="E40" s="5" t="s">
        <v>462</v>
      </c>
      <c r="F40" s="47" t="s">
        <v>516</v>
      </c>
    </row>
    <row r="41" spans="1:6" x14ac:dyDescent="0.35">
      <c r="A41" s="5" t="s">
        <v>126</v>
      </c>
      <c r="B41" s="5" t="s">
        <v>181</v>
      </c>
      <c r="C41" s="5" t="s">
        <v>65</v>
      </c>
      <c r="D41" s="5" t="s">
        <v>242</v>
      </c>
      <c r="E41" s="5" t="s">
        <v>451</v>
      </c>
      <c r="F41" s="47" t="s">
        <v>52</v>
      </c>
    </row>
    <row r="42" spans="1:6" x14ac:dyDescent="0.35">
      <c r="A42" s="5" t="s">
        <v>127</v>
      </c>
      <c r="B42" s="5" t="s">
        <v>178</v>
      </c>
      <c r="C42" s="5" t="s">
        <v>66</v>
      </c>
      <c r="D42" s="5" t="s">
        <v>244</v>
      </c>
      <c r="E42" s="5" t="s">
        <v>451</v>
      </c>
      <c r="F42" s="47" t="s">
        <v>52</v>
      </c>
    </row>
    <row r="43" spans="1:6" x14ac:dyDescent="0.35">
      <c r="A43" s="5" t="s">
        <v>128</v>
      </c>
      <c r="B43" s="5" t="s">
        <v>178</v>
      </c>
      <c r="C43" s="5" t="s">
        <v>594</v>
      </c>
      <c r="D43" s="5" t="s">
        <v>245</v>
      </c>
      <c r="E43" s="5" t="s">
        <v>450</v>
      </c>
    </row>
    <row r="44" spans="1:6" x14ac:dyDescent="0.35">
      <c r="A44" s="5" t="s">
        <v>129</v>
      </c>
      <c r="B44" s="5" t="s">
        <v>178</v>
      </c>
      <c r="C44" s="5" t="s">
        <v>70</v>
      </c>
      <c r="D44" s="5" t="s">
        <v>258</v>
      </c>
      <c r="E44" s="5" t="s">
        <v>451</v>
      </c>
      <c r="F44" s="47" t="s">
        <v>52</v>
      </c>
    </row>
    <row r="45" spans="1:6" x14ac:dyDescent="0.35">
      <c r="A45" s="5" t="s">
        <v>129</v>
      </c>
      <c r="B45" s="5" t="s">
        <v>180</v>
      </c>
      <c r="C45" s="5" t="s">
        <v>70</v>
      </c>
      <c r="D45" s="5" t="s">
        <v>233</v>
      </c>
      <c r="E45" s="5" t="s">
        <v>49</v>
      </c>
    </row>
    <row r="46" spans="1:6" x14ac:dyDescent="0.35">
      <c r="A46" s="5" t="s">
        <v>129</v>
      </c>
      <c r="B46" s="5" t="s">
        <v>181</v>
      </c>
      <c r="C46" s="5" t="s">
        <v>70</v>
      </c>
      <c r="D46" s="5" t="s">
        <v>259</v>
      </c>
      <c r="E46" s="5" t="s">
        <v>462</v>
      </c>
      <c r="F46" s="47" t="s">
        <v>516</v>
      </c>
    </row>
    <row r="47" spans="1:6" x14ac:dyDescent="0.35">
      <c r="A47" s="5" t="s">
        <v>130</v>
      </c>
      <c r="B47" s="5" t="s">
        <v>179</v>
      </c>
      <c r="C47" s="5" t="s">
        <v>595</v>
      </c>
      <c r="D47" s="5" t="s">
        <v>260</v>
      </c>
      <c r="E47" s="5" t="s">
        <v>450</v>
      </c>
    </row>
    <row r="48" spans="1:6" x14ac:dyDescent="0.35">
      <c r="A48" s="5" t="s">
        <v>130</v>
      </c>
      <c r="B48" s="5" t="s">
        <v>178</v>
      </c>
      <c r="C48" s="5" t="s">
        <v>595</v>
      </c>
      <c r="D48" s="5" t="s">
        <v>261</v>
      </c>
      <c r="E48" s="5" t="s">
        <v>450</v>
      </c>
    </row>
    <row r="49" spans="1:6" x14ac:dyDescent="0.35">
      <c r="A49" s="5" t="s">
        <v>130</v>
      </c>
      <c r="B49" s="5" t="s">
        <v>199</v>
      </c>
      <c r="C49" s="5" t="s">
        <v>595</v>
      </c>
      <c r="D49" s="5" t="s">
        <v>262</v>
      </c>
      <c r="E49" s="5" t="s">
        <v>461</v>
      </c>
    </row>
    <row r="50" spans="1:6" x14ac:dyDescent="0.35">
      <c r="A50" s="5" t="s">
        <v>130</v>
      </c>
      <c r="B50" s="5" t="s">
        <v>180</v>
      </c>
      <c r="C50" s="5" t="s">
        <v>595</v>
      </c>
      <c r="D50" s="5" t="s">
        <v>263</v>
      </c>
      <c r="E50" s="5" t="s">
        <v>450</v>
      </c>
    </row>
    <row r="51" spans="1:6" x14ac:dyDescent="0.35">
      <c r="A51" s="5" t="s">
        <v>130</v>
      </c>
      <c r="B51" s="5" t="s">
        <v>181</v>
      </c>
      <c r="C51" s="5" t="s">
        <v>595</v>
      </c>
      <c r="D51" s="5" t="s">
        <v>264</v>
      </c>
      <c r="E51" s="5" t="s">
        <v>450</v>
      </c>
      <c r="F51" s="47"/>
    </row>
    <row r="52" spans="1:6" x14ac:dyDescent="0.35">
      <c r="A52" s="5" t="s">
        <v>131</v>
      </c>
      <c r="B52" s="5" t="s">
        <v>179</v>
      </c>
      <c r="C52" s="5" t="s">
        <v>72</v>
      </c>
      <c r="D52" s="5" t="s">
        <v>265</v>
      </c>
      <c r="E52" s="5" t="s">
        <v>464</v>
      </c>
      <c r="F52" s="47"/>
    </row>
    <row r="53" spans="1:6" x14ac:dyDescent="0.35">
      <c r="A53" s="5" t="s">
        <v>131</v>
      </c>
      <c r="B53" s="5" t="s">
        <v>178</v>
      </c>
      <c r="C53" s="5" t="s">
        <v>72</v>
      </c>
      <c r="D53" s="5" t="s">
        <v>266</v>
      </c>
      <c r="E53" s="5" t="s">
        <v>451</v>
      </c>
      <c r="F53" s="47" t="s">
        <v>52</v>
      </c>
    </row>
    <row r="54" spans="1:6" x14ac:dyDescent="0.35">
      <c r="A54" s="5" t="s">
        <v>132</v>
      </c>
      <c r="B54" s="5" t="s">
        <v>178</v>
      </c>
      <c r="C54" s="5" t="s">
        <v>73</v>
      </c>
      <c r="D54" s="5" t="s">
        <v>267</v>
      </c>
      <c r="E54" s="5" t="s">
        <v>451</v>
      </c>
      <c r="F54" s="47" t="s">
        <v>52</v>
      </c>
    </row>
    <row r="55" spans="1:6" x14ac:dyDescent="0.35">
      <c r="A55" s="5" t="s">
        <v>132</v>
      </c>
      <c r="B55" s="5" t="s">
        <v>180</v>
      </c>
      <c r="C55" s="5" t="s">
        <v>73</v>
      </c>
      <c r="D55" s="5" t="s">
        <v>268</v>
      </c>
      <c r="E55" s="5" t="s">
        <v>450</v>
      </c>
    </row>
    <row r="56" spans="1:6" x14ac:dyDescent="0.35">
      <c r="A56" s="5" t="s">
        <v>132</v>
      </c>
      <c r="B56" s="5" t="s">
        <v>181</v>
      </c>
      <c r="C56" s="5" t="s">
        <v>73</v>
      </c>
      <c r="D56" s="5" t="s">
        <v>269</v>
      </c>
      <c r="E56" s="5" t="s">
        <v>454</v>
      </c>
      <c r="F56" s="47" t="s">
        <v>50</v>
      </c>
    </row>
    <row r="57" spans="1:6" x14ac:dyDescent="0.35">
      <c r="A57" s="5" t="s">
        <v>132</v>
      </c>
      <c r="B57" s="5" t="s">
        <v>182</v>
      </c>
      <c r="C57" s="5" t="s">
        <v>73</v>
      </c>
      <c r="D57" s="5" t="s">
        <v>270</v>
      </c>
      <c r="E57" s="5" t="s">
        <v>455</v>
      </c>
      <c r="F57" s="47" t="s">
        <v>50</v>
      </c>
    </row>
    <row r="58" spans="1:6" x14ac:dyDescent="0.35">
      <c r="A58" s="5" t="s">
        <v>132</v>
      </c>
      <c r="B58" s="5" t="s">
        <v>183</v>
      </c>
      <c r="C58" s="5" t="s">
        <v>73</v>
      </c>
      <c r="D58" s="5" t="s">
        <v>271</v>
      </c>
      <c r="E58" s="5" t="s">
        <v>453</v>
      </c>
    </row>
    <row r="59" spans="1:6" x14ac:dyDescent="0.35">
      <c r="A59" s="5" t="s">
        <v>133</v>
      </c>
      <c r="B59" s="5" t="s">
        <v>178</v>
      </c>
      <c r="C59" s="5" t="s">
        <v>74</v>
      </c>
      <c r="D59" s="5" t="s">
        <v>272</v>
      </c>
      <c r="E59" s="5" t="s">
        <v>450</v>
      </c>
    </row>
    <row r="60" spans="1:6" x14ac:dyDescent="0.35">
      <c r="A60" s="5" t="s">
        <v>133</v>
      </c>
      <c r="B60" s="5" t="s">
        <v>180</v>
      </c>
      <c r="C60" s="5" t="s">
        <v>74</v>
      </c>
      <c r="D60" s="5" t="s">
        <v>273</v>
      </c>
      <c r="E60" s="5" t="s">
        <v>451</v>
      </c>
      <c r="F60" s="47" t="s">
        <v>52</v>
      </c>
    </row>
    <row r="61" spans="1:6" x14ac:dyDescent="0.35">
      <c r="A61" s="5" t="s">
        <v>133</v>
      </c>
      <c r="B61" s="5" t="s">
        <v>181</v>
      </c>
      <c r="C61" s="5" t="s">
        <v>74</v>
      </c>
      <c r="D61" s="5" t="s">
        <v>274</v>
      </c>
      <c r="E61" s="5" t="s">
        <v>450</v>
      </c>
      <c r="F61" s="47"/>
    </row>
    <row r="62" spans="1:6" x14ac:dyDescent="0.35">
      <c r="A62" s="5" t="s">
        <v>134</v>
      </c>
      <c r="B62" s="5" t="s">
        <v>178</v>
      </c>
      <c r="C62" s="5" t="s">
        <v>75</v>
      </c>
      <c r="D62" s="5" t="s">
        <v>275</v>
      </c>
      <c r="E62" s="5" t="s">
        <v>464</v>
      </c>
      <c r="F62" s="47"/>
    </row>
    <row r="63" spans="1:6" x14ac:dyDescent="0.35">
      <c r="A63" s="5" t="s">
        <v>134</v>
      </c>
      <c r="B63" s="5" t="s">
        <v>180</v>
      </c>
      <c r="C63" s="5" t="s">
        <v>75</v>
      </c>
      <c r="D63" s="5" t="s">
        <v>276</v>
      </c>
      <c r="E63" s="5" t="s">
        <v>464</v>
      </c>
      <c r="F63" s="47"/>
    </row>
    <row r="64" spans="1:6" x14ac:dyDescent="0.35">
      <c r="A64" s="5" t="s">
        <v>134</v>
      </c>
      <c r="B64" s="5" t="s">
        <v>181</v>
      </c>
      <c r="C64" s="5" t="s">
        <v>75</v>
      </c>
      <c r="D64" s="5" t="s">
        <v>277</v>
      </c>
      <c r="E64" s="5" t="s">
        <v>464</v>
      </c>
      <c r="F64" s="47"/>
    </row>
    <row r="65" spans="1:6" x14ac:dyDescent="0.35">
      <c r="A65" s="5" t="s">
        <v>134</v>
      </c>
      <c r="B65" s="5" t="s">
        <v>182</v>
      </c>
      <c r="C65" s="5" t="s">
        <v>75</v>
      </c>
      <c r="D65" s="5" t="s">
        <v>278</v>
      </c>
      <c r="E65" s="5" t="s">
        <v>464</v>
      </c>
    </row>
    <row r="66" spans="1:6" x14ac:dyDescent="0.35">
      <c r="A66" s="5" t="s">
        <v>134</v>
      </c>
      <c r="B66" s="5" t="s">
        <v>183</v>
      </c>
      <c r="C66" s="5" t="s">
        <v>75</v>
      </c>
      <c r="D66" s="5" t="s">
        <v>600</v>
      </c>
      <c r="E66" s="5" t="s">
        <v>463</v>
      </c>
      <c r="F66" s="47" t="s">
        <v>479</v>
      </c>
    </row>
    <row r="67" spans="1:6" x14ac:dyDescent="0.35">
      <c r="A67" s="5" t="s">
        <v>134</v>
      </c>
      <c r="B67" s="5" t="s">
        <v>184</v>
      </c>
      <c r="C67" s="5" t="s">
        <v>75</v>
      </c>
      <c r="D67" s="5" t="s">
        <v>279</v>
      </c>
      <c r="E67" s="5" t="s">
        <v>454</v>
      </c>
      <c r="F67" s="47" t="s">
        <v>50</v>
      </c>
    </row>
    <row r="68" spans="1:6" x14ac:dyDescent="0.35">
      <c r="A68" s="5" t="s">
        <v>134</v>
      </c>
      <c r="B68" s="5" t="s">
        <v>185</v>
      </c>
      <c r="C68" s="5" t="s">
        <v>75</v>
      </c>
      <c r="D68" s="5" t="s">
        <v>280</v>
      </c>
      <c r="E68" s="5" t="s">
        <v>455</v>
      </c>
      <c r="F68" s="47" t="s">
        <v>50</v>
      </c>
    </row>
    <row r="69" spans="1:6" x14ac:dyDescent="0.35">
      <c r="A69" s="5" t="s">
        <v>134</v>
      </c>
      <c r="B69" s="5" t="s">
        <v>188</v>
      </c>
      <c r="C69" s="5" t="s">
        <v>75</v>
      </c>
      <c r="D69" s="5" t="s">
        <v>281</v>
      </c>
      <c r="E69" s="5" t="s">
        <v>453</v>
      </c>
    </row>
    <row r="70" spans="1:6" x14ac:dyDescent="0.35">
      <c r="A70" s="5" t="s">
        <v>134</v>
      </c>
      <c r="B70" s="5" t="s">
        <v>186</v>
      </c>
      <c r="C70" s="5" t="s">
        <v>75</v>
      </c>
      <c r="D70" s="5" t="s">
        <v>282</v>
      </c>
      <c r="E70" s="5" t="s">
        <v>450</v>
      </c>
    </row>
    <row r="71" spans="1:6" x14ac:dyDescent="0.35">
      <c r="A71" s="5" t="s">
        <v>134</v>
      </c>
      <c r="B71" s="5" t="s">
        <v>187</v>
      </c>
      <c r="C71" s="5" t="s">
        <v>75</v>
      </c>
      <c r="D71" s="5" t="s">
        <v>601</v>
      </c>
      <c r="E71" s="5" t="s">
        <v>463</v>
      </c>
      <c r="F71" s="47" t="s">
        <v>479</v>
      </c>
    </row>
    <row r="72" spans="1:6" x14ac:dyDescent="0.35">
      <c r="A72" s="5" t="s">
        <v>134</v>
      </c>
      <c r="B72" s="5" t="s">
        <v>189</v>
      </c>
      <c r="C72" s="5" t="s">
        <v>75</v>
      </c>
      <c r="D72" s="5" t="s">
        <v>283</v>
      </c>
      <c r="E72" s="5" t="s">
        <v>461</v>
      </c>
    </row>
    <row r="73" spans="1:6" x14ac:dyDescent="0.35">
      <c r="A73" s="5" t="s">
        <v>134</v>
      </c>
      <c r="B73" s="5" t="s">
        <v>190</v>
      </c>
      <c r="C73" s="5" t="s">
        <v>75</v>
      </c>
      <c r="D73" s="5" t="s">
        <v>602</v>
      </c>
      <c r="E73" s="5" t="s">
        <v>463</v>
      </c>
      <c r="F73" s="47" t="s">
        <v>479</v>
      </c>
    </row>
    <row r="74" spans="1:6" x14ac:dyDescent="0.35">
      <c r="A74" s="5" t="s">
        <v>134</v>
      </c>
      <c r="B74" s="5" t="s">
        <v>191</v>
      </c>
      <c r="C74" s="5" t="s">
        <v>75</v>
      </c>
      <c r="D74" s="5" t="s">
        <v>603</v>
      </c>
      <c r="E74" s="5" t="s">
        <v>463</v>
      </c>
      <c r="F74" s="47" t="s">
        <v>479</v>
      </c>
    </row>
    <row r="75" spans="1:6" x14ac:dyDescent="0.35">
      <c r="A75" s="5" t="s">
        <v>134</v>
      </c>
      <c r="B75" s="5" t="s">
        <v>192</v>
      </c>
      <c r="C75" s="5" t="s">
        <v>75</v>
      </c>
      <c r="D75" s="5" t="s">
        <v>284</v>
      </c>
      <c r="E75" s="5" t="s">
        <v>452</v>
      </c>
      <c r="F75" s="47" t="s">
        <v>516</v>
      </c>
    </row>
    <row r="76" spans="1:6" x14ac:dyDescent="0.35">
      <c r="A76" s="5" t="s">
        <v>134</v>
      </c>
      <c r="B76" s="5" t="s">
        <v>193</v>
      </c>
      <c r="C76" s="5" t="s">
        <v>75</v>
      </c>
      <c r="D76" s="5" t="s">
        <v>604</v>
      </c>
      <c r="E76" s="5" t="s">
        <v>463</v>
      </c>
      <c r="F76" s="47" t="s">
        <v>479</v>
      </c>
    </row>
    <row r="77" spans="1:6" x14ac:dyDescent="0.35">
      <c r="A77" s="5" t="s">
        <v>134</v>
      </c>
      <c r="B77" s="5" t="s">
        <v>194</v>
      </c>
      <c r="C77" s="5" t="s">
        <v>75</v>
      </c>
      <c r="D77" s="5" t="s">
        <v>605</v>
      </c>
      <c r="E77" s="5" t="s">
        <v>463</v>
      </c>
      <c r="F77" s="47" t="s">
        <v>479</v>
      </c>
    </row>
    <row r="78" spans="1:6" x14ac:dyDescent="0.35">
      <c r="A78" s="5" t="s">
        <v>134</v>
      </c>
      <c r="B78" s="5" t="s">
        <v>195</v>
      </c>
      <c r="C78" s="5" t="s">
        <v>75</v>
      </c>
      <c r="D78" s="5" t="s">
        <v>606</v>
      </c>
      <c r="E78" s="5" t="s">
        <v>463</v>
      </c>
      <c r="F78" s="47" t="s">
        <v>479</v>
      </c>
    </row>
    <row r="79" spans="1:6" x14ac:dyDescent="0.35">
      <c r="A79" s="5" t="s">
        <v>134</v>
      </c>
      <c r="B79" s="5" t="s">
        <v>196</v>
      </c>
      <c r="C79" s="5" t="s">
        <v>75</v>
      </c>
      <c r="D79" s="5" t="s">
        <v>285</v>
      </c>
      <c r="E79" s="5" t="s">
        <v>452</v>
      </c>
      <c r="F79" s="47" t="s">
        <v>516</v>
      </c>
    </row>
    <row r="80" spans="1:6" x14ac:dyDescent="0.35">
      <c r="A80" s="5" t="s">
        <v>134</v>
      </c>
      <c r="B80" s="5" t="s">
        <v>197</v>
      </c>
      <c r="C80" s="5" t="s">
        <v>75</v>
      </c>
      <c r="D80" s="5" t="s">
        <v>286</v>
      </c>
      <c r="E80" s="5" t="s">
        <v>453</v>
      </c>
      <c r="F80" s="47"/>
    </row>
    <row r="81" spans="1:6" x14ac:dyDescent="0.35">
      <c r="A81" s="5" t="s">
        <v>134</v>
      </c>
      <c r="B81" s="5" t="s">
        <v>198</v>
      </c>
      <c r="C81" s="5" t="s">
        <v>75</v>
      </c>
      <c r="D81" s="5" t="s">
        <v>287</v>
      </c>
      <c r="E81" s="5" t="s">
        <v>454</v>
      </c>
      <c r="F81" s="47" t="s">
        <v>50</v>
      </c>
    </row>
    <row r="82" spans="1:6" x14ac:dyDescent="0.35">
      <c r="A82" s="5" t="s">
        <v>134</v>
      </c>
      <c r="B82" s="5" t="s">
        <v>200</v>
      </c>
      <c r="C82" s="5" t="s">
        <v>75</v>
      </c>
      <c r="D82" s="5" t="s">
        <v>288</v>
      </c>
      <c r="E82" s="5" t="s">
        <v>455</v>
      </c>
      <c r="F82" s="47" t="s">
        <v>50</v>
      </c>
    </row>
    <row r="83" spans="1:6" x14ac:dyDescent="0.35">
      <c r="A83" s="5" t="s">
        <v>134</v>
      </c>
      <c r="B83" s="5" t="s">
        <v>587</v>
      </c>
      <c r="C83" s="5" t="s">
        <v>75</v>
      </c>
      <c r="D83" s="5" t="s">
        <v>607</v>
      </c>
      <c r="E83" s="5" t="s">
        <v>463</v>
      </c>
      <c r="F83" s="47" t="s">
        <v>479</v>
      </c>
    </row>
    <row r="84" spans="1:6" x14ac:dyDescent="0.35">
      <c r="A84" s="5" t="s">
        <v>134</v>
      </c>
      <c r="B84" s="5" t="s">
        <v>201</v>
      </c>
      <c r="C84" s="5" t="s">
        <v>75</v>
      </c>
      <c r="D84" s="5" t="s">
        <v>289</v>
      </c>
      <c r="E84" s="5" t="s">
        <v>457</v>
      </c>
      <c r="F84" s="47" t="s">
        <v>478</v>
      </c>
    </row>
    <row r="85" spans="1:6" x14ac:dyDescent="0.35">
      <c r="A85" s="5" t="s">
        <v>134</v>
      </c>
      <c r="B85" s="5" t="s">
        <v>202</v>
      </c>
      <c r="C85" s="5" t="s">
        <v>75</v>
      </c>
      <c r="D85" s="5" t="s">
        <v>290</v>
      </c>
      <c r="E85" s="5" t="s">
        <v>461</v>
      </c>
    </row>
    <row r="86" spans="1:6" x14ac:dyDescent="0.35">
      <c r="A86" s="5" t="s">
        <v>134</v>
      </c>
      <c r="B86" s="5" t="s">
        <v>588</v>
      </c>
      <c r="C86" s="5" t="s">
        <v>75</v>
      </c>
      <c r="D86" s="5" t="s">
        <v>608</v>
      </c>
      <c r="E86" s="5" t="s">
        <v>463</v>
      </c>
      <c r="F86" s="47" t="s">
        <v>479</v>
      </c>
    </row>
    <row r="87" spans="1:6" x14ac:dyDescent="0.35">
      <c r="A87" s="5" t="s">
        <v>134</v>
      </c>
      <c r="B87" s="5" t="s">
        <v>589</v>
      </c>
      <c r="C87" s="5" t="s">
        <v>75</v>
      </c>
      <c r="D87" s="5" t="s">
        <v>609</v>
      </c>
      <c r="E87" s="5" t="s">
        <v>463</v>
      </c>
      <c r="F87" s="47" t="s">
        <v>479</v>
      </c>
    </row>
    <row r="88" spans="1:6" x14ac:dyDescent="0.35">
      <c r="A88" s="5" t="s">
        <v>134</v>
      </c>
      <c r="B88" s="5" t="s">
        <v>203</v>
      </c>
      <c r="C88" s="5" t="s">
        <v>75</v>
      </c>
      <c r="D88" s="5" t="s">
        <v>291</v>
      </c>
      <c r="E88" s="5" t="s">
        <v>453</v>
      </c>
    </row>
    <row r="89" spans="1:6" x14ac:dyDescent="0.35">
      <c r="A89" s="5" t="s">
        <v>134</v>
      </c>
      <c r="B89" s="5" t="s">
        <v>204</v>
      </c>
      <c r="C89" s="5" t="s">
        <v>75</v>
      </c>
      <c r="D89" s="5" t="s">
        <v>292</v>
      </c>
      <c r="E89" s="5" t="s">
        <v>454</v>
      </c>
      <c r="F89" s="47" t="s">
        <v>50</v>
      </c>
    </row>
    <row r="90" spans="1:6" x14ac:dyDescent="0.35">
      <c r="A90" s="5" t="s">
        <v>134</v>
      </c>
      <c r="B90" s="5" t="s">
        <v>205</v>
      </c>
      <c r="C90" s="5" t="s">
        <v>75</v>
      </c>
      <c r="D90" s="5" t="s">
        <v>293</v>
      </c>
      <c r="E90" s="5" t="s">
        <v>455</v>
      </c>
      <c r="F90" s="47" t="s">
        <v>50</v>
      </c>
    </row>
    <row r="91" spans="1:6" x14ac:dyDescent="0.35">
      <c r="A91" s="5" t="s">
        <v>134</v>
      </c>
      <c r="B91" s="5" t="s">
        <v>206</v>
      </c>
      <c r="C91" s="5" t="s">
        <v>75</v>
      </c>
      <c r="D91" s="5" t="s">
        <v>294</v>
      </c>
      <c r="E91" s="5" t="s">
        <v>450</v>
      </c>
    </row>
    <row r="92" spans="1:6" x14ac:dyDescent="0.35">
      <c r="A92" s="5" t="s">
        <v>134</v>
      </c>
      <c r="B92" s="5" t="s">
        <v>590</v>
      </c>
      <c r="C92" s="5" t="s">
        <v>75</v>
      </c>
      <c r="D92" s="5" t="s">
        <v>610</v>
      </c>
      <c r="E92" s="5" t="s">
        <v>463</v>
      </c>
      <c r="F92" s="47" t="s">
        <v>479</v>
      </c>
    </row>
    <row r="93" spans="1:6" x14ac:dyDescent="0.35">
      <c r="A93" s="5" t="s">
        <v>134</v>
      </c>
      <c r="B93" s="5" t="s">
        <v>591</v>
      </c>
      <c r="C93" s="5" t="s">
        <v>75</v>
      </c>
      <c r="D93" s="5" t="s">
        <v>611</v>
      </c>
      <c r="E93" s="5" t="s">
        <v>463</v>
      </c>
      <c r="F93" s="47" t="s">
        <v>479</v>
      </c>
    </row>
    <row r="94" spans="1:6" x14ac:dyDescent="0.35">
      <c r="A94" s="5" t="s">
        <v>134</v>
      </c>
      <c r="B94" s="5" t="s">
        <v>592</v>
      </c>
      <c r="C94" s="5" t="s">
        <v>75</v>
      </c>
      <c r="D94" s="5" t="s">
        <v>612</v>
      </c>
      <c r="E94" s="5" t="s">
        <v>463</v>
      </c>
      <c r="F94" s="47" t="s">
        <v>479</v>
      </c>
    </row>
    <row r="95" spans="1:6" x14ac:dyDescent="0.35">
      <c r="A95" s="5" t="s">
        <v>135</v>
      </c>
      <c r="B95" s="5" t="s">
        <v>178</v>
      </c>
      <c r="C95" s="5" t="s">
        <v>100</v>
      </c>
      <c r="D95" s="5" t="s">
        <v>364</v>
      </c>
      <c r="E95" s="5" t="s">
        <v>460</v>
      </c>
      <c r="F95" s="47"/>
    </row>
    <row r="96" spans="1:6" x14ac:dyDescent="0.35">
      <c r="A96" s="5" t="s">
        <v>136</v>
      </c>
      <c r="B96" s="5" t="s">
        <v>178</v>
      </c>
      <c r="C96" s="5" t="s">
        <v>101</v>
      </c>
      <c r="D96" s="5" t="s">
        <v>365</v>
      </c>
      <c r="E96" s="5" t="s">
        <v>465</v>
      </c>
      <c r="F96" s="5" t="s">
        <v>631</v>
      </c>
    </row>
    <row r="97" spans="1:6" x14ac:dyDescent="0.35">
      <c r="A97" s="5" t="s">
        <v>137</v>
      </c>
      <c r="B97" s="5" t="s">
        <v>178</v>
      </c>
      <c r="C97" s="5" t="s">
        <v>102</v>
      </c>
      <c r="D97" s="5" t="s">
        <v>366</v>
      </c>
      <c r="E97" s="5" t="s">
        <v>469</v>
      </c>
      <c r="F97" s="47" t="s">
        <v>479</v>
      </c>
    </row>
    <row r="98" spans="1:6" x14ac:dyDescent="0.35">
      <c r="A98" s="5" t="s">
        <v>137</v>
      </c>
      <c r="B98" s="5" t="s">
        <v>207</v>
      </c>
      <c r="C98" s="5" t="s">
        <v>102</v>
      </c>
      <c r="D98" s="5" t="s">
        <v>613</v>
      </c>
      <c r="E98" s="5" t="s">
        <v>460</v>
      </c>
      <c r="F98" s="47"/>
    </row>
    <row r="99" spans="1:6" x14ac:dyDescent="0.35">
      <c r="A99" s="5" t="s">
        <v>137</v>
      </c>
      <c r="B99" s="5" t="s">
        <v>180</v>
      </c>
      <c r="C99" s="5" t="s">
        <v>102</v>
      </c>
      <c r="D99" s="5" t="s">
        <v>367</v>
      </c>
      <c r="E99" s="5" t="s">
        <v>469</v>
      </c>
      <c r="F99" s="47" t="s">
        <v>479</v>
      </c>
    </row>
    <row r="100" spans="1:6" x14ac:dyDescent="0.35">
      <c r="A100" s="5" t="s">
        <v>137</v>
      </c>
      <c r="B100" s="5" t="s">
        <v>208</v>
      </c>
      <c r="C100" s="5" t="s">
        <v>102</v>
      </c>
      <c r="D100" s="5" t="s">
        <v>367</v>
      </c>
      <c r="E100" s="5" t="s">
        <v>469</v>
      </c>
      <c r="F100" s="47" t="s">
        <v>479</v>
      </c>
    </row>
    <row r="101" spans="1:6" x14ac:dyDescent="0.35">
      <c r="A101" s="5" t="s">
        <v>137</v>
      </c>
      <c r="B101" s="5" t="s">
        <v>181</v>
      </c>
      <c r="C101" s="5" t="s">
        <v>102</v>
      </c>
      <c r="D101" s="5" t="s">
        <v>368</v>
      </c>
      <c r="E101" s="5" t="s">
        <v>453</v>
      </c>
    </row>
    <row r="102" spans="1:6" x14ac:dyDescent="0.35">
      <c r="A102" s="5" t="s">
        <v>137</v>
      </c>
      <c r="B102" s="5" t="s">
        <v>182</v>
      </c>
      <c r="C102" s="5" t="s">
        <v>102</v>
      </c>
      <c r="D102" s="5" t="s">
        <v>369</v>
      </c>
      <c r="E102" s="5" t="s">
        <v>454</v>
      </c>
      <c r="F102" s="47" t="s">
        <v>50</v>
      </c>
    </row>
    <row r="103" spans="1:6" x14ac:dyDescent="0.35">
      <c r="A103" s="5" t="s">
        <v>137</v>
      </c>
      <c r="B103" s="5" t="s">
        <v>183</v>
      </c>
      <c r="C103" s="5" t="s">
        <v>102</v>
      </c>
      <c r="D103" s="5" t="s">
        <v>370</v>
      </c>
      <c r="E103" s="5" t="s">
        <v>455</v>
      </c>
      <c r="F103" s="47" t="s">
        <v>50</v>
      </c>
    </row>
    <row r="104" spans="1:6" x14ac:dyDescent="0.35">
      <c r="A104" s="5" t="s">
        <v>137</v>
      </c>
      <c r="B104" s="5" t="s">
        <v>184</v>
      </c>
      <c r="C104" s="5" t="s">
        <v>102</v>
      </c>
      <c r="D104" s="5" t="s">
        <v>371</v>
      </c>
      <c r="E104" s="5" t="s">
        <v>461</v>
      </c>
    </row>
    <row r="105" spans="1:6" x14ac:dyDescent="0.35">
      <c r="A105" s="5" t="s">
        <v>137</v>
      </c>
      <c r="B105" s="5" t="s">
        <v>185</v>
      </c>
      <c r="C105" s="5" t="s">
        <v>102</v>
      </c>
      <c r="D105" s="5" t="s">
        <v>372</v>
      </c>
      <c r="E105" s="5" t="s">
        <v>469</v>
      </c>
      <c r="F105" s="47" t="s">
        <v>479</v>
      </c>
    </row>
    <row r="106" spans="1:6" x14ac:dyDescent="0.35">
      <c r="A106" s="5" t="s">
        <v>137</v>
      </c>
      <c r="B106" s="5" t="s">
        <v>188</v>
      </c>
      <c r="C106" s="5" t="s">
        <v>102</v>
      </c>
      <c r="D106" s="5" t="s">
        <v>373</v>
      </c>
      <c r="E106" s="5" t="s">
        <v>471</v>
      </c>
      <c r="F106" s="47"/>
    </row>
    <row r="107" spans="1:6" x14ac:dyDescent="0.35">
      <c r="A107" s="5" t="s">
        <v>137</v>
      </c>
      <c r="B107" s="5" t="s">
        <v>186</v>
      </c>
      <c r="C107" s="5" t="s">
        <v>102</v>
      </c>
      <c r="D107" s="5" t="s">
        <v>614</v>
      </c>
      <c r="E107" s="5" t="s">
        <v>460</v>
      </c>
    </row>
    <row r="108" spans="1:6" x14ac:dyDescent="0.35">
      <c r="A108" s="5" t="s">
        <v>137</v>
      </c>
      <c r="B108" s="5" t="s">
        <v>187</v>
      </c>
      <c r="C108" s="5" t="s">
        <v>102</v>
      </c>
      <c r="D108" s="5" t="s">
        <v>374</v>
      </c>
      <c r="E108" s="5" t="s">
        <v>460</v>
      </c>
    </row>
    <row r="109" spans="1:6" x14ac:dyDescent="0.35">
      <c r="A109" s="5" t="s">
        <v>138</v>
      </c>
      <c r="B109" s="5" t="s">
        <v>178</v>
      </c>
      <c r="C109" s="5" t="s">
        <v>103</v>
      </c>
      <c r="D109" s="5" t="s">
        <v>375</v>
      </c>
      <c r="E109" s="5" t="s">
        <v>450</v>
      </c>
      <c r="F109" s="47"/>
    </row>
    <row r="110" spans="1:6" x14ac:dyDescent="0.35">
      <c r="A110" s="5" t="s">
        <v>139</v>
      </c>
      <c r="B110" s="5" t="s">
        <v>178</v>
      </c>
      <c r="C110" s="5" t="s">
        <v>104</v>
      </c>
      <c r="D110" s="5" t="s">
        <v>376</v>
      </c>
      <c r="E110" s="5" t="s">
        <v>458</v>
      </c>
      <c r="F110" s="47"/>
    </row>
    <row r="111" spans="1:6" x14ac:dyDescent="0.35">
      <c r="A111" s="5" t="s">
        <v>139</v>
      </c>
      <c r="B111" s="5" t="s">
        <v>180</v>
      </c>
      <c r="C111" s="5" t="s">
        <v>104</v>
      </c>
      <c r="D111" s="5" t="s">
        <v>377</v>
      </c>
      <c r="E111" s="5" t="s">
        <v>472</v>
      </c>
      <c r="F111" s="5" t="s">
        <v>631</v>
      </c>
    </row>
    <row r="112" spans="1:6" x14ac:dyDescent="0.35">
      <c r="A112" s="5" t="s">
        <v>139</v>
      </c>
      <c r="B112" s="5" t="s">
        <v>181</v>
      </c>
      <c r="C112" s="5" t="s">
        <v>104</v>
      </c>
      <c r="D112" s="5" t="s">
        <v>378</v>
      </c>
      <c r="E112" s="5" t="s">
        <v>465</v>
      </c>
      <c r="F112" s="5" t="s">
        <v>631</v>
      </c>
    </row>
    <row r="113" spans="1:6" x14ac:dyDescent="0.35">
      <c r="A113" s="5" t="s">
        <v>139</v>
      </c>
      <c r="B113" s="5" t="s">
        <v>182</v>
      </c>
      <c r="C113" s="5" t="s">
        <v>104</v>
      </c>
      <c r="D113" s="5" t="s">
        <v>379</v>
      </c>
      <c r="E113" s="5" t="s">
        <v>458</v>
      </c>
    </row>
    <row r="114" spans="1:6" x14ac:dyDescent="0.35">
      <c r="A114" s="5" t="s">
        <v>139</v>
      </c>
      <c r="B114" s="5" t="s">
        <v>183</v>
      </c>
      <c r="C114" s="5" t="s">
        <v>104</v>
      </c>
      <c r="D114" s="5" t="s">
        <v>380</v>
      </c>
      <c r="E114" s="5" t="s">
        <v>452</v>
      </c>
      <c r="F114" s="47" t="s">
        <v>516</v>
      </c>
    </row>
    <row r="115" spans="1:6" x14ac:dyDescent="0.35">
      <c r="A115" s="5" t="s">
        <v>139</v>
      </c>
      <c r="B115" s="5" t="s">
        <v>184</v>
      </c>
      <c r="C115" s="5" t="s">
        <v>104</v>
      </c>
      <c r="D115" s="5" t="s">
        <v>381</v>
      </c>
      <c r="E115" s="5" t="s">
        <v>450</v>
      </c>
      <c r="F115" s="47"/>
    </row>
    <row r="116" spans="1:6" x14ac:dyDescent="0.35">
      <c r="A116" s="5" t="s">
        <v>139</v>
      </c>
      <c r="B116" s="5" t="s">
        <v>188</v>
      </c>
      <c r="C116" s="5" t="s">
        <v>104</v>
      </c>
      <c r="D116" s="5" t="s">
        <v>382</v>
      </c>
      <c r="E116" s="5" t="s">
        <v>473</v>
      </c>
    </row>
    <row r="117" spans="1:6" x14ac:dyDescent="0.35">
      <c r="A117" s="5" t="s">
        <v>139</v>
      </c>
      <c r="B117" s="5" t="s">
        <v>186</v>
      </c>
      <c r="C117" s="5" t="s">
        <v>104</v>
      </c>
      <c r="D117" s="5" t="s">
        <v>383</v>
      </c>
      <c r="E117" s="5" t="s">
        <v>454</v>
      </c>
      <c r="F117" s="47" t="s">
        <v>50</v>
      </c>
    </row>
    <row r="118" spans="1:6" x14ac:dyDescent="0.35">
      <c r="A118" s="5" t="s">
        <v>139</v>
      </c>
      <c r="B118" s="5" t="s">
        <v>187</v>
      </c>
      <c r="C118" s="5" t="s">
        <v>104</v>
      </c>
      <c r="D118" s="5" t="s">
        <v>384</v>
      </c>
      <c r="E118" s="5" t="s">
        <v>455</v>
      </c>
      <c r="F118" s="47" t="s">
        <v>50</v>
      </c>
    </row>
    <row r="119" spans="1:6" x14ac:dyDescent="0.35">
      <c r="A119" s="5" t="s">
        <v>139</v>
      </c>
      <c r="B119" s="5" t="s">
        <v>189</v>
      </c>
      <c r="C119" s="5" t="s">
        <v>104</v>
      </c>
      <c r="D119" s="5" t="s">
        <v>385</v>
      </c>
      <c r="E119" s="5" t="s">
        <v>458</v>
      </c>
      <c r="F119" s="5"/>
    </row>
    <row r="120" spans="1:6" x14ac:dyDescent="0.35">
      <c r="A120" s="5" t="s">
        <v>139</v>
      </c>
      <c r="B120" s="5" t="s">
        <v>209</v>
      </c>
      <c r="C120" s="5" t="s">
        <v>104</v>
      </c>
      <c r="D120" s="5" t="s">
        <v>386</v>
      </c>
      <c r="E120" s="5" t="s">
        <v>466</v>
      </c>
      <c r="F120" s="5" t="s">
        <v>631</v>
      </c>
    </row>
    <row r="121" spans="1:6" x14ac:dyDescent="0.35">
      <c r="A121" s="5" t="s">
        <v>139</v>
      </c>
      <c r="B121" s="5" t="s">
        <v>190</v>
      </c>
      <c r="C121" s="5" t="s">
        <v>104</v>
      </c>
      <c r="D121" s="5" t="s">
        <v>387</v>
      </c>
      <c r="E121" s="5" t="s">
        <v>465</v>
      </c>
      <c r="F121" s="5" t="s">
        <v>631</v>
      </c>
    </row>
    <row r="122" spans="1:6" x14ac:dyDescent="0.35">
      <c r="A122" s="5" t="s">
        <v>139</v>
      </c>
      <c r="B122" s="5" t="s">
        <v>191</v>
      </c>
      <c r="C122" s="5" t="s">
        <v>104</v>
      </c>
      <c r="D122" s="5" t="s">
        <v>388</v>
      </c>
      <c r="E122" s="5" t="s">
        <v>472</v>
      </c>
      <c r="F122" s="5" t="s">
        <v>631</v>
      </c>
    </row>
    <row r="123" spans="1:6" x14ac:dyDescent="0.35">
      <c r="A123" s="5" t="s">
        <v>139</v>
      </c>
      <c r="B123" s="5" t="s">
        <v>192</v>
      </c>
      <c r="C123" s="5" t="s">
        <v>104</v>
      </c>
      <c r="D123" s="5" t="s">
        <v>389</v>
      </c>
      <c r="E123" s="5" t="s">
        <v>468</v>
      </c>
    </row>
    <row r="124" spans="1:6" x14ac:dyDescent="0.35">
      <c r="A124" s="5" t="s">
        <v>139</v>
      </c>
      <c r="B124" s="5" t="s">
        <v>193</v>
      </c>
      <c r="C124" s="5" t="s">
        <v>104</v>
      </c>
      <c r="D124" s="5" t="s">
        <v>390</v>
      </c>
      <c r="E124" s="5" t="s">
        <v>462</v>
      </c>
      <c r="F124" s="47" t="s">
        <v>516</v>
      </c>
    </row>
    <row r="125" spans="1:6" x14ac:dyDescent="0.35">
      <c r="A125" s="5" t="s">
        <v>139</v>
      </c>
      <c r="B125" s="5" t="s">
        <v>194</v>
      </c>
      <c r="C125" s="5" t="s">
        <v>104</v>
      </c>
      <c r="D125" s="5" t="s">
        <v>391</v>
      </c>
      <c r="E125" s="5" t="s">
        <v>459</v>
      </c>
    </row>
    <row r="126" spans="1:6" x14ac:dyDescent="0.35">
      <c r="A126" s="5" t="s">
        <v>139</v>
      </c>
      <c r="B126" s="5" t="s">
        <v>195</v>
      </c>
      <c r="C126" s="5" t="s">
        <v>104</v>
      </c>
      <c r="D126" s="5" t="s">
        <v>392</v>
      </c>
      <c r="E126" s="5" t="s">
        <v>474</v>
      </c>
    </row>
    <row r="127" spans="1:6" x14ac:dyDescent="0.35">
      <c r="A127" s="5" t="s">
        <v>139</v>
      </c>
      <c r="B127" s="5" t="s">
        <v>196</v>
      </c>
      <c r="C127" s="5" t="s">
        <v>104</v>
      </c>
      <c r="D127" s="5" t="s">
        <v>393</v>
      </c>
      <c r="E127" s="5" t="s">
        <v>458</v>
      </c>
    </row>
    <row r="128" spans="1:6" x14ac:dyDescent="0.35">
      <c r="A128" s="5" t="s">
        <v>139</v>
      </c>
      <c r="B128" s="5" t="s">
        <v>197</v>
      </c>
      <c r="C128" s="5" t="s">
        <v>104</v>
      </c>
      <c r="D128" s="5" t="s">
        <v>615</v>
      </c>
      <c r="E128" s="5" t="s">
        <v>463</v>
      </c>
      <c r="F128" s="47" t="s">
        <v>479</v>
      </c>
    </row>
    <row r="129" spans="1:6" x14ac:dyDescent="0.35">
      <c r="A129" s="5" t="s">
        <v>139</v>
      </c>
      <c r="B129" s="5" t="s">
        <v>198</v>
      </c>
      <c r="C129" s="5" t="s">
        <v>104</v>
      </c>
      <c r="D129" s="5" t="s">
        <v>394</v>
      </c>
      <c r="E129" s="5" t="s">
        <v>452</v>
      </c>
      <c r="F129" s="47" t="s">
        <v>516</v>
      </c>
    </row>
    <row r="130" spans="1:6" x14ac:dyDescent="0.35">
      <c r="A130" s="5" t="s">
        <v>139</v>
      </c>
      <c r="B130" s="5" t="s">
        <v>200</v>
      </c>
      <c r="C130" s="5" t="s">
        <v>104</v>
      </c>
      <c r="D130" s="5" t="s">
        <v>616</v>
      </c>
      <c r="E130" s="5" t="s">
        <v>463</v>
      </c>
      <c r="F130" s="47" t="s">
        <v>479</v>
      </c>
    </row>
    <row r="131" spans="1:6" x14ac:dyDescent="0.35">
      <c r="A131" s="5" t="s">
        <v>583</v>
      </c>
      <c r="B131" s="5" t="s">
        <v>178</v>
      </c>
      <c r="C131" s="5" t="s">
        <v>596</v>
      </c>
      <c r="D131" s="5" t="s">
        <v>617</v>
      </c>
      <c r="E131" s="5" t="s">
        <v>471</v>
      </c>
      <c r="F131" s="47"/>
    </row>
    <row r="132" spans="1:6" x14ac:dyDescent="0.35">
      <c r="A132" s="5" t="s">
        <v>140</v>
      </c>
      <c r="B132" s="5" t="s">
        <v>178</v>
      </c>
      <c r="C132" s="5" t="s">
        <v>68</v>
      </c>
      <c r="D132" s="5" t="s">
        <v>247</v>
      </c>
      <c r="E132" s="5" t="s">
        <v>458</v>
      </c>
      <c r="F132" s="47"/>
    </row>
    <row r="133" spans="1:6" x14ac:dyDescent="0.35">
      <c r="A133" s="5" t="s">
        <v>141</v>
      </c>
      <c r="B133" s="5" t="s">
        <v>178</v>
      </c>
      <c r="C133" s="5" t="s">
        <v>76</v>
      </c>
      <c r="D133" s="5" t="s">
        <v>295</v>
      </c>
      <c r="E133" s="5" t="s">
        <v>450</v>
      </c>
      <c r="F133" s="47"/>
    </row>
    <row r="134" spans="1:6" x14ac:dyDescent="0.35">
      <c r="A134" s="5" t="s">
        <v>142</v>
      </c>
      <c r="B134" s="5" t="s">
        <v>178</v>
      </c>
      <c r="C134" s="5" t="s">
        <v>67</v>
      </c>
      <c r="D134" s="5" t="s">
        <v>246</v>
      </c>
      <c r="E134" s="5" t="s">
        <v>458</v>
      </c>
    </row>
    <row r="135" spans="1:6" x14ac:dyDescent="0.35">
      <c r="A135" s="5" t="s">
        <v>143</v>
      </c>
      <c r="B135" s="5" t="s">
        <v>178</v>
      </c>
      <c r="C135" s="5" t="s">
        <v>85</v>
      </c>
      <c r="D135" s="5" t="s">
        <v>307</v>
      </c>
      <c r="E135" s="5" t="s">
        <v>457</v>
      </c>
      <c r="F135" s="47" t="s">
        <v>478</v>
      </c>
    </row>
    <row r="136" spans="1:6" x14ac:dyDescent="0.35">
      <c r="A136" s="5" t="s">
        <v>143</v>
      </c>
      <c r="B136" s="5" t="s">
        <v>180</v>
      </c>
      <c r="C136" s="5" t="s">
        <v>85</v>
      </c>
      <c r="D136" s="5" t="s">
        <v>308</v>
      </c>
      <c r="E136" s="5" t="s">
        <v>457</v>
      </c>
      <c r="F136" s="47" t="s">
        <v>478</v>
      </c>
    </row>
    <row r="137" spans="1:6" x14ac:dyDescent="0.35">
      <c r="A137" s="5" t="s">
        <v>144</v>
      </c>
      <c r="B137" s="5" t="s">
        <v>178</v>
      </c>
      <c r="C137" s="5" t="s">
        <v>89</v>
      </c>
      <c r="D137" s="5" t="s">
        <v>321</v>
      </c>
      <c r="E137" s="5" t="s">
        <v>457</v>
      </c>
      <c r="F137" s="47" t="s">
        <v>478</v>
      </c>
    </row>
    <row r="138" spans="1:6" x14ac:dyDescent="0.35">
      <c r="A138" s="5" t="s">
        <v>144</v>
      </c>
      <c r="B138" s="5" t="s">
        <v>180</v>
      </c>
      <c r="C138" s="5" t="s">
        <v>89</v>
      </c>
      <c r="D138" s="5" t="s">
        <v>322</v>
      </c>
      <c r="E138" s="5" t="s">
        <v>457</v>
      </c>
      <c r="F138" s="47" t="s">
        <v>478</v>
      </c>
    </row>
    <row r="139" spans="1:6" x14ac:dyDescent="0.35">
      <c r="A139" s="5" t="s">
        <v>145</v>
      </c>
      <c r="B139" s="5" t="s">
        <v>178</v>
      </c>
      <c r="C139" s="5" t="s">
        <v>96</v>
      </c>
      <c r="D139" s="5" t="s">
        <v>346</v>
      </c>
      <c r="E139" s="5" t="s">
        <v>457</v>
      </c>
      <c r="F139" s="47" t="s">
        <v>478</v>
      </c>
    </row>
    <row r="140" spans="1:6" x14ac:dyDescent="0.35">
      <c r="A140" s="5" t="s">
        <v>145</v>
      </c>
      <c r="B140" s="5" t="s">
        <v>180</v>
      </c>
      <c r="C140" s="5" t="s">
        <v>96</v>
      </c>
      <c r="D140" s="5" t="s">
        <v>347</v>
      </c>
      <c r="E140" s="5" t="s">
        <v>470</v>
      </c>
      <c r="F140" s="47"/>
    </row>
    <row r="141" spans="1:6" x14ac:dyDescent="0.35">
      <c r="A141" s="5" t="s">
        <v>145</v>
      </c>
      <c r="B141" s="5" t="s">
        <v>181</v>
      </c>
      <c r="C141" s="5" t="s">
        <v>96</v>
      </c>
      <c r="D141" s="5" t="s">
        <v>348</v>
      </c>
      <c r="E141" s="5" t="s">
        <v>453</v>
      </c>
    </row>
    <row r="142" spans="1:6" x14ac:dyDescent="0.35">
      <c r="A142" s="5" t="s">
        <v>145</v>
      </c>
      <c r="B142" s="5" t="s">
        <v>182</v>
      </c>
      <c r="C142" s="5" t="s">
        <v>96</v>
      </c>
      <c r="D142" s="5" t="s">
        <v>349</v>
      </c>
      <c r="E142" s="5" t="s">
        <v>454</v>
      </c>
      <c r="F142" s="47" t="s">
        <v>50</v>
      </c>
    </row>
    <row r="143" spans="1:6" x14ac:dyDescent="0.35">
      <c r="A143" s="5" t="s">
        <v>145</v>
      </c>
      <c r="B143" s="5" t="s">
        <v>183</v>
      </c>
      <c r="C143" s="5" t="s">
        <v>96</v>
      </c>
      <c r="D143" s="5" t="s">
        <v>350</v>
      </c>
      <c r="E143" s="5" t="s">
        <v>455</v>
      </c>
      <c r="F143" s="47" t="s">
        <v>50</v>
      </c>
    </row>
    <row r="144" spans="1:6" x14ac:dyDescent="0.35">
      <c r="A144" s="5" t="s">
        <v>145</v>
      </c>
      <c r="B144" s="5" t="s">
        <v>184</v>
      </c>
      <c r="C144" s="5" t="s">
        <v>96</v>
      </c>
      <c r="D144" s="5" t="s">
        <v>351</v>
      </c>
      <c r="E144" s="5" t="s">
        <v>463</v>
      </c>
      <c r="F144" s="47" t="s">
        <v>479</v>
      </c>
    </row>
    <row r="145" spans="1:6" x14ac:dyDescent="0.35">
      <c r="A145" s="5" t="s">
        <v>145</v>
      </c>
      <c r="B145" s="5" t="s">
        <v>185</v>
      </c>
      <c r="C145" s="5" t="s">
        <v>96</v>
      </c>
      <c r="D145" s="5" t="s">
        <v>352</v>
      </c>
      <c r="E145" s="5" t="s">
        <v>463</v>
      </c>
      <c r="F145" s="47" t="s">
        <v>479</v>
      </c>
    </row>
    <row r="146" spans="1:6" x14ac:dyDescent="0.35">
      <c r="A146" s="5" t="s">
        <v>145</v>
      </c>
      <c r="B146" s="5" t="s">
        <v>194</v>
      </c>
      <c r="C146" s="5" t="s">
        <v>96</v>
      </c>
      <c r="D146" s="5" t="s">
        <v>353</v>
      </c>
      <c r="E146" s="5" t="s">
        <v>457</v>
      </c>
      <c r="F146" s="47" t="s">
        <v>478</v>
      </c>
    </row>
    <row r="147" spans="1:6" x14ac:dyDescent="0.35">
      <c r="A147" s="5" t="s">
        <v>145</v>
      </c>
      <c r="B147" s="5" t="s">
        <v>195</v>
      </c>
      <c r="C147" s="5" t="s">
        <v>96</v>
      </c>
      <c r="D147" s="5" t="s">
        <v>354</v>
      </c>
      <c r="E147" s="5" t="s">
        <v>470</v>
      </c>
      <c r="F147" s="47"/>
    </row>
    <row r="148" spans="1:6" x14ac:dyDescent="0.35">
      <c r="A148" s="5" t="s">
        <v>145</v>
      </c>
      <c r="B148" s="5" t="s">
        <v>196</v>
      </c>
      <c r="C148" s="5" t="s">
        <v>96</v>
      </c>
      <c r="D148" s="5" t="s">
        <v>355</v>
      </c>
      <c r="E148" s="5" t="s">
        <v>453</v>
      </c>
      <c r="F148" s="47"/>
    </row>
    <row r="149" spans="1:6" x14ac:dyDescent="0.35">
      <c r="A149" s="5" t="s">
        <v>145</v>
      </c>
      <c r="B149" s="5" t="s">
        <v>197</v>
      </c>
      <c r="C149" s="5" t="s">
        <v>96</v>
      </c>
      <c r="D149" s="5" t="s">
        <v>356</v>
      </c>
      <c r="E149" s="5" t="s">
        <v>454</v>
      </c>
      <c r="F149" s="47" t="s">
        <v>50</v>
      </c>
    </row>
    <row r="150" spans="1:6" x14ac:dyDescent="0.35">
      <c r="A150" s="5" t="s">
        <v>145</v>
      </c>
      <c r="B150" s="5" t="s">
        <v>198</v>
      </c>
      <c r="C150" s="5" t="s">
        <v>96</v>
      </c>
      <c r="D150" s="5" t="s">
        <v>357</v>
      </c>
      <c r="E150" s="5" t="s">
        <v>455</v>
      </c>
      <c r="F150" s="47" t="s">
        <v>50</v>
      </c>
    </row>
    <row r="151" spans="1:6" x14ac:dyDescent="0.35">
      <c r="A151" s="5" t="s">
        <v>146</v>
      </c>
      <c r="B151" s="5" t="s">
        <v>178</v>
      </c>
      <c r="C151" s="5" t="s">
        <v>69</v>
      </c>
      <c r="D151" s="5" t="s">
        <v>248</v>
      </c>
      <c r="E151" s="5" t="s">
        <v>458</v>
      </c>
    </row>
    <row r="152" spans="1:6" x14ac:dyDescent="0.35">
      <c r="A152" s="5" t="s">
        <v>146</v>
      </c>
      <c r="B152" s="5" t="s">
        <v>180</v>
      </c>
      <c r="C152" s="5" t="s">
        <v>69</v>
      </c>
      <c r="D152" s="5" t="s">
        <v>395</v>
      </c>
      <c r="E152" s="5" t="s">
        <v>465</v>
      </c>
      <c r="F152" s="5" t="s">
        <v>631</v>
      </c>
    </row>
    <row r="153" spans="1:6" x14ac:dyDescent="0.35">
      <c r="A153" s="5" t="s">
        <v>146</v>
      </c>
      <c r="B153" s="5" t="s">
        <v>181</v>
      </c>
      <c r="C153" s="5" t="s">
        <v>69</v>
      </c>
      <c r="D153" s="5" t="s">
        <v>396</v>
      </c>
      <c r="E153" s="5" t="s">
        <v>462</v>
      </c>
      <c r="F153" s="47" t="s">
        <v>516</v>
      </c>
    </row>
    <row r="154" spans="1:6" x14ac:dyDescent="0.35">
      <c r="A154" s="5" t="s">
        <v>146</v>
      </c>
      <c r="B154" s="5" t="s">
        <v>210</v>
      </c>
      <c r="C154" s="5" t="s">
        <v>69</v>
      </c>
      <c r="D154" s="5" t="s">
        <v>397</v>
      </c>
      <c r="E154" s="5" t="s">
        <v>467</v>
      </c>
      <c r="F154" s="5" t="s">
        <v>477</v>
      </c>
    </row>
    <row r="155" spans="1:6" x14ac:dyDescent="0.35">
      <c r="A155" s="5" t="s">
        <v>146</v>
      </c>
      <c r="B155" s="5" t="s">
        <v>182</v>
      </c>
      <c r="C155" s="5" t="s">
        <v>69</v>
      </c>
      <c r="D155" s="5" t="s">
        <v>618</v>
      </c>
      <c r="E155" s="5" t="s">
        <v>463</v>
      </c>
      <c r="F155" s="47" t="s">
        <v>479</v>
      </c>
    </row>
    <row r="156" spans="1:6" x14ac:dyDescent="0.35">
      <c r="A156" s="5" t="s">
        <v>146</v>
      </c>
      <c r="B156" s="5" t="s">
        <v>211</v>
      </c>
      <c r="C156" s="5" t="s">
        <v>69</v>
      </c>
      <c r="D156" s="5" t="s">
        <v>398</v>
      </c>
      <c r="E156" s="5" t="s">
        <v>451</v>
      </c>
      <c r="F156" s="47" t="s">
        <v>52</v>
      </c>
    </row>
    <row r="157" spans="1:6" x14ac:dyDescent="0.35">
      <c r="A157" s="5" t="s">
        <v>146</v>
      </c>
      <c r="B157" s="5" t="s">
        <v>183</v>
      </c>
      <c r="C157" s="5" t="s">
        <v>69</v>
      </c>
      <c r="D157" s="5" t="s">
        <v>399</v>
      </c>
      <c r="E157" s="5" t="s">
        <v>469</v>
      </c>
      <c r="F157" s="47" t="s">
        <v>479</v>
      </c>
    </row>
    <row r="158" spans="1:6" x14ac:dyDescent="0.35">
      <c r="A158" s="5" t="s">
        <v>146</v>
      </c>
      <c r="B158" s="5" t="s">
        <v>184</v>
      </c>
      <c r="C158" s="5" t="s">
        <v>69</v>
      </c>
      <c r="D158" s="5" t="s">
        <v>249</v>
      </c>
      <c r="E158" s="5" t="s">
        <v>452</v>
      </c>
      <c r="F158" s="47" t="s">
        <v>516</v>
      </c>
    </row>
    <row r="159" spans="1:6" x14ac:dyDescent="0.35">
      <c r="A159" s="5" t="s">
        <v>146</v>
      </c>
      <c r="B159" s="5" t="s">
        <v>185</v>
      </c>
      <c r="C159" s="5" t="s">
        <v>69</v>
      </c>
      <c r="D159" s="5" t="s">
        <v>400</v>
      </c>
      <c r="E159" s="5" t="s">
        <v>457</v>
      </c>
      <c r="F159" s="47" t="s">
        <v>478</v>
      </c>
    </row>
    <row r="160" spans="1:6" x14ac:dyDescent="0.35">
      <c r="A160" s="5" t="s">
        <v>146</v>
      </c>
      <c r="B160" s="5" t="s">
        <v>188</v>
      </c>
      <c r="C160" s="5" t="s">
        <v>69</v>
      </c>
      <c r="D160" s="5" t="s">
        <v>250</v>
      </c>
      <c r="E160" s="5" t="s">
        <v>454</v>
      </c>
      <c r="F160" s="47" t="s">
        <v>50</v>
      </c>
    </row>
    <row r="161" spans="1:6" x14ac:dyDescent="0.35">
      <c r="A161" s="5" t="s">
        <v>146</v>
      </c>
      <c r="B161" s="5" t="s">
        <v>186</v>
      </c>
      <c r="C161" s="5" t="s">
        <v>69</v>
      </c>
      <c r="D161" s="5" t="s">
        <v>251</v>
      </c>
      <c r="E161" s="5" t="s">
        <v>455</v>
      </c>
      <c r="F161" s="47" t="s">
        <v>50</v>
      </c>
    </row>
    <row r="162" spans="1:6" x14ac:dyDescent="0.35">
      <c r="A162" s="5" t="s">
        <v>146</v>
      </c>
      <c r="B162" s="5" t="s">
        <v>187</v>
      </c>
      <c r="C162" s="5" t="s">
        <v>69</v>
      </c>
      <c r="D162" s="5" t="s">
        <v>252</v>
      </c>
      <c r="E162" s="5" t="s">
        <v>450</v>
      </c>
    </row>
    <row r="163" spans="1:6" x14ac:dyDescent="0.35">
      <c r="A163" s="5" t="s">
        <v>146</v>
      </c>
      <c r="B163" s="5" t="s">
        <v>189</v>
      </c>
      <c r="C163" s="5" t="s">
        <v>69</v>
      </c>
      <c r="D163" s="5" t="s">
        <v>253</v>
      </c>
      <c r="E163" s="5" t="s">
        <v>458</v>
      </c>
      <c r="F163" s="47"/>
    </row>
    <row r="164" spans="1:6" x14ac:dyDescent="0.35">
      <c r="A164" s="5" t="s">
        <v>146</v>
      </c>
      <c r="B164" s="5" t="s">
        <v>190</v>
      </c>
      <c r="C164" s="5" t="s">
        <v>69</v>
      </c>
      <c r="D164" s="5" t="s">
        <v>401</v>
      </c>
      <c r="E164" s="5" t="s">
        <v>465</v>
      </c>
      <c r="F164" s="5" t="s">
        <v>631</v>
      </c>
    </row>
    <row r="165" spans="1:6" x14ac:dyDescent="0.35">
      <c r="A165" s="5" t="s">
        <v>146</v>
      </c>
      <c r="B165" s="5" t="s">
        <v>191</v>
      </c>
      <c r="C165" s="5" t="s">
        <v>69</v>
      </c>
      <c r="D165" s="5" t="s">
        <v>619</v>
      </c>
      <c r="E165" s="5" t="s">
        <v>463</v>
      </c>
      <c r="F165" s="47" t="s">
        <v>479</v>
      </c>
    </row>
    <row r="166" spans="1:6" x14ac:dyDescent="0.35">
      <c r="A166" s="5" t="s">
        <v>146</v>
      </c>
      <c r="B166" s="5" t="s">
        <v>212</v>
      </c>
      <c r="C166" s="5" t="s">
        <v>69</v>
      </c>
      <c r="D166" s="5" t="s">
        <v>402</v>
      </c>
      <c r="E166" s="5" t="s">
        <v>467</v>
      </c>
      <c r="F166" s="5" t="s">
        <v>477</v>
      </c>
    </row>
    <row r="167" spans="1:6" x14ac:dyDescent="0.35">
      <c r="A167" s="5" t="s">
        <v>146</v>
      </c>
      <c r="B167" s="5" t="s">
        <v>192</v>
      </c>
      <c r="C167" s="5" t="s">
        <v>69</v>
      </c>
      <c r="D167" s="5" t="s">
        <v>403</v>
      </c>
      <c r="E167" s="5" t="s">
        <v>462</v>
      </c>
      <c r="F167" s="47" t="s">
        <v>516</v>
      </c>
    </row>
    <row r="168" spans="1:6" x14ac:dyDescent="0.35">
      <c r="A168" s="5" t="s">
        <v>146</v>
      </c>
      <c r="B168" s="5" t="s">
        <v>213</v>
      </c>
      <c r="C168" s="5" t="s">
        <v>69</v>
      </c>
      <c r="D168" s="5" t="s">
        <v>404</v>
      </c>
      <c r="E168" s="5" t="s">
        <v>451</v>
      </c>
      <c r="F168" s="47" t="s">
        <v>52</v>
      </c>
    </row>
    <row r="169" spans="1:6" x14ac:dyDescent="0.35">
      <c r="A169" s="5" t="s">
        <v>146</v>
      </c>
      <c r="B169" s="5" t="s">
        <v>193</v>
      </c>
      <c r="C169" s="5" t="s">
        <v>69</v>
      </c>
      <c r="D169" s="5" t="s">
        <v>405</v>
      </c>
      <c r="E169" s="5" t="s">
        <v>469</v>
      </c>
      <c r="F169" s="47" t="s">
        <v>479</v>
      </c>
    </row>
    <row r="170" spans="1:6" x14ac:dyDescent="0.35">
      <c r="A170" s="5" t="s">
        <v>146</v>
      </c>
      <c r="B170" s="5" t="s">
        <v>194</v>
      </c>
      <c r="C170" s="5" t="s">
        <v>69</v>
      </c>
      <c r="D170" s="5" t="s">
        <v>254</v>
      </c>
      <c r="E170" s="5" t="s">
        <v>454</v>
      </c>
      <c r="F170" s="47" t="s">
        <v>50</v>
      </c>
    </row>
    <row r="171" spans="1:6" x14ac:dyDescent="0.35">
      <c r="A171" s="5" t="s">
        <v>146</v>
      </c>
      <c r="B171" s="5" t="s">
        <v>195</v>
      </c>
      <c r="C171" s="5" t="s">
        <v>69</v>
      </c>
      <c r="D171" s="5" t="s">
        <v>255</v>
      </c>
      <c r="E171" s="5" t="s">
        <v>455</v>
      </c>
      <c r="F171" s="47" t="s">
        <v>50</v>
      </c>
    </row>
    <row r="172" spans="1:6" x14ac:dyDescent="0.35">
      <c r="A172" s="5" t="s">
        <v>146</v>
      </c>
      <c r="B172" s="5" t="s">
        <v>196</v>
      </c>
      <c r="C172" s="5" t="s">
        <v>69</v>
      </c>
      <c r="D172" s="5" t="s">
        <v>256</v>
      </c>
      <c r="E172" s="5" t="s">
        <v>452</v>
      </c>
      <c r="F172" s="47" t="s">
        <v>516</v>
      </c>
    </row>
    <row r="173" spans="1:6" x14ac:dyDescent="0.35">
      <c r="A173" s="5" t="s">
        <v>146</v>
      </c>
      <c r="B173" s="5" t="s">
        <v>197</v>
      </c>
      <c r="C173" s="5" t="s">
        <v>69</v>
      </c>
      <c r="D173" s="5" t="s">
        <v>406</v>
      </c>
      <c r="E173" s="5" t="s">
        <v>457</v>
      </c>
      <c r="F173" s="47" t="s">
        <v>478</v>
      </c>
    </row>
    <row r="174" spans="1:6" x14ac:dyDescent="0.35">
      <c r="A174" s="5" t="s">
        <v>146</v>
      </c>
      <c r="B174" s="5" t="s">
        <v>198</v>
      </c>
      <c r="C174" s="5" t="s">
        <v>69</v>
      </c>
      <c r="D174" s="5" t="s">
        <v>257</v>
      </c>
      <c r="E174" s="5" t="s">
        <v>450</v>
      </c>
    </row>
    <row r="175" spans="1:6" x14ac:dyDescent="0.35">
      <c r="A175" s="5" t="s">
        <v>147</v>
      </c>
      <c r="B175" s="5" t="s">
        <v>178</v>
      </c>
      <c r="C175" s="5" t="s">
        <v>77</v>
      </c>
      <c r="D175" s="5" t="s">
        <v>296</v>
      </c>
      <c r="E175" s="5" t="s">
        <v>458</v>
      </c>
      <c r="F175" s="47"/>
    </row>
    <row r="176" spans="1:6" x14ac:dyDescent="0.35">
      <c r="A176" s="5" t="s">
        <v>148</v>
      </c>
      <c r="B176" s="5" t="s">
        <v>178</v>
      </c>
      <c r="C176" s="5" t="s">
        <v>99</v>
      </c>
      <c r="D176" s="5" t="s">
        <v>361</v>
      </c>
      <c r="E176" s="5" t="s">
        <v>451</v>
      </c>
      <c r="F176" s="47" t="s">
        <v>52</v>
      </c>
    </row>
    <row r="177" spans="1:6" x14ac:dyDescent="0.35">
      <c r="A177" s="5" t="s">
        <v>148</v>
      </c>
      <c r="B177" s="5" t="s">
        <v>180</v>
      </c>
      <c r="C177" s="5" t="s">
        <v>99</v>
      </c>
      <c r="D177" s="5" t="s">
        <v>362</v>
      </c>
      <c r="E177" s="5" t="s">
        <v>451</v>
      </c>
      <c r="F177" s="47" t="s">
        <v>52</v>
      </c>
    </row>
    <row r="178" spans="1:6" x14ac:dyDescent="0.35">
      <c r="A178" s="5" t="s">
        <v>148</v>
      </c>
      <c r="B178" s="5" t="s">
        <v>181</v>
      </c>
      <c r="C178" s="5" t="s">
        <v>99</v>
      </c>
      <c r="D178" s="5" t="s">
        <v>363</v>
      </c>
      <c r="E178" s="5" t="s">
        <v>461</v>
      </c>
    </row>
    <row r="179" spans="1:6" x14ac:dyDescent="0.35">
      <c r="A179" s="5" t="s">
        <v>149</v>
      </c>
      <c r="B179" s="5" t="s">
        <v>178</v>
      </c>
      <c r="C179" s="5" t="s">
        <v>93</v>
      </c>
      <c r="D179" s="5" t="s">
        <v>620</v>
      </c>
      <c r="E179" s="5" t="s">
        <v>467</v>
      </c>
      <c r="F179" s="5" t="s">
        <v>477</v>
      </c>
    </row>
    <row r="180" spans="1:6" x14ac:dyDescent="0.35">
      <c r="A180" s="5" t="s">
        <v>149</v>
      </c>
      <c r="B180" s="5" t="s">
        <v>180</v>
      </c>
      <c r="C180" s="5" t="s">
        <v>93</v>
      </c>
      <c r="D180" s="5" t="s">
        <v>330</v>
      </c>
      <c r="E180" s="5" t="s">
        <v>452</v>
      </c>
      <c r="F180" s="47" t="s">
        <v>516</v>
      </c>
    </row>
    <row r="181" spans="1:6" x14ac:dyDescent="0.35">
      <c r="A181" s="5" t="s">
        <v>149</v>
      </c>
      <c r="B181" s="5" t="s">
        <v>182</v>
      </c>
      <c r="C181" s="5" t="s">
        <v>93</v>
      </c>
      <c r="D181" s="5" t="s">
        <v>312</v>
      </c>
      <c r="E181" s="5" t="s">
        <v>458</v>
      </c>
      <c r="F181" s="47"/>
    </row>
    <row r="182" spans="1:6" x14ac:dyDescent="0.35">
      <c r="A182" s="5" t="s">
        <v>149</v>
      </c>
      <c r="B182" s="5" t="s">
        <v>183</v>
      </c>
      <c r="C182" s="5" t="s">
        <v>93</v>
      </c>
      <c r="D182" s="5" t="s">
        <v>331</v>
      </c>
      <c r="E182" s="5" t="s">
        <v>467</v>
      </c>
      <c r="F182" s="5" t="s">
        <v>477</v>
      </c>
    </row>
    <row r="183" spans="1:6" x14ac:dyDescent="0.35">
      <c r="A183" s="5" t="s">
        <v>149</v>
      </c>
      <c r="B183" s="5" t="s">
        <v>184</v>
      </c>
      <c r="C183" s="5" t="s">
        <v>93</v>
      </c>
      <c r="D183" s="5" t="s">
        <v>332</v>
      </c>
      <c r="E183" s="5" t="s">
        <v>462</v>
      </c>
      <c r="F183" s="47" t="s">
        <v>516</v>
      </c>
    </row>
    <row r="184" spans="1:6" x14ac:dyDescent="0.35">
      <c r="A184" s="5" t="s">
        <v>149</v>
      </c>
      <c r="B184" s="5" t="s">
        <v>185</v>
      </c>
      <c r="C184" s="5" t="s">
        <v>93</v>
      </c>
      <c r="D184" s="5" t="s">
        <v>328</v>
      </c>
      <c r="E184" s="5" t="s">
        <v>458</v>
      </c>
      <c r="F184" s="47"/>
    </row>
    <row r="185" spans="1:6" x14ac:dyDescent="0.35">
      <c r="A185" s="5" t="s">
        <v>149</v>
      </c>
      <c r="B185" s="5" t="s">
        <v>188</v>
      </c>
      <c r="C185" s="5" t="s">
        <v>93</v>
      </c>
      <c r="D185" s="5" t="s">
        <v>333</v>
      </c>
      <c r="E185" s="5" t="s">
        <v>452</v>
      </c>
      <c r="F185" s="47" t="s">
        <v>516</v>
      </c>
    </row>
    <row r="186" spans="1:6" x14ac:dyDescent="0.35">
      <c r="A186" s="5" t="s">
        <v>150</v>
      </c>
      <c r="B186" s="5" t="s">
        <v>178</v>
      </c>
      <c r="C186" s="5" t="s">
        <v>82</v>
      </c>
      <c r="D186" s="5" t="s">
        <v>305</v>
      </c>
      <c r="E186" s="5" t="s">
        <v>450</v>
      </c>
    </row>
    <row r="187" spans="1:6" x14ac:dyDescent="0.35">
      <c r="A187" s="5" t="s">
        <v>151</v>
      </c>
      <c r="B187" s="5" t="s">
        <v>178</v>
      </c>
      <c r="C187" s="5" t="s">
        <v>80</v>
      </c>
      <c r="D187" s="5" t="s">
        <v>302</v>
      </c>
      <c r="E187" s="5" t="s">
        <v>465</v>
      </c>
      <c r="F187" s="5" t="s">
        <v>631</v>
      </c>
    </row>
    <row r="188" spans="1:6" x14ac:dyDescent="0.35">
      <c r="A188" s="5" t="s">
        <v>151</v>
      </c>
      <c r="B188" s="5" t="s">
        <v>180</v>
      </c>
      <c r="C188" s="5" t="s">
        <v>80</v>
      </c>
      <c r="D188" s="5" t="s">
        <v>303</v>
      </c>
      <c r="E188" s="5" t="s">
        <v>465</v>
      </c>
      <c r="F188" s="5" t="s">
        <v>631</v>
      </c>
    </row>
    <row r="189" spans="1:6" x14ac:dyDescent="0.35">
      <c r="A189" s="5" t="s">
        <v>152</v>
      </c>
      <c r="B189" s="5" t="s">
        <v>178</v>
      </c>
      <c r="C189" s="5" t="s">
        <v>81</v>
      </c>
      <c r="D189" s="5" t="s">
        <v>304</v>
      </c>
      <c r="E189" s="5" t="s">
        <v>450</v>
      </c>
      <c r="F189" s="47"/>
    </row>
    <row r="190" spans="1:6" x14ac:dyDescent="0.35">
      <c r="A190" s="5" t="s">
        <v>153</v>
      </c>
      <c r="B190" s="5" t="s">
        <v>178</v>
      </c>
      <c r="C190" s="5" t="s">
        <v>92</v>
      </c>
      <c r="D190" s="5" t="s">
        <v>329</v>
      </c>
      <c r="E190" s="5" t="s">
        <v>458</v>
      </c>
    </row>
    <row r="191" spans="1:6" x14ac:dyDescent="0.35">
      <c r="A191" s="5" t="s">
        <v>154</v>
      </c>
      <c r="B191" s="5" t="s">
        <v>178</v>
      </c>
      <c r="C191" s="5" t="s">
        <v>87</v>
      </c>
      <c r="D191" s="5" t="s">
        <v>310</v>
      </c>
      <c r="E191" s="5" t="s">
        <v>467</v>
      </c>
      <c r="F191" s="5" t="s">
        <v>477</v>
      </c>
    </row>
    <row r="192" spans="1:6" x14ac:dyDescent="0.35">
      <c r="A192" s="5" t="s">
        <v>154</v>
      </c>
      <c r="B192" s="5" t="s">
        <v>207</v>
      </c>
      <c r="C192" s="5" t="s">
        <v>87</v>
      </c>
      <c r="D192" s="5" t="s">
        <v>311</v>
      </c>
      <c r="E192" s="5" t="s">
        <v>452</v>
      </c>
      <c r="F192" s="47" t="s">
        <v>516</v>
      </c>
    </row>
    <row r="193" spans="1:6" x14ac:dyDescent="0.35">
      <c r="A193" s="5" t="s">
        <v>154</v>
      </c>
      <c r="B193" s="5" t="s">
        <v>180</v>
      </c>
      <c r="C193" s="5" t="s">
        <v>87</v>
      </c>
      <c r="D193" s="5" t="s">
        <v>312</v>
      </c>
      <c r="E193" s="5" t="s">
        <v>458</v>
      </c>
      <c r="F193" s="47"/>
    </row>
    <row r="194" spans="1:6" x14ac:dyDescent="0.35">
      <c r="A194" s="5" t="s">
        <v>154</v>
      </c>
      <c r="B194" s="5" t="s">
        <v>181</v>
      </c>
      <c r="C194" s="5" t="s">
        <v>87</v>
      </c>
      <c r="D194" s="5" t="s">
        <v>313</v>
      </c>
      <c r="E194" s="5" t="s">
        <v>467</v>
      </c>
      <c r="F194" s="5" t="s">
        <v>477</v>
      </c>
    </row>
    <row r="195" spans="1:6" x14ac:dyDescent="0.35">
      <c r="A195" s="5" t="s">
        <v>154</v>
      </c>
      <c r="B195" s="5" t="s">
        <v>182</v>
      </c>
      <c r="C195" s="5" t="s">
        <v>87</v>
      </c>
      <c r="D195" s="5" t="s">
        <v>314</v>
      </c>
      <c r="E195" s="5" t="s">
        <v>462</v>
      </c>
      <c r="F195" s="47" t="s">
        <v>516</v>
      </c>
    </row>
    <row r="196" spans="1:6" x14ac:dyDescent="0.35">
      <c r="A196" s="5" t="s">
        <v>154</v>
      </c>
      <c r="B196" s="5" t="s">
        <v>183</v>
      </c>
      <c r="C196" s="5" t="s">
        <v>87</v>
      </c>
      <c r="D196" s="5" t="s">
        <v>315</v>
      </c>
      <c r="E196" s="5" t="s">
        <v>454</v>
      </c>
      <c r="F196" s="47" t="s">
        <v>50</v>
      </c>
    </row>
    <row r="197" spans="1:6" x14ac:dyDescent="0.35">
      <c r="A197" s="5" t="s">
        <v>154</v>
      </c>
      <c r="B197" s="5" t="s">
        <v>184</v>
      </c>
      <c r="C197" s="5" t="s">
        <v>87</v>
      </c>
      <c r="D197" s="5" t="s">
        <v>316</v>
      </c>
      <c r="E197" s="5" t="s">
        <v>455</v>
      </c>
      <c r="F197" s="47" t="s">
        <v>50</v>
      </c>
    </row>
    <row r="198" spans="1:6" x14ac:dyDescent="0.35">
      <c r="A198" s="5" t="s">
        <v>154</v>
      </c>
      <c r="B198" s="5" t="s">
        <v>185</v>
      </c>
      <c r="C198" s="5" t="s">
        <v>87</v>
      </c>
      <c r="D198" s="5" t="s">
        <v>317</v>
      </c>
      <c r="E198" s="5" t="s">
        <v>468</v>
      </c>
      <c r="F198" s="5"/>
    </row>
    <row r="199" spans="1:6" x14ac:dyDescent="0.35">
      <c r="A199" s="5" t="s">
        <v>154</v>
      </c>
      <c r="B199" s="5" t="s">
        <v>188</v>
      </c>
      <c r="C199" s="5" t="s">
        <v>87</v>
      </c>
      <c r="D199" s="5" t="s">
        <v>318</v>
      </c>
      <c r="E199" s="5" t="s">
        <v>458</v>
      </c>
      <c r="F199" s="5"/>
    </row>
    <row r="200" spans="1:6" x14ac:dyDescent="0.35">
      <c r="A200" s="5" t="s">
        <v>154</v>
      </c>
      <c r="B200" s="5" t="s">
        <v>186</v>
      </c>
      <c r="C200" s="5" t="s">
        <v>87</v>
      </c>
      <c r="D200" s="5" t="s">
        <v>319</v>
      </c>
      <c r="E200" s="5" t="s">
        <v>452</v>
      </c>
      <c r="F200" s="47" t="s">
        <v>516</v>
      </c>
    </row>
    <row r="201" spans="1:6" x14ac:dyDescent="0.35">
      <c r="A201" s="5" t="s">
        <v>155</v>
      </c>
      <c r="B201" s="5" t="s">
        <v>178</v>
      </c>
      <c r="C201" s="5" t="s">
        <v>91</v>
      </c>
      <c r="D201" s="5" t="s">
        <v>310</v>
      </c>
      <c r="E201" s="5" t="s">
        <v>467</v>
      </c>
      <c r="F201" s="5" t="s">
        <v>477</v>
      </c>
    </row>
    <row r="202" spans="1:6" x14ac:dyDescent="0.35">
      <c r="A202" s="5" t="s">
        <v>155</v>
      </c>
      <c r="B202" s="5" t="s">
        <v>180</v>
      </c>
      <c r="C202" s="5" t="s">
        <v>91</v>
      </c>
      <c r="D202" s="5" t="s">
        <v>311</v>
      </c>
      <c r="E202" s="5" t="s">
        <v>452</v>
      </c>
      <c r="F202" s="47" t="s">
        <v>516</v>
      </c>
    </row>
    <row r="203" spans="1:6" x14ac:dyDescent="0.35">
      <c r="A203" s="5" t="s">
        <v>155</v>
      </c>
      <c r="B203" s="5" t="s">
        <v>181</v>
      </c>
      <c r="C203" s="5" t="s">
        <v>91</v>
      </c>
      <c r="D203" s="5" t="s">
        <v>325</v>
      </c>
      <c r="E203" s="5" t="s">
        <v>458</v>
      </c>
    </row>
    <row r="204" spans="1:6" x14ac:dyDescent="0.35">
      <c r="A204" s="5" t="s">
        <v>155</v>
      </c>
      <c r="B204" s="5" t="s">
        <v>182</v>
      </c>
      <c r="C204" s="5" t="s">
        <v>91</v>
      </c>
      <c r="D204" s="5" t="s">
        <v>326</v>
      </c>
      <c r="E204" s="5" t="s">
        <v>467</v>
      </c>
      <c r="F204" s="5" t="s">
        <v>477</v>
      </c>
    </row>
    <row r="205" spans="1:6" x14ac:dyDescent="0.35">
      <c r="A205" s="5" t="s">
        <v>155</v>
      </c>
      <c r="B205" s="5" t="s">
        <v>183</v>
      </c>
      <c r="C205" s="5" t="s">
        <v>91</v>
      </c>
      <c r="D205" s="5" t="s">
        <v>327</v>
      </c>
      <c r="E205" s="5" t="s">
        <v>462</v>
      </c>
      <c r="F205" s="47" t="s">
        <v>516</v>
      </c>
    </row>
    <row r="206" spans="1:6" x14ac:dyDescent="0.35">
      <c r="A206" s="5" t="s">
        <v>155</v>
      </c>
      <c r="B206" s="5" t="s">
        <v>184</v>
      </c>
      <c r="C206" s="5" t="s">
        <v>91</v>
      </c>
      <c r="D206" s="5" t="s">
        <v>328</v>
      </c>
      <c r="E206" s="5" t="s">
        <v>458</v>
      </c>
    </row>
    <row r="207" spans="1:6" x14ac:dyDescent="0.35">
      <c r="A207" s="5" t="s">
        <v>155</v>
      </c>
      <c r="B207" s="5" t="s">
        <v>185</v>
      </c>
      <c r="C207" s="5" t="s">
        <v>91</v>
      </c>
      <c r="D207" s="5" t="s">
        <v>319</v>
      </c>
      <c r="E207" s="5" t="s">
        <v>452</v>
      </c>
      <c r="F207" s="47" t="s">
        <v>516</v>
      </c>
    </row>
    <row r="208" spans="1:6" x14ac:dyDescent="0.35">
      <c r="A208" s="5" t="s">
        <v>156</v>
      </c>
      <c r="B208" s="5" t="s">
        <v>178</v>
      </c>
      <c r="C208" s="5" t="s">
        <v>95</v>
      </c>
      <c r="D208" s="5" t="s">
        <v>310</v>
      </c>
      <c r="E208" s="5" t="s">
        <v>467</v>
      </c>
      <c r="F208" s="5" t="s">
        <v>477</v>
      </c>
    </row>
    <row r="209" spans="1:6" x14ac:dyDescent="0.35">
      <c r="A209" s="5" t="s">
        <v>156</v>
      </c>
      <c r="B209" s="5" t="s">
        <v>199</v>
      </c>
      <c r="C209" s="5" t="s">
        <v>95</v>
      </c>
      <c r="D209" s="5" t="s">
        <v>335</v>
      </c>
      <c r="E209" s="5" t="s">
        <v>452</v>
      </c>
      <c r="F209" s="47" t="s">
        <v>516</v>
      </c>
    </row>
    <row r="210" spans="1:6" x14ac:dyDescent="0.35">
      <c r="A210" s="5" t="s">
        <v>156</v>
      </c>
      <c r="B210" s="5" t="s">
        <v>180</v>
      </c>
      <c r="C210" s="5" t="s">
        <v>95</v>
      </c>
      <c r="D210" s="5" t="s">
        <v>336</v>
      </c>
      <c r="E210" s="5" t="s">
        <v>452</v>
      </c>
      <c r="F210" s="47" t="s">
        <v>516</v>
      </c>
    </row>
    <row r="211" spans="1:6" x14ac:dyDescent="0.35">
      <c r="A211" s="5" t="s">
        <v>156</v>
      </c>
      <c r="B211" s="5" t="s">
        <v>181</v>
      </c>
      <c r="C211" s="5" t="s">
        <v>95</v>
      </c>
      <c r="D211" s="5" t="s">
        <v>337</v>
      </c>
      <c r="E211" s="5" t="s">
        <v>458</v>
      </c>
    </row>
    <row r="212" spans="1:6" x14ac:dyDescent="0.35">
      <c r="A212" s="5" t="s">
        <v>156</v>
      </c>
      <c r="B212" s="5" t="s">
        <v>182</v>
      </c>
      <c r="C212" s="5" t="s">
        <v>95</v>
      </c>
      <c r="D212" s="5" t="s">
        <v>338</v>
      </c>
      <c r="E212" s="5" t="s">
        <v>467</v>
      </c>
      <c r="F212" s="5" t="s">
        <v>477</v>
      </c>
    </row>
    <row r="213" spans="1:6" x14ac:dyDescent="0.35">
      <c r="A213" s="5" t="s">
        <v>156</v>
      </c>
      <c r="B213" s="5" t="s">
        <v>183</v>
      </c>
      <c r="C213" s="5" t="s">
        <v>95</v>
      </c>
      <c r="D213" s="5" t="s">
        <v>339</v>
      </c>
      <c r="E213" s="5" t="s">
        <v>462</v>
      </c>
      <c r="F213" s="47" t="s">
        <v>516</v>
      </c>
    </row>
    <row r="214" spans="1:6" x14ac:dyDescent="0.35">
      <c r="A214" s="5" t="s">
        <v>156</v>
      </c>
      <c r="B214" s="5" t="s">
        <v>184</v>
      </c>
      <c r="C214" s="5" t="s">
        <v>95</v>
      </c>
      <c r="D214" s="5" t="s">
        <v>340</v>
      </c>
      <c r="E214" s="5" t="s">
        <v>453</v>
      </c>
    </row>
    <row r="215" spans="1:6" x14ac:dyDescent="0.35">
      <c r="A215" s="5" t="s">
        <v>156</v>
      </c>
      <c r="B215" s="5" t="s">
        <v>185</v>
      </c>
      <c r="C215" s="5" t="s">
        <v>95</v>
      </c>
      <c r="D215" s="5" t="s">
        <v>341</v>
      </c>
      <c r="E215" s="5" t="s">
        <v>454</v>
      </c>
      <c r="F215" s="47" t="s">
        <v>50</v>
      </c>
    </row>
    <row r="216" spans="1:6" x14ac:dyDescent="0.35">
      <c r="A216" s="5" t="s">
        <v>156</v>
      </c>
      <c r="B216" s="5" t="s">
        <v>188</v>
      </c>
      <c r="C216" s="5" t="s">
        <v>95</v>
      </c>
      <c r="D216" s="5" t="s">
        <v>342</v>
      </c>
      <c r="E216" s="5" t="s">
        <v>455</v>
      </c>
      <c r="F216" s="47" t="s">
        <v>50</v>
      </c>
    </row>
    <row r="217" spans="1:6" x14ac:dyDescent="0.35">
      <c r="A217" s="5" t="s">
        <v>156</v>
      </c>
      <c r="B217" s="5" t="s">
        <v>186</v>
      </c>
      <c r="C217" s="5" t="s">
        <v>95</v>
      </c>
      <c r="D217" s="5" t="s">
        <v>343</v>
      </c>
      <c r="E217" s="5" t="s">
        <v>458</v>
      </c>
    </row>
    <row r="218" spans="1:6" x14ac:dyDescent="0.35">
      <c r="A218" s="5" t="s">
        <v>156</v>
      </c>
      <c r="B218" s="5" t="s">
        <v>187</v>
      </c>
      <c r="C218" s="5" t="s">
        <v>95</v>
      </c>
      <c r="D218" s="5" t="s">
        <v>344</v>
      </c>
      <c r="E218" s="5" t="s">
        <v>452</v>
      </c>
      <c r="F218" s="47" t="s">
        <v>516</v>
      </c>
    </row>
    <row r="219" spans="1:6" x14ac:dyDescent="0.35">
      <c r="A219" s="5" t="s">
        <v>156</v>
      </c>
      <c r="B219" s="5" t="s">
        <v>189</v>
      </c>
      <c r="C219" s="5" t="s">
        <v>95</v>
      </c>
      <c r="D219" s="5" t="s">
        <v>345</v>
      </c>
      <c r="E219" s="5" t="s">
        <v>452</v>
      </c>
      <c r="F219" s="47" t="s">
        <v>516</v>
      </c>
    </row>
    <row r="220" spans="1:6" x14ac:dyDescent="0.35">
      <c r="A220" s="5" t="s">
        <v>157</v>
      </c>
      <c r="B220" s="5" t="s">
        <v>178</v>
      </c>
      <c r="C220" s="5" t="s">
        <v>83</v>
      </c>
      <c r="D220" s="5" t="s">
        <v>621</v>
      </c>
      <c r="E220" s="5" t="s">
        <v>457</v>
      </c>
      <c r="F220" s="47" t="s">
        <v>478</v>
      </c>
    </row>
    <row r="221" spans="1:6" x14ac:dyDescent="0.35">
      <c r="A221" s="5" t="s">
        <v>158</v>
      </c>
      <c r="B221" s="5" t="s">
        <v>178</v>
      </c>
      <c r="C221" s="5" t="s">
        <v>84</v>
      </c>
      <c r="D221" s="5" t="s">
        <v>306</v>
      </c>
      <c r="E221" s="5" t="s">
        <v>456</v>
      </c>
      <c r="F221" s="47" t="s">
        <v>478</v>
      </c>
    </row>
    <row r="222" spans="1:6" x14ac:dyDescent="0.35">
      <c r="A222" s="5" t="s">
        <v>159</v>
      </c>
      <c r="B222" s="5" t="s">
        <v>178</v>
      </c>
      <c r="C222" s="5" t="s">
        <v>86</v>
      </c>
      <c r="D222" s="5" t="s">
        <v>309</v>
      </c>
      <c r="E222" s="5" t="s">
        <v>457</v>
      </c>
      <c r="F222" s="47" t="s">
        <v>478</v>
      </c>
    </row>
    <row r="223" spans="1:6" x14ac:dyDescent="0.35">
      <c r="A223" s="5" t="s">
        <v>159</v>
      </c>
      <c r="B223" s="5" t="s">
        <v>180</v>
      </c>
      <c r="C223" s="5" t="s">
        <v>86</v>
      </c>
      <c r="D223" s="5" t="s">
        <v>622</v>
      </c>
      <c r="E223" s="5" t="s">
        <v>457</v>
      </c>
      <c r="F223" s="47" t="s">
        <v>478</v>
      </c>
    </row>
    <row r="224" spans="1:6" x14ac:dyDescent="0.35">
      <c r="A224" s="5" t="s">
        <v>160</v>
      </c>
      <c r="B224" s="5" t="s">
        <v>180</v>
      </c>
      <c r="C224" s="5" t="s">
        <v>88</v>
      </c>
      <c r="D224" s="5" t="s">
        <v>320</v>
      </c>
      <c r="E224" s="5" t="s">
        <v>451</v>
      </c>
      <c r="F224" s="47" t="s">
        <v>52</v>
      </c>
    </row>
    <row r="225" spans="1:6" x14ac:dyDescent="0.35">
      <c r="A225" s="5" t="s">
        <v>161</v>
      </c>
      <c r="B225" s="5" t="s">
        <v>178</v>
      </c>
      <c r="C225" s="5" t="s">
        <v>90</v>
      </c>
      <c r="D225" s="5" t="s">
        <v>323</v>
      </c>
      <c r="E225" s="5" t="s">
        <v>457</v>
      </c>
      <c r="F225" s="47" t="s">
        <v>478</v>
      </c>
    </row>
    <row r="226" spans="1:6" x14ac:dyDescent="0.35">
      <c r="A226" s="5" t="s">
        <v>161</v>
      </c>
      <c r="B226" s="5" t="s">
        <v>180</v>
      </c>
      <c r="C226" s="5" t="s">
        <v>90</v>
      </c>
      <c r="D226" s="5" t="s">
        <v>324</v>
      </c>
      <c r="E226" s="5" t="s">
        <v>457</v>
      </c>
      <c r="F226" s="47" t="s">
        <v>478</v>
      </c>
    </row>
    <row r="227" spans="1:6" x14ac:dyDescent="0.35">
      <c r="A227" s="5" t="s">
        <v>162</v>
      </c>
      <c r="B227" s="5" t="s">
        <v>179</v>
      </c>
      <c r="C227" s="5" t="s">
        <v>97</v>
      </c>
      <c r="D227" s="5" t="s">
        <v>358</v>
      </c>
      <c r="E227" s="5" t="s">
        <v>457</v>
      </c>
      <c r="F227" s="47" t="s">
        <v>478</v>
      </c>
    </row>
    <row r="228" spans="1:6" x14ac:dyDescent="0.35">
      <c r="A228" s="5" t="s">
        <v>163</v>
      </c>
      <c r="B228" s="5" t="s">
        <v>178</v>
      </c>
      <c r="C228" s="5" t="s">
        <v>94</v>
      </c>
      <c r="D228" s="5" t="s">
        <v>334</v>
      </c>
      <c r="E228" s="5" t="s">
        <v>457</v>
      </c>
      <c r="F228" s="47" t="s">
        <v>478</v>
      </c>
    </row>
    <row r="229" spans="1:6" x14ac:dyDescent="0.35">
      <c r="A229" s="5" t="s">
        <v>164</v>
      </c>
      <c r="B229" s="5" t="s">
        <v>178</v>
      </c>
      <c r="C229" s="5" t="s">
        <v>78</v>
      </c>
      <c r="D229" s="5" t="s">
        <v>297</v>
      </c>
      <c r="E229" s="5" t="s">
        <v>452</v>
      </c>
      <c r="F229" s="47" t="s">
        <v>516</v>
      </c>
    </row>
    <row r="230" spans="1:6" x14ac:dyDescent="0.35">
      <c r="A230" s="5" t="s">
        <v>164</v>
      </c>
      <c r="B230" s="5" t="s">
        <v>180</v>
      </c>
      <c r="C230" s="5" t="s">
        <v>78</v>
      </c>
      <c r="D230" s="5" t="s">
        <v>298</v>
      </c>
      <c r="E230" s="5" t="s">
        <v>456</v>
      </c>
      <c r="F230" s="47" t="s">
        <v>478</v>
      </c>
    </row>
    <row r="231" spans="1:6" x14ac:dyDescent="0.35">
      <c r="A231" s="5" t="s">
        <v>164</v>
      </c>
      <c r="B231" s="5" t="s">
        <v>593</v>
      </c>
      <c r="C231" s="5" t="s">
        <v>78</v>
      </c>
      <c r="D231" s="5" t="s">
        <v>298</v>
      </c>
      <c r="E231" s="5" t="s">
        <v>457</v>
      </c>
      <c r="F231" s="47" t="s">
        <v>478</v>
      </c>
    </row>
    <row r="232" spans="1:6" x14ac:dyDescent="0.35">
      <c r="A232" s="5" t="s">
        <v>164</v>
      </c>
      <c r="B232" s="5" t="s">
        <v>182</v>
      </c>
      <c r="C232" s="5" t="s">
        <v>78</v>
      </c>
      <c r="D232" s="5" t="s">
        <v>299</v>
      </c>
      <c r="E232" s="5" t="s">
        <v>451</v>
      </c>
      <c r="F232" s="47" t="s">
        <v>52</v>
      </c>
    </row>
    <row r="233" spans="1:6" x14ac:dyDescent="0.35">
      <c r="A233" s="5" t="s">
        <v>164</v>
      </c>
      <c r="B233" s="5" t="s">
        <v>184</v>
      </c>
      <c r="C233" s="5" t="s">
        <v>78</v>
      </c>
      <c r="D233" s="5" t="s">
        <v>407</v>
      </c>
      <c r="E233" s="5" t="s">
        <v>454</v>
      </c>
      <c r="F233" s="47" t="s">
        <v>50</v>
      </c>
    </row>
    <row r="234" spans="1:6" x14ac:dyDescent="0.35">
      <c r="A234" s="5" t="s">
        <v>164</v>
      </c>
      <c r="B234" s="5" t="s">
        <v>214</v>
      </c>
      <c r="C234" s="5" t="s">
        <v>78</v>
      </c>
      <c r="D234" s="5" t="s">
        <v>408</v>
      </c>
      <c r="E234" s="5" t="s">
        <v>455</v>
      </c>
      <c r="F234" s="47" t="s">
        <v>50</v>
      </c>
    </row>
    <row r="235" spans="1:6" x14ac:dyDescent="0.35">
      <c r="A235" s="5" t="s">
        <v>164</v>
      </c>
      <c r="B235" s="5" t="s">
        <v>185</v>
      </c>
      <c r="C235" s="5" t="s">
        <v>78</v>
      </c>
      <c r="D235" s="5" t="s">
        <v>623</v>
      </c>
      <c r="E235" s="5" t="s">
        <v>467</v>
      </c>
      <c r="F235" s="5" t="s">
        <v>477</v>
      </c>
    </row>
    <row r="236" spans="1:6" x14ac:dyDescent="0.35">
      <c r="A236" s="5" t="s">
        <v>164</v>
      </c>
      <c r="B236" s="5" t="s">
        <v>188</v>
      </c>
      <c r="C236" s="5" t="s">
        <v>78</v>
      </c>
      <c r="D236" s="5" t="s">
        <v>300</v>
      </c>
      <c r="E236" s="5" t="s">
        <v>465</v>
      </c>
      <c r="F236" s="5" t="s">
        <v>631</v>
      </c>
    </row>
    <row r="237" spans="1:6" x14ac:dyDescent="0.35">
      <c r="A237" s="5" t="s">
        <v>164</v>
      </c>
      <c r="B237" s="5" t="s">
        <v>186</v>
      </c>
      <c r="C237" s="5" t="s">
        <v>78</v>
      </c>
      <c r="D237" s="5" t="s">
        <v>624</v>
      </c>
      <c r="E237" s="5" t="s">
        <v>463</v>
      </c>
      <c r="F237" s="47" t="s">
        <v>479</v>
      </c>
    </row>
    <row r="238" spans="1:6" x14ac:dyDescent="0.35">
      <c r="A238" s="5" t="s">
        <v>164</v>
      </c>
      <c r="B238" s="5" t="s">
        <v>187</v>
      </c>
      <c r="C238" s="5" t="s">
        <v>78</v>
      </c>
      <c r="D238" s="5" t="s">
        <v>625</v>
      </c>
      <c r="E238" s="5" t="s">
        <v>469</v>
      </c>
      <c r="F238" s="47" t="s">
        <v>479</v>
      </c>
    </row>
    <row r="239" spans="1:6" x14ac:dyDescent="0.35">
      <c r="A239" s="5" t="s">
        <v>165</v>
      </c>
      <c r="B239" s="5" t="s">
        <v>180</v>
      </c>
      <c r="C239" s="5" t="s">
        <v>71</v>
      </c>
      <c r="D239" s="5" t="s">
        <v>409</v>
      </c>
      <c r="E239" s="5" t="s">
        <v>457</v>
      </c>
      <c r="F239" s="47" t="s">
        <v>478</v>
      </c>
    </row>
    <row r="240" spans="1:6" x14ac:dyDescent="0.35">
      <c r="A240" s="5" t="s">
        <v>165</v>
      </c>
      <c r="B240" s="5" t="s">
        <v>181</v>
      </c>
      <c r="C240" s="5" t="s">
        <v>71</v>
      </c>
      <c r="D240" s="5" t="s">
        <v>410</v>
      </c>
      <c r="E240" s="5" t="s">
        <v>457</v>
      </c>
      <c r="F240" s="47" t="s">
        <v>478</v>
      </c>
    </row>
    <row r="241" spans="1:6" x14ac:dyDescent="0.35">
      <c r="A241" s="5" t="s">
        <v>166</v>
      </c>
      <c r="B241" s="5" t="s">
        <v>178</v>
      </c>
      <c r="C241" s="5" t="s">
        <v>79</v>
      </c>
      <c r="D241" s="5" t="s">
        <v>301</v>
      </c>
      <c r="E241" s="5" t="s">
        <v>450</v>
      </c>
    </row>
    <row r="242" spans="1:6" x14ac:dyDescent="0.35">
      <c r="A242" s="5" t="s">
        <v>584</v>
      </c>
      <c r="B242" s="5" t="s">
        <v>178</v>
      </c>
      <c r="C242" s="5" t="s">
        <v>597</v>
      </c>
      <c r="D242" s="5" t="s">
        <v>626</v>
      </c>
      <c r="E242" s="5" t="s">
        <v>463</v>
      </c>
      <c r="F242" s="47" t="s">
        <v>479</v>
      </c>
    </row>
    <row r="243" spans="1:6" x14ac:dyDescent="0.35">
      <c r="A243" s="5" t="s">
        <v>167</v>
      </c>
      <c r="B243" s="5" t="s">
        <v>178</v>
      </c>
      <c r="C243" s="5" t="s">
        <v>105</v>
      </c>
      <c r="D243" s="5" t="s">
        <v>411</v>
      </c>
      <c r="E243" s="5" t="s">
        <v>457</v>
      </c>
      <c r="F243" s="47" t="s">
        <v>478</v>
      </c>
    </row>
    <row r="244" spans="1:6" x14ac:dyDescent="0.35">
      <c r="A244" s="5" t="s">
        <v>167</v>
      </c>
      <c r="B244" s="5" t="s">
        <v>180</v>
      </c>
      <c r="C244" s="5" t="s">
        <v>105</v>
      </c>
      <c r="D244" s="5" t="s">
        <v>412</v>
      </c>
      <c r="E244" s="5" t="s">
        <v>457</v>
      </c>
      <c r="F244" s="47" t="s">
        <v>478</v>
      </c>
    </row>
    <row r="245" spans="1:6" x14ac:dyDescent="0.35">
      <c r="A245" s="5" t="s">
        <v>167</v>
      </c>
      <c r="B245" s="5" t="s">
        <v>181</v>
      </c>
      <c r="C245" s="5" t="s">
        <v>105</v>
      </c>
      <c r="D245" s="5" t="s">
        <v>413</v>
      </c>
      <c r="E245" s="5" t="s">
        <v>475</v>
      </c>
      <c r="F245" s="47"/>
    </row>
    <row r="246" spans="1:6" x14ac:dyDescent="0.35">
      <c r="A246" s="5" t="s">
        <v>167</v>
      </c>
      <c r="B246" s="5" t="s">
        <v>182</v>
      </c>
      <c r="C246" s="5" t="s">
        <v>105</v>
      </c>
      <c r="D246" s="5" t="s">
        <v>414</v>
      </c>
      <c r="E246" s="5" t="s">
        <v>454</v>
      </c>
      <c r="F246" s="47" t="s">
        <v>50</v>
      </c>
    </row>
    <row r="247" spans="1:6" x14ac:dyDescent="0.35">
      <c r="A247" s="5" t="s">
        <v>167</v>
      </c>
      <c r="B247" s="5" t="s">
        <v>183</v>
      </c>
      <c r="C247" s="5" t="s">
        <v>105</v>
      </c>
      <c r="D247" s="5" t="s">
        <v>415</v>
      </c>
      <c r="E247" s="5" t="s">
        <v>455</v>
      </c>
      <c r="F247" s="47" t="s">
        <v>50</v>
      </c>
    </row>
    <row r="248" spans="1:6" x14ac:dyDescent="0.35">
      <c r="A248" s="5" t="s">
        <v>168</v>
      </c>
      <c r="B248" s="5" t="s">
        <v>178</v>
      </c>
      <c r="C248" s="5" t="s">
        <v>106</v>
      </c>
      <c r="D248" s="5" t="s">
        <v>106</v>
      </c>
      <c r="E248" s="5" t="s">
        <v>467</v>
      </c>
      <c r="F248" s="5" t="s">
        <v>477</v>
      </c>
    </row>
    <row r="249" spans="1:6" x14ac:dyDescent="0.35">
      <c r="A249" s="5" t="s">
        <v>168</v>
      </c>
      <c r="B249" s="5" t="s">
        <v>180</v>
      </c>
      <c r="C249" s="5" t="s">
        <v>106</v>
      </c>
      <c r="D249" s="5" t="s">
        <v>416</v>
      </c>
      <c r="E249" s="5" t="s">
        <v>462</v>
      </c>
      <c r="F249" s="47" t="s">
        <v>516</v>
      </c>
    </row>
    <row r="250" spans="1:6" x14ac:dyDescent="0.35">
      <c r="A250" s="5" t="s">
        <v>169</v>
      </c>
      <c r="B250" s="5" t="s">
        <v>178</v>
      </c>
      <c r="C250" s="5" t="s">
        <v>98</v>
      </c>
      <c r="D250" s="5" t="s">
        <v>359</v>
      </c>
      <c r="E250" s="5" t="s">
        <v>458</v>
      </c>
      <c r="F250" s="47"/>
    </row>
    <row r="251" spans="1:6" x14ac:dyDescent="0.35">
      <c r="A251" s="5" t="s">
        <v>169</v>
      </c>
      <c r="B251" s="5" t="s">
        <v>180</v>
      </c>
      <c r="C251" s="5" t="s">
        <v>98</v>
      </c>
      <c r="D251" s="5" t="s">
        <v>360</v>
      </c>
      <c r="E251" s="5" t="s">
        <v>450</v>
      </c>
      <c r="F251" s="47"/>
    </row>
    <row r="252" spans="1:6" x14ac:dyDescent="0.35">
      <c r="A252" s="5" t="s">
        <v>170</v>
      </c>
      <c r="B252" s="5" t="s">
        <v>178</v>
      </c>
      <c r="C252" s="5" t="s">
        <v>107</v>
      </c>
      <c r="D252" s="5" t="s">
        <v>417</v>
      </c>
      <c r="E252" s="5" t="s">
        <v>476</v>
      </c>
      <c r="F252" s="47" t="s">
        <v>516</v>
      </c>
    </row>
    <row r="253" spans="1:6" x14ac:dyDescent="0.35">
      <c r="A253" s="5" t="s">
        <v>170</v>
      </c>
      <c r="B253" s="5" t="s">
        <v>180</v>
      </c>
      <c r="C253" s="5" t="s">
        <v>107</v>
      </c>
      <c r="D253" s="5" t="s">
        <v>417</v>
      </c>
      <c r="E253" s="5" t="s">
        <v>452</v>
      </c>
      <c r="F253" s="47" t="s">
        <v>516</v>
      </c>
    </row>
    <row r="254" spans="1:6" x14ac:dyDescent="0.35">
      <c r="A254" s="5" t="s">
        <v>171</v>
      </c>
      <c r="B254" s="5" t="s">
        <v>178</v>
      </c>
      <c r="C254" s="5" t="s">
        <v>108</v>
      </c>
      <c r="D254" s="5" t="s">
        <v>418</v>
      </c>
      <c r="E254" s="5" t="s">
        <v>469</v>
      </c>
      <c r="F254" s="47" t="s">
        <v>479</v>
      </c>
    </row>
    <row r="255" spans="1:6" x14ac:dyDescent="0.35">
      <c r="A255" s="5" t="s">
        <v>171</v>
      </c>
      <c r="B255" s="5" t="s">
        <v>207</v>
      </c>
      <c r="C255" s="5" t="s">
        <v>108</v>
      </c>
      <c r="D255" s="5" t="s">
        <v>627</v>
      </c>
      <c r="E255" s="5" t="s">
        <v>460</v>
      </c>
    </row>
    <row r="256" spans="1:6" x14ac:dyDescent="0.35">
      <c r="A256" s="5" t="s">
        <v>171</v>
      </c>
      <c r="B256" s="5" t="s">
        <v>180</v>
      </c>
      <c r="C256" s="5" t="s">
        <v>108</v>
      </c>
      <c r="D256" s="5" t="s">
        <v>419</v>
      </c>
      <c r="E256" s="5" t="s">
        <v>469</v>
      </c>
      <c r="F256" s="47" t="s">
        <v>479</v>
      </c>
    </row>
    <row r="257" spans="1:6" x14ac:dyDescent="0.35">
      <c r="A257" s="5" t="s">
        <v>171</v>
      </c>
      <c r="B257" s="5" t="s">
        <v>181</v>
      </c>
      <c r="C257" s="5" t="s">
        <v>108</v>
      </c>
      <c r="D257" s="5" t="s">
        <v>420</v>
      </c>
      <c r="E257" s="5" t="s">
        <v>469</v>
      </c>
      <c r="F257" s="47" t="s">
        <v>479</v>
      </c>
    </row>
    <row r="258" spans="1:6" x14ac:dyDescent="0.35">
      <c r="A258" s="5" t="s">
        <v>171</v>
      </c>
      <c r="B258" s="5" t="s">
        <v>182</v>
      </c>
      <c r="C258" s="5" t="s">
        <v>108</v>
      </c>
      <c r="D258" s="5" t="s">
        <v>421</v>
      </c>
      <c r="E258" s="5" t="s">
        <v>469</v>
      </c>
      <c r="F258" s="47" t="s">
        <v>479</v>
      </c>
    </row>
    <row r="259" spans="1:6" x14ac:dyDescent="0.35">
      <c r="A259" s="5" t="s">
        <v>171</v>
      </c>
      <c r="B259" s="5" t="s">
        <v>183</v>
      </c>
      <c r="C259" s="5" t="s">
        <v>108</v>
      </c>
      <c r="D259" s="5" t="s">
        <v>422</v>
      </c>
      <c r="E259" s="5" t="s">
        <v>453</v>
      </c>
    </row>
    <row r="260" spans="1:6" x14ac:dyDescent="0.35">
      <c r="A260" s="5" t="s">
        <v>171</v>
      </c>
      <c r="B260" s="5" t="s">
        <v>184</v>
      </c>
      <c r="C260" s="5" t="s">
        <v>108</v>
      </c>
      <c r="D260" s="5" t="s">
        <v>423</v>
      </c>
      <c r="E260" s="5" t="s">
        <v>454</v>
      </c>
      <c r="F260" s="47" t="s">
        <v>50</v>
      </c>
    </row>
    <row r="261" spans="1:6" x14ac:dyDescent="0.35">
      <c r="A261" s="5" t="s">
        <v>171</v>
      </c>
      <c r="B261" s="5" t="s">
        <v>185</v>
      </c>
      <c r="C261" s="5" t="s">
        <v>108</v>
      </c>
      <c r="D261" s="5" t="s">
        <v>424</v>
      </c>
      <c r="E261" s="5" t="s">
        <v>455</v>
      </c>
      <c r="F261" s="47" t="s">
        <v>50</v>
      </c>
    </row>
    <row r="262" spans="1:6" x14ac:dyDescent="0.35">
      <c r="A262" s="5" t="s">
        <v>171</v>
      </c>
      <c r="B262" s="5" t="s">
        <v>188</v>
      </c>
      <c r="C262" s="5" t="s">
        <v>108</v>
      </c>
      <c r="D262" s="5" t="s">
        <v>425</v>
      </c>
      <c r="E262" s="5" t="s">
        <v>461</v>
      </c>
      <c r="F262" s="47"/>
    </row>
    <row r="263" spans="1:6" x14ac:dyDescent="0.35">
      <c r="A263" s="5" t="s">
        <v>171</v>
      </c>
      <c r="B263" s="5" t="s">
        <v>186</v>
      </c>
      <c r="C263" s="5" t="s">
        <v>108</v>
      </c>
      <c r="D263" s="5" t="s">
        <v>426</v>
      </c>
      <c r="E263" s="5" t="s">
        <v>469</v>
      </c>
      <c r="F263" s="47" t="s">
        <v>479</v>
      </c>
    </row>
    <row r="264" spans="1:6" x14ac:dyDescent="0.35">
      <c r="A264" s="5" t="s">
        <v>171</v>
      </c>
      <c r="B264" s="5" t="s">
        <v>187</v>
      </c>
      <c r="C264" s="5" t="s">
        <v>108</v>
      </c>
      <c r="D264" s="5" t="s">
        <v>427</v>
      </c>
      <c r="E264" s="5" t="s">
        <v>469</v>
      </c>
      <c r="F264" s="47" t="s">
        <v>479</v>
      </c>
    </row>
    <row r="265" spans="1:6" x14ac:dyDescent="0.35">
      <c r="A265" s="5" t="s">
        <v>171</v>
      </c>
      <c r="B265" s="5" t="s">
        <v>189</v>
      </c>
      <c r="C265" s="5" t="s">
        <v>108</v>
      </c>
      <c r="D265" s="5" t="s">
        <v>428</v>
      </c>
      <c r="E265" s="5" t="s">
        <v>471</v>
      </c>
      <c r="F265" s="47"/>
    </row>
    <row r="266" spans="1:6" x14ac:dyDescent="0.35">
      <c r="A266" s="5" t="s">
        <v>171</v>
      </c>
      <c r="B266" s="5" t="s">
        <v>190</v>
      </c>
      <c r="C266" s="5" t="s">
        <v>108</v>
      </c>
      <c r="D266" s="5" t="s">
        <v>429</v>
      </c>
      <c r="E266" s="5" t="s">
        <v>457</v>
      </c>
      <c r="F266" s="47" t="s">
        <v>478</v>
      </c>
    </row>
    <row r="267" spans="1:6" x14ac:dyDescent="0.35">
      <c r="A267" s="5" t="s">
        <v>171</v>
      </c>
      <c r="B267" s="5" t="s">
        <v>191</v>
      </c>
      <c r="C267" s="5" t="s">
        <v>108</v>
      </c>
      <c r="D267" s="5" t="s">
        <v>628</v>
      </c>
      <c r="E267" s="5" t="s">
        <v>460</v>
      </c>
      <c r="F267" s="47"/>
    </row>
    <row r="268" spans="1:6" x14ac:dyDescent="0.35">
      <c r="A268" s="5" t="s">
        <v>171</v>
      </c>
      <c r="B268" s="5" t="s">
        <v>192</v>
      </c>
      <c r="C268" s="5" t="s">
        <v>108</v>
      </c>
      <c r="D268" s="5" t="s">
        <v>430</v>
      </c>
      <c r="E268" s="5" t="s">
        <v>460</v>
      </c>
    </row>
    <row r="269" spans="1:6" x14ac:dyDescent="0.35">
      <c r="A269" s="5" t="s">
        <v>172</v>
      </c>
      <c r="B269" s="5" t="s">
        <v>178</v>
      </c>
      <c r="C269" s="5" t="s">
        <v>109</v>
      </c>
      <c r="D269" s="5" t="s">
        <v>431</v>
      </c>
      <c r="E269" s="5" t="s">
        <v>469</v>
      </c>
      <c r="F269" s="47" t="s">
        <v>479</v>
      </c>
    </row>
    <row r="270" spans="1:6" x14ac:dyDescent="0.35">
      <c r="A270" s="5" t="s">
        <v>172</v>
      </c>
      <c r="B270" s="5" t="s">
        <v>207</v>
      </c>
      <c r="C270" s="5" t="s">
        <v>109</v>
      </c>
      <c r="D270" s="5" t="s">
        <v>629</v>
      </c>
      <c r="E270" s="5" t="s">
        <v>460</v>
      </c>
    </row>
    <row r="271" spans="1:6" x14ac:dyDescent="0.35">
      <c r="A271" s="5" t="s">
        <v>172</v>
      </c>
      <c r="B271" s="5" t="s">
        <v>180</v>
      </c>
      <c r="C271" s="5" t="s">
        <v>109</v>
      </c>
      <c r="D271" s="5" t="s">
        <v>432</v>
      </c>
      <c r="E271" s="5" t="s">
        <v>469</v>
      </c>
      <c r="F271" s="47" t="s">
        <v>479</v>
      </c>
    </row>
    <row r="272" spans="1:6" x14ac:dyDescent="0.35">
      <c r="A272" s="5" t="s">
        <v>172</v>
      </c>
      <c r="B272" s="5" t="s">
        <v>181</v>
      </c>
      <c r="C272" s="5" t="s">
        <v>109</v>
      </c>
      <c r="D272" s="5" t="s">
        <v>433</v>
      </c>
      <c r="E272" s="5" t="s">
        <v>469</v>
      </c>
      <c r="F272" s="47" t="s">
        <v>479</v>
      </c>
    </row>
    <row r="273" spans="1:6" x14ac:dyDescent="0.35">
      <c r="A273" s="5" t="s">
        <v>172</v>
      </c>
      <c r="B273" s="5" t="s">
        <v>182</v>
      </c>
      <c r="C273" s="5" t="s">
        <v>109</v>
      </c>
      <c r="D273" s="5" t="s">
        <v>434</v>
      </c>
      <c r="E273" s="5" t="s">
        <v>453</v>
      </c>
      <c r="F273" s="47"/>
    </row>
    <row r="274" spans="1:6" x14ac:dyDescent="0.35">
      <c r="A274" s="5" t="s">
        <v>172</v>
      </c>
      <c r="B274" s="5" t="s">
        <v>183</v>
      </c>
      <c r="C274" s="5" t="s">
        <v>109</v>
      </c>
      <c r="D274" s="5" t="s">
        <v>435</v>
      </c>
      <c r="E274" s="5" t="s">
        <v>454</v>
      </c>
      <c r="F274" s="47" t="s">
        <v>50</v>
      </c>
    </row>
    <row r="275" spans="1:6" x14ac:dyDescent="0.35">
      <c r="A275" s="5" t="s">
        <v>172</v>
      </c>
      <c r="B275" s="5" t="s">
        <v>184</v>
      </c>
      <c r="C275" s="5" t="s">
        <v>109</v>
      </c>
      <c r="D275" s="5" t="s">
        <v>436</v>
      </c>
      <c r="E275" s="5" t="s">
        <v>455</v>
      </c>
      <c r="F275" s="47" t="s">
        <v>50</v>
      </c>
    </row>
    <row r="276" spans="1:6" x14ac:dyDescent="0.35">
      <c r="A276" s="5" t="s">
        <v>172</v>
      </c>
      <c r="B276" s="5" t="s">
        <v>185</v>
      </c>
      <c r="C276" s="5" t="s">
        <v>109</v>
      </c>
      <c r="D276" s="5" t="s">
        <v>437</v>
      </c>
      <c r="E276" s="5" t="s">
        <v>461</v>
      </c>
      <c r="F276" s="47"/>
    </row>
    <row r="277" spans="1:6" x14ac:dyDescent="0.35">
      <c r="A277" s="5" t="s">
        <v>172</v>
      </c>
      <c r="B277" s="5" t="s">
        <v>188</v>
      </c>
      <c r="C277" s="5" t="s">
        <v>109</v>
      </c>
      <c r="D277" s="5" t="s">
        <v>438</v>
      </c>
      <c r="E277" s="5" t="s">
        <v>469</v>
      </c>
      <c r="F277" s="47" t="s">
        <v>479</v>
      </c>
    </row>
    <row r="278" spans="1:6" x14ac:dyDescent="0.35">
      <c r="A278" s="5" t="s">
        <v>172</v>
      </c>
      <c r="B278" s="5" t="s">
        <v>186</v>
      </c>
      <c r="C278" s="5" t="s">
        <v>109</v>
      </c>
      <c r="D278" s="5" t="s">
        <v>439</v>
      </c>
      <c r="E278" s="5" t="s">
        <v>471</v>
      </c>
      <c r="F278" s="47"/>
    </row>
    <row r="279" spans="1:6" x14ac:dyDescent="0.35">
      <c r="A279" s="5" t="s">
        <v>172</v>
      </c>
      <c r="B279" s="5" t="s">
        <v>187</v>
      </c>
      <c r="C279" s="5" t="s">
        <v>109</v>
      </c>
      <c r="D279" s="5" t="s">
        <v>440</v>
      </c>
      <c r="E279" s="5" t="s">
        <v>469</v>
      </c>
      <c r="F279" s="47" t="s">
        <v>479</v>
      </c>
    </row>
    <row r="280" spans="1:6" x14ac:dyDescent="0.35">
      <c r="A280" s="5" t="s">
        <v>172</v>
      </c>
      <c r="B280" s="5" t="s">
        <v>189</v>
      </c>
      <c r="C280" s="5" t="s">
        <v>109</v>
      </c>
      <c r="D280" s="5" t="s">
        <v>441</v>
      </c>
      <c r="E280" s="5" t="s">
        <v>457</v>
      </c>
      <c r="F280" s="47" t="s">
        <v>478</v>
      </c>
    </row>
    <row r="281" spans="1:6" x14ac:dyDescent="0.35">
      <c r="A281" s="5" t="s">
        <v>172</v>
      </c>
      <c r="B281" s="5" t="s">
        <v>190</v>
      </c>
      <c r="C281" s="5" t="s">
        <v>109</v>
      </c>
      <c r="D281" s="5" t="s">
        <v>374</v>
      </c>
      <c r="E281" s="5" t="s">
        <v>460</v>
      </c>
      <c r="F281" s="47"/>
    </row>
    <row r="282" spans="1:6" x14ac:dyDescent="0.35">
      <c r="A282" s="5" t="s">
        <v>173</v>
      </c>
      <c r="B282" s="5" t="s">
        <v>178</v>
      </c>
      <c r="C282" s="5" t="s">
        <v>110</v>
      </c>
      <c r="D282" s="5" t="s">
        <v>442</v>
      </c>
      <c r="E282" s="5" t="s">
        <v>451</v>
      </c>
      <c r="F282" s="47" t="s">
        <v>52</v>
      </c>
    </row>
    <row r="283" spans="1:6" x14ac:dyDescent="0.35">
      <c r="A283" s="5" t="s">
        <v>585</v>
      </c>
      <c r="B283" s="5" t="s">
        <v>178</v>
      </c>
      <c r="C283" s="5" t="s">
        <v>598</v>
      </c>
      <c r="D283" s="5" t="s">
        <v>598</v>
      </c>
      <c r="E283" s="5" t="s">
        <v>49</v>
      </c>
    </row>
    <row r="284" spans="1:6" x14ac:dyDescent="0.35">
      <c r="A284" s="5" t="s">
        <v>174</v>
      </c>
      <c r="B284" s="5" t="s">
        <v>178</v>
      </c>
      <c r="C284" s="5" t="s">
        <v>111</v>
      </c>
      <c r="D284" s="5" t="s">
        <v>111</v>
      </c>
      <c r="E284" s="5" t="s">
        <v>460</v>
      </c>
      <c r="F284" s="5"/>
    </row>
    <row r="285" spans="1:6" x14ac:dyDescent="0.35">
      <c r="A285" s="5" t="s">
        <v>175</v>
      </c>
      <c r="B285" s="5" t="s">
        <v>180</v>
      </c>
      <c r="C285" s="5" t="s">
        <v>112</v>
      </c>
      <c r="D285" s="5" t="s">
        <v>443</v>
      </c>
      <c r="E285" s="5" t="s">
        <v>465</v>
      </c>
      <c r="F285" s="5" t="s">
        <v>631</v>
      </c>
    </row>
    <row r="286" spans="1:6" x14ac:dyDescent="0.35">
      <c r="A286" s="5" t="s">
        <v>175</v>
      </c>
      <c r="B286" s="5" t="s">
        <v>181</v>
      </c>
      <c r="C286" s="5" t="s">
        <v>112</v>
      </c>
      <c r="D286" s="5" t="s">
        <v>444</v>
      </c>
      <c r="E286" s="5" t="s">
        <v>473</v>
      </c>
    </row>
    <row r="287" spans="1:6" x14ac:dyDescent="0.35">
      <c r="A287" s="5" t="s">
        <v>175</v>
      </c>
      <c r="B287" s="5" t="s">
        <v>182</v>
      </c>
      <c r="C287" s="5" t="s">
        <v>112</v>
      </c>
      <c r="D287" s="5" t="s">
        <v>445</v>
      </c>
      <c r="E287" s="5" t="s">
        <v>454</v>
      </c>
      <c r="F287" s="47" t="s">
        <v>50</v>
      </c>
    </row>
    <row r="288" spans="1:6" x14ac:dyDescent="0.35">
      <c r="A288" s="5" t="s">
        <v>175</v>
      </c>
      <c r="B288" s="5" t="s">
        <v>183</v>
      </c>
      <c r="C288" s="5" t="s">
        <v>112</v>
      </c>
      <c r="D288" s="5" t="s">
        <v>446</v>
      </c>
      <c r="E288" s="5" t="s">
        <v>455</v>
      </c>
      <c r="F288" s="47" t="s">
        <v>50</v>
      </c>
    </row>
    <row r="289" spans="1:6" x14ac:dyDescent="0.35">
      <c r="A289" s="5" t="s">
        <v>175</v>
      </c>
      <c r="B289" s="5" t="s">
        <v>184</v>
      </c>
      <c r="C289" s="5" t="s">
        <v>112</v>
      </c>
      <c r="D289" s="5" t="s">
        <v>447</v>
      </c>
      <c r="E289" s="5" t="s">
        <v>468</v>
      </c>
    </row>
    <row r="290" spans="1:6" x14ac:dyDescent="0.35">
      <c r="A290" s="5" t="s">
        <v>176</v>
      </c>
      <c r="B290" s="5" t="s">
        <v>178</v>
      </c>
      <c r="C290" s="5" t="s">
        <v>113</v>
      </c>
      <c r="D290" s="5" t="s">
        <v>448</v>
      </c>
      <c r="E290" s="5" t="s">
        <v>464</v>
      </c>
      <c r="F290" s="47"/>
    </row>
    <row r="291" spans="1:6" x14ac:dyDescent="0.35">
      <c r="A291" s="5" t="s">
        <v>177</v>
      </c>
      <c r="B291" s="5" t="s">
        <v>178</v>
      </c>
      <c r="C291" s="5" t="s">
        <v>114</v>
      </c>
      <c r="D291" s="5" t="s">
        <v>449</v>
      </c>
      <c r="E291" s="5" t="s">
        <v>451</v>
      </c>
      <c r="F291" s="47" t="s">
        <v>52</v>
      </c>
    </row>
    <row r="292" spans="1:6" x14ac:dyDescent="0.35">
      <c r="A292" s="5" t="s">
        <v>586</v>
      </c>
      <c r="B292" s="5" t="s">
        <v>178</v>
      </c>
      <c r="C292" s="5" t="s">
        <v>599</v>
      </c>
      <c r="D292" s="5" t="s">
        <v>599</v>
      </c>
      <c r="E292" s="5" t="s">
        <v>465</v>
      </c>
      <c r="F292" s="5" t="s">
        <v>631</v>
      </c>
    </row>
    <row r="293" spans="1:6" x14ac:dyDescent="0.35">
      <c r="A293" s="5" t="s">
        <v>586</v>
      </c>
      <c r="B293" s="5" t="s">
        <v>180</v>
      </c>
      <c r="C293" s="5" t="s">
        <v>599</v>
      </c>
      <c r="D293" s="5" t="s">
        <v>630</v>
      </c>
      <c r="E293" s="5" t="s">
        <v>462</v>
      </c>
      <c r="F293" s="47" t="s">
        <v>516</v>
      </c>
    </row>
    <row r="294" spans="1:6" x14ac:dyDescent="0.35">
      <c r="A294" s="5" t="s">
        <v>632</v>
      </c>
      <c r="B294" s="5" t="s">
        <v>186</v>
      </c>
      <c r="C294" s="5" t="s">
        <v>633</v>
      </c>
      <c r="D294" s="5" t="s">
        <v>634</v>
      </c>
      <c r="E294" s="5" t="s">
        <v>644</v>
      </c>
      <c r="F294" s="47" t="s">
        <v>516</v>
      </c>
    </row>
    <row r="295" spans="1:6" x14ac:dyDescent="0.35">
      <c r="A295" s="5" t="s">
        <v>632</v>
      </c>
      <c r="B295" s="5" t="s">
        <v>187</v>
      </c>
      <c r="C295" s="5" t="s">
        <v>633</v>
      </c>
      <c r="D295" s="5" t="s">
        <v>635</v>
      </c>
      <c r="E295" s="5" t="s">
        <v>466</v>
      </c>
    </row>
    <row r="296" spans="1:6" x14ac:dyDescent="0.35">
      <c r="A296" s="5" t="s">
        <v>632</v>
      </c>
      <c r="B296" s="5" t="s">
        <v>189</v>
      </c>
      <c r="C296" s="5" t="s">
        <v>633</v>
      </c>
      <c r="D296" s="5" t="s">
        <v>636</v>
      </c>
      <c r="E296" s="5" t="s">
        <v>645</v>
      </c>
      <c r="F296" s="5" t="s">
        <v>478</v>
      </c>
    </row>
    <row r="297" spans="1:6" x14ac:dyDescent="0.35">
      <c r="A297" s="5" t="s">
        <v>632</v>
      </c>
      <c r="B297" s="5" t="s">
        <v>190</v>
      </c>
      <c r="C297" s="5" t="s">
        <v>633</v>
      </c>
      <c r="D297" s="5" t="s">
        <v>637</v>
      </c>
      <c r="E297" s="5" t="s">
        <v>454</v>
      </c>
      <c r="F297" s="47" t="s">
        <v>50</v>
      </c>
    </row>
    <row r="298" spans="1:6" x14ac:dyDescent="0.35">
      <c r="A298" s="5" t="s">
        <v>632</v>
      </c>
      <c r="B298" s="5" t="s">
        <v>191</v>
      </c>
      <c r="C298" s="5" t="s">
        <v>633</v>
      </c>
      <c r="D298" s="5" t="s">
        <v>638</v>
      </c>
      <c r="E298" s="5" t="s">
        <v>646</v>
      </c>
      <c r="F298" s="52" t="s">
        <v>477</v>
      </c>
    </row>
    <row r="299" spans="1:6" x14ac:dyDescent="0.35">
      <c r="A299" s="5" t="s">
        <v>632</v>
      </c>
      <c r="B299" s="5" t="s">
        <v>192</v>
      </c>
      <c r="C299" s="5" t="s">
        <v>633</v>
      </c>
      <c r="D299" s="5" t="s">
        <v>639</v>
      </c>
      <c r="E299" s="5" t="s">
        <v>647</v>
      </c>
      <c r="F299" s="5" t="s">
        <v>52</v>
      </c>
    </row>
    <row r="300" spans="1:6" x14ac:dyDescent="0.35">
      <c r="A300" s="5" t="s">
        <v>632</v>
      </c>
      <c r="B300" s="5" t="s">
        <v>193</v>
      </c>
      <c r="C300" s="5" t="s">
        <v>633</v>
      </c>
      <c r="D300" s="5" t="s">
        <v>640</v>
      </c>
      <c r="E300" s="5" t="s">
        <v>458</v>
      </c>
      <c r="F300" s="47"/>
    </row>
    <row r="301" spans="1:6" x14ac:dyDescent="0.35">
      <c r="A301" s="5" t="s">
        <v>632</v>
      </c>
      <c r="B301" s="5" t="s">
        <v>194</v>
      </c>
      <c r="C301" s="5" t="s">
        <v>633</v>
      </c>
      <c r="D301" s="5" t="s">
        <v>641</v>
      </c>
      <c r="E301" s="5" t="s">
        <v>458</v>
      </c>
      <c r="F301" s="47"/>
    </row>
    <row r="302" spans="1:6" x14ac:dyDescent="0.35">
      <c r="A302" s="5" t="s">
        <v>632</v>
      </c>
      <c r="B302" s="5" t="s">
        <v>195</v>
      </c>
      <c r="C302" s="5" t="s">
        <v>633</v>
      </c>
      <c r="D302" s="5" t="s">
        <v>642</v>
      </c>
      <c r="E302" s="5" t="s">
        <v>469</v>
      </c>
      <c r="F302" s="47" t="s">
        <v>479</v>
      </c>
    </row>
    <row r="303" spans="1:6" x14ac:dyDescent="0.35">
      <c r="A303" s="5" t="s">
        <v>632</v>
      </c>
      <c r="B303" s="5" t="s">
        <v>196</v>
      </c>
      <c r="C303" s="5" t="s">
        <v>633</v>
      </c>
      <c r="D303" s="5" t="s">
        <v>643</v>
      </c>
      <c r="E303" s="5" t="s">
        <v>463</v>
      </c>
    </row>
    <row r="304" spans="1:6" x14ac:dyDescent="0.35">
      <c r="A304" s="5"/>
      <c r="B304" s="5"/>
      <c r="C304" s="5"/>
      <c r="D304" s="5"/>
      <c r="E304" s="5"/>
    </row>
    <row r="305" spans="1:6" x14ac:dyDescent="0.35">
      <c r="A305" s="5"/>
      <c r="B305" s="5"/>
      <c r="C305" s="5"/>
      <c r="D305" s="5"/>
      <c r="E305" s="5"/>
      <c r="F305" s="47"/>
    </row>
    <row r="306" spans="1:6" x14ac:dyDescent="0.35">
      <c r="A306" s="5"/>
      <c r="B306" s="5"/>
      <c r="C306" s="5"/>
      <c r="D306" s="5"/>
      <c r="E306" s="5"/>
      <c r="F306" s="5"/>
    </row>
    <row r="307" spans="1:6" x14ac:dyDescent="0.35">
      <c r="A307" s="5"/>
      <c r="B307" s="5"/>
      <c r="C307" s="5"/>
      <c r="D307" s="5"/>
      <c r="E307" s="5"/>
      <c r="F307" s="47"/>
    </row>
    <row r="308" spans="1:6" x14ac:dyDescent="0.35">
      <c r="A308" s="5"/>
      <c r="B308" s="5"/>
      <c r="C308" s="5"/>
      <c r="D308" s="5"/>
      <c r="E308" s="5"/>
    </row>
    <row r="309" spans="1:6" x14ac:dyDescent="0.35">
      <c r="A309" s="5"/>
      <c r="B309" s="5"/>
      <c r="C309" s="5"/>
      <c r="D309" s="5"/>
      <c r="E309" s="5"/>
      <c r="F309" s="5"/>
    </row>
    <row r="310" spans="1:6" x14ac:dyDescent="0.35">
      <c r="A310" s="5"/>
      <c r="B310" s="5"/>
      <c r="C310" s="5"/>
      <c r="D310" s="5"/>
      <c r="E310" s="5"/>
      <c r="F310" s="47"/>
    </row>
    <row r="311" spans="1:6" x14ac:dyDescent="0.35">
      <c r="A311" s="5"/>
      <c r="B311" s="5"/>
      <c r="C311" s="5"/>
      <c r="D311" s="5"/>
      <c r="E311" s="5"/>
    </row>
    <row r="312" spans="1:6" x14ac:dyDescent="0.35">
      <c r="A312" s="5"/>
      <c r="B312" s="5"/>
      <c r="C312" s="5"/>
      <c r="D312" s="5"/>
      <c r="E312" s="5"/>
      <c r="F312" s="47"/>
    </row>
    <row r="313" spans="1:6" x14ac:dyDescent="0.35">
      <c r="A313" s="5"/>
      <c r="B313" s="5"/>
      <c r="C313" s="5"/>
      <c r="D313" s="5"/>
      <c r="E313" s="5"/>
      <c r="F313" s="5"/>
    </row>
    <row r="314" spans="1:6" x14ac:dyDescent="0.35">
      <c r="A314" s="5"/>
      <c r="B314" s="5"/>
      <c r="C314" s="5"/>
      <c r="D314" s="5"/>
      <c r="E314" s="5"/>
      <c r="F314" s="47"/>
    </row>
    <row r="315" spans="1:6" x14ac:dyDescent="0.35">
      <c r="A315" s="5"/>
      <c r="B315" s="5"/>
      <c r="C315" s="5"/>
      <c r="D315" s="5"/>
      <c r="E315" s="5"/>
      <c r="F315" s="47"/>
    </row>
    <row r="316" spans="1:6" x14ac:dyDescent="0.35">
      <c r="A316" s="5"/>
      <c r="B316" s="5"/>
      <c r="C316" s="5"/>
      <c r="D316" s="5"/>
      <c r="E316" s="5"/>
    </row>
    <row r="317" spans="1:6" x14ac:dyDescent="0.35">
      <c r="A317" s="5"/>
      <c r="B317" s="5"/>
      <c r="C317" s="5"/>
      <c r="D317" s="5"/>
      <c r="E317" s="5"/>
      <c r="F317" s="5"/>
    </row>
    <row r="318" spans="1:6" x14ac:dyDescent="0.35">
      <c r="A318" s="5"/>
      <c r="B318" s="5"/>
      <c r="C318" s="5"/>
      <c r="D318" s="5"/>
      <c r="E318" s="5"/>
      <c r="F318" s="47"/>
    </row>
    <row r="319" spans="1:6" x14ac:dyDescent="0.35">
      <c r="A319" s="5"/>
      <c r="B319" s="5"/>
      <c r="C319" s="5"/>
      <c r="D319" s="5"/>
      <c r="E319" s="5"/>
    </row>
    <row r="320" spans="1:6" x14ac:dyDescent="0.35">
      <c r="A320" s="5"/>
      <c r="B320" s="5"/>
      <c r="C320" s="5"/>
      <c r="D320" s="5"/>
      <c r="E320" s="5"/>
      <c r="F320" s="47"/>
    </row>
    <row r="321" spans="1:6" x14ac:dyDescent="0.35">
      <c r="A321" s="5"/>
      <c r="B321" s="5"/>
      <c r="C321" s="5"/>
      <c r="D321" s="5"/>
      <c r="E321" s="5"/>
      <c r="F321" s="47"/>
    </row>
    <row r="322" spans="1:6" x14ac:dyDescent="0.35">
      <c r="A322" s="5"/>
      <c r="B322" s="5"/>
      <c r="C322" s="5"/>
      <c r="D322" s="5"/>
      <c r="E322" s="5"/>
    </row>
    <row r="323" spans="1:6" x14ac:dyDescent="0.35">
      <c r="A323" s="5"/>
      <c r="B323" s="5"/>
      <c r="C323" s="5"/>
      <c r="D323" s="5"/>
      <c r="E323" s="5"/>
      <c r="F323" s="47"/>
    </row>
    <row r="324" spans="1:6" x14ac:dyDescent="0.35">
      <c r="A324" s="5"/>
      <c r="B324" s="5"/>
      <c r="C324" s="5"/>
      <c r="D324" s="5"/>
      <c r="E324" s="5"/>
      <c r="F324" s="47"/>
    </row>
    <row r="325" spans="1:6" x14ac:dyDescent="0.35">
      <c r="A325" s="5"/>
      <c r="B325" s="5"/>
      <c r="C325" s="5"/>
      <c r="D325" s="5"/>
      <c r="E325" s="5"/>
      <c r="F325" s="47"/>
    </row>
    <row r="326" spans="1:6" x14ac:dyDescent="0.35">
      <c r="A326" s="5"/>
      <c r="B326" s="5"/>
      <c r="C326" s="5"/>
      <c r="D326" s="5"/>
      <c r="E326" s="5"/>
      <c r="F326" s="47"/>
    </row>
    <row r="327" spans="1:6" x14ac:dyDescent="0.35">
      <c r="A327" s="5"/>
      <c r="B327" s="5"/>
      <c r="C327" s="5"/>
      <c r="D327" s="5"/>
      <c r="E327" s="5"/>
      <c r="F327" s="47"/>
    </row>
    <row r="328" spans="1:6" x14ac:dyDescent="0.35">
      <c r="A328" s="5"/>
      <c r="B328" s="5"/>
      <c r="C328" s="5"/>
      <c r="D328" s="5"/>
      <c r="E328" s="5"/>
      <c r="F328" s="47"/>
    </row>
    <row r="329" spans="1:6" x14ac:dyDescent="0.35">
      <c r="A329" s="5"/>
      <c r="B329" s="5"/>
      <c r="C329" s="5"/>
      <c r="D329" s="5"/>
      <c r="E329" s="5"/>
      <c r="F329" s="47"/>
    </row>
    <row r="330" spans="1:6" x14ac:dyDescent="0.35">
      <c r="A330" s="5"/>
      <c r="B330" s="5"/>
      <c r="C330" s="5"/>
      <c r="D330" s="5"/>
      <c r="E330" s="5"/>
      <c r="F330" s="47"/>
    </row>
    <row r="331" spans="1:6" x14ac:dyDescent="0.35">
      <c r="A331" s="5"/>
      <c r="B331" s="5"/>
      <c r="C331" s="5"/>
      <c r="D331" s="5"/>
      <c r="E331" s="5"/>
      <c r="F331" s="47"/>
    </row>
    <row r="332" spans="1:6" x14ac:dyDescent="0.35">
      <c r="A332" s="5"/>
      <c r="B332" s="5"/>
      <c r="C332" s="5"/>
      <c r="D332" s="5"/>
      <c r="E332" s="5"/>
      <c r="F332" s="47"/>
    </row>
    <row r="333" spans="1:6" x14ac:dyDescent="0.35">
      <c r="A333" s="5"/>
      <c r="B333" s="5"/>
      <c r="C333" s="5"/>
      <c r="D333" s="5"/>
      <c r="E333" s="5"/>
      <c r="F333" s="47"/>
    </row>
    <row r="334" spans="1:6" x14ac:dyDescent="0.35">
      <c r="A334" s="5"/>
      <c r="B334" s="5"/>
      <c r="C334" s="5"/>
      <c r="D334" s="5"/>
      <c r="E334" s="5"/>
      <c r="F334" s="47"/>
    </row>
    <row r="335" spans="1:6" x14ac:dyDescent="0.35">
      <c r="A335" s="5"/>
      <c r="B335" s="5"/>
      <c r="C335" s="5"/>
      <c r="D335" s="5"/>
      <c r="E335" s="5"/>
      <c r="F335" s="47"/>
    </row>
    <row r="336" spans="1:6" x14ac:dyDescent="0.35">
      <c r="A336" s="5"/>
      <c r="B336" s="5"/>
      <c r="C336" s="5"/>
      <c r="D336" s="5"/>
      <c r="E336" s="5"/>
      <c r="F336" s="47"/>
    </row>
    <row r="337" spans="1:6" x14ac:dyDescent="0.35">
      <c r="A337" s="5"/>
      <c r="B337" s="5"/>
      <c r="C337" s="5"/>
      <c r="D337" s="5"/>
      <c r="E337" s="5"/>
      <c r="F337" s="47"/>
    </row>
    <row r="338" spans="1:6" x14ac:dyDescent="0.35">
      <c r="A338" s="5"/>
      <c r="B338" s="5"/>
      <c r="C338" s="5"/>
      <c r="D338" s="5"/>
      <c r="E338" s="5"/>
      <c r="F338" s="47"/>
    </row>
    <row r="339" spans="1:6" x14ac:dyDescent="0.35">
      <c r="A339" s="5"/>
      <c r="B339" s="5"/>
      <c r="C339" s="5"/>
      <c r="D339" s="5"/>
      <c r="E339" s="5"/>
    </row>
    <row r="340" spans="1:6" x14ac:dyDescent="0.35">
      <c r="A340" s="5"/>
      <c r="B340" s="5"/>
      <c r="C340" s="5"/>
      <c r="D340" s="5"/>
      <c r="E340" s="5"/>
      <c r="F340" s="5"/>
    </row>
    <row r="341" spans="1:6" x14ac:dyDescent="0.35">
      <c r="A341" s="5"/>
      <c r="B341" s="5"/>
      <c r="C341" s="5"/>
      <c r="D341" s="5"/>
      <c r="E341" s="5"/>
      <c r="F341" s="47"/>
    </row>
    <row r="342" spans="1:6" x14ac:dyDescent="0.35">
      <c r="A342" s="5"/>
      <c r="B342" s="5"/>
      <c r="C342" s="5"/>
      <c r="D342" s="5"/>
      <c r="E342" s="5"/>
      <c r="F342" s="47"/>
    </row>
    <row r="343" spans="1:6" x14ac:dyDescent="0.35">
      <c r="A343" s="5"/>
      <c r="B343" s="5"/>
      <c r="C343" s="5"/>
      <c r="D343" s="5"/>
      <c r="E343" s="5"/>
    </row>
    <row r="344" spans="1:6" x14ac:dyDescent="0.35">
      <c r="A344" s="5"/>
      <c r="B344" s="5"/>
      <c r="C344" s="5"/>
      <c r="D344" s="5"/>
      <c r="E344" s="5"/>
      <c r="F344" s="47"/>
    </row>
    <row r="345" spans="1:6" x14ac:dyDescent="0.35">
      <c r="A345" s="5"/>
      <c r="B345" s="5"/>
      <c r="C345" s="5"/>
      <c r="D345" s="5"/>
      <c r="E345" s="5"/>
      <c r="F345" s="47"/>
    </row>
    <row r="346" spans="1:6" x14ac:dyDescent="0.35">
      <c r="A346" s="5"/>
      <c r="B346" s="5"/>
      <c r="C346" s="5"/>
      <c r="D346" s="5"/>
      <c r="E346" s="5"/>
    </row>
    <row r="347" spans="1:6" x14ac:dyDescent="0.35">
      <c r="A347" s="5"/>
      <c r="B347" s="5"/>
      <c r="C347" s="5"/>
      <c r="D347" s="5"/>
      <c r="E347" s="5"/>
      <c r="F347" s="47"/>
    </row>
    <row r="348" spans="1:6" x14ac:dyDescent="0.35">
      <c r="A348" s="5"/>
      <c r="B348" s="5"/>
      <c r="C348" s="5"/>
      <c r="D348" s="5"/>
      <c r="E348" s="5"/>
      <c r="F348" s="47"/>
    </row>
    <row r="349" spans="1:6" x14ac:dyDescent="0.35">
      <c r="A349" s="5"/>
      <c r="B349" s="5"/>
      <c r="C349" s="5"/>
      <c r="D349" s="5"/>
      <c r="E349" s="5"/>
      <c r="F349" s="5"/>
    </row>
    <row r="350" spans="1:6" x14ac:dyDescent="0.35">
      <c r="A350" s="5"/>
      <c r="B350" s="5"/>
      <c r="C350" s="5"/>
      <c r="D350" s="5"/>
      <c r="E350" s="5"/>
      <c r="F350" s="47"/>
    </row>
    <row r="351" spans="1:6" x14ac:dyDescent="0.35">
      <c r="A351" s="5"/>
      <c r="B351" s="5"/>
      <c r="C351" s="5"/>
      <c r="D351" s="5"/>
      <c r="E351" s="5"/>
    </row>
    <row r="352" spans="1:6" x14ac:dyDescent="0.35">
      <c r="A352" s="5"/>
      <c r="B352" s="5"/>
      <c r="C352" s="5"/>
      <c r="D352" s="5"/>
      <c r="E352" s="5"/>
    </row>
    <row r="353" spans="1:6" x14ac:dyDescent="0.35">
      <c r="A353" s="5"/>
      <c r="B353" s="5"/>
      <c r="C353" s="5"/>
      <c r="D353" s="5"/>
      <c r="E353" s="5"/>
      <c r="F353" s="47"/>
    </row>
    <row r="354" spans="1:6" x14ac:dyDescent="0.35">
      <c r="A354" s="5"/>
      <c r="B354" s="5"/>
      <c r="C354" s="5"/>
      <c r="D354" s="5"/>
      <c r="E354" s="5"/>
      <c r="F354" s="47"/>
    </row>
    <row r="355" spans="1:6" x14ac:dyDescent="0.35">
      <c r="A355" s="5"/>
      <c r="B355" s="5"/>
      <c r="C355" s="5"/>
      <c r="D355" s="5"/>
      <c r="E355" s="5"/>
      <c r="F355" s="5"/>
    </row>
    <row r="356" spans="1:6" x14ac:dyDescent="0.35">
      <c r="A356" s="5"/>
      <c r="B356" s="5"/>
      <c r="C356" s="5"/>
      <c r="D356" s="5"/>
      <c r="E356" s="5"/>
      <c r="F356" s="5"/>
    </row>
    <row r="357" spans="1:6" x14ac:dyDescent="0.35">
      <c r="A357" s="5"/>
      <c r="B357" s="5"/>
      <c r="C357" s="5"/>
      <c r="D357" s="5"/>
      <c r="E357" s="5"/>
      <c r="F357" s="5"/>
    </row>
    <row r="358" spans="1:6" x14ac:dyDescent="0.35">
      <c r="A358" s="5"/>
      <c r="B358" s="5"/>
      <c r="C358" s="5"/>
      <c r="D358" s="5"/>
      <c r="E358" s="5"/>
      <c r="F358" s="5"/>
    </row>
    <row r="359" spans="1:6" x14ac:dyDescent="0.35">
      <c r="A359" s="5"/>
      <c r="B359" s="5"/>
      <c r="C359" s="5"/>
      <c r="D359" s="5"/>
      <c r="E359" s="5"/>
    </row>
    <row r="360" spans="1:6" x14ac:dyDescent="0.35">
      <c r="A360" s="5"/>
      <c r="B360" s="5"/>
      <c r="C360" s="5"/>
      <c r="D360" s="5"/>
      <c r="E360" s="5"/>
      <c r="F360" s="47"/>
    </row>
    <row r="361" spans="1:6" x14ac:dyDescent="0.35">
      <c r="A361" s="5"/>
      <c r="B361" s="5"/>
      <c r="C361" s="5"/>
      <c r="D361" s="5"/>
      <c r="E361" s="5"/>
      <c r="F361" s="47"/>
    </row>
    <row r="362" spans="1:6" x14ac:dyDescent="0.35">
      <c r="A362" s="5"/>
      <c r="B362" s="5"/>
      <c r="C362" s="5"/>
      <c r="D362" s="5"/>
      <c r="E362" s="5"/>
    </row>
    <row r="363" spans="1:6" x14ac:dyDescent="0.35">
      <c r="A363" s="5"/>
      <c r="B363" s="5"/>
      <c r="C363" s="5"/>
      <c r="D363" s="5"/>
      <c r="E363" s="5"/>
      <c r="F363" s="5"/>
    </row>
    <row r="364" spans="1:6" x14ac:dyDescent="0.35">
      <c r="A364" s="5"/>
      <c r="B364" s="5"/>
      <c r="C364" s="5"/>
      <c r="D364" s="5"/>
      <c r="E364" s="5"/>
      <c r="F364" s="5"/>
    </row>
    <row r="365" spans="1:6" x14ac:dyDescent="0.35">
      <c r="A365" s="5"/>
      <c r="B365" s="5"/>
      <c r="C365" s="5"/>
      <c r="D365" s="5"/>
      <c r="E365" s="5"/>
    </row>
    <row r="366" spans="1:6" x14ac:dyDescent="0.35">
      <c r="A366" s="5"/>
      <c r="B366" s="5"/>
      <c r="C366" s="5"/>
      <c r="D366" s="5"/>
      <c r="E366" s="5"/>
      <c r="F366" s="47"/>
    </row>
    <row r="367" spans="1:6" x14ac:dyDescent="0.35">
      <c r="A367" s="5"/>
      <c r="B367" s="5"/>
      <c r="C367" s="5"/>
      <c r="D367" s="5"/>
      <c r="E367" s="5"/>
    </row>
    <row r="368" spans="1:6" x14ac:dyDescent="0.35">
      <c r="A368" s="5"/>
      <c r="B368" s="5"/>
      <c r="C368" s="5"/>
      <c r="D368" s="5"/>
      <c r="E368" s="5"/>
      <c r="F368" s="5"/>
    </row>
    <row r="369" spans="1:6" x14ac:dyDescent="0.35">
      <c r="A369" s="5"/>
      <c r="B369" s="5"/>
      <c r="C369" s="5"/>
      <c r="D369" s="5"/>
      <c r="E369" s="5"/>
      <c r="F369" s="5"/>
    </row>
    <row r="370" spans="1:6" x14ac:dyDescent="0.35">
      <c r="A370" s="5"/>
      <c r="B370" s="5"/>
      <c r="C370" s="5"/>
      <c r="D370" s="5"/>
      <c r="E370" s="5"/>
      <c r="F370" s="5"/>
    </row>
    <row r="371" spans="1:6" x14ac:dyDescent="0.35">
      <c r="A371" s="5"/>
      <c r="B371" s="5"/>
      <c r="C371" s="5"/>
      <c r="D371" s="5"/>
      <c r="E371" s="5"/>
    </row>
    <row r="372" spans="1:6" x14ac:dyDescent="0.35">
      <c r="A372" s="5"/>
      <c r="B372" s="5"/>
      <c r="C372" s="5"/>
      <c r="D372" s="5"/>
      <c r="E372" s="5"/>
      <c r="F372" s="47"/>
    </row>
    <row r="373" spans="1:6" x14ac:dyDescent="0.35">
      <c r="A373" s="5"/>
      <c r="B373" s="5"/>
      <c r="C373" s="5"/>
      <c r="D373" s="5"/>
      <c r="E373" s="5"/>
      <c r="F373" s="47"/>
    </row>
    <row r="374" spans="1:6" x14ac:dyDescent="0.35">
      <c r="A374" s="5"/>
      <c r="B374" s="5"/>
      <c r="C374" s="5"/>
      <c r="D374" s="5"/>
      <c r="E374" s="5"/>
    </row>
    <row r="375" spans="1:6" x14ac:dyDescent="0.35">
      <c r="A375" s="5"/>
      <c r="B375" s="5"/>
      <c r="C375" s="5"/>
      <c r="D375" s="5"/>
      <c r="E375" s="5"/>
      <c r="F375" s="5"/>
    </row>
    <row r="376" spans="1:6" x14ac:dyDescent="0.35">
      <c r="A376" s="5"/>
      <c r="B376" s="5"/>
      <c r="C376" s="5"/>
      <c r="D376" s="5"/>
      <c r="E376" s="5"/>
    </row>
    <row r="377" spans="1:6" x14ac:dyDescent="0.35">
      <c r="A377" s="5"/>
      <c r="B377" s="5"/>
      <c r="C377" s="5"/>
      <c r="D377" s="5"/>
      <c r="E377" s="5"/>
      <c r="F377" s="5"/>
    </row>
    <row r="378" spans="1:6" x14ac:dyDescent="0.35">
      <c r="A378" s="5"/>
      <c r="B378" s="5"/>
      <c r="C378" s="5"/>
      <c r="D378" s="5"/>
      <c r="E378" s="5"/>
      <c r="F378" s="47"/>
    </row>
    <row r="379" spans="1:6" x14ac:dyDescent="0.35">
      <c r="A379" s="5"/>
      <c r="B379" s="5"/>
      <c r="C379" s="5"/>
      <c r="D379" s="5"/>
      <c r="E379" s="5"/>
    </row>
    <row r="380" spans="1:6" x14ac:dyDescent="0.35">
      <c r="A380" s="5"/>
      <c r="B380" s="5"/>
      <c r="C380" s="5"/>
      <c r="D380" s="5"/>
      <c r="E380" s="5"/>
      <c r="F380" s="47"/>
    </row>
    <row r="381" spans="1:6" x14ac:dyDescent="0.35">
      <c r="A381" s="5"/>
      <c r="B381" s="5"/>
      <c r="C381" s="5"/>
      <c r="D381" s="5"/>
      <c r="E381" s="5"/>
      <c r="F381" s="47"/>
    </row>
    <row r="382" spans="1:6" x14ac:dyDescent="0.35">
      <c r="A382" s="5"/>
      <c r="B382" s="5"/>
      <c r="C382" s="5"/>
      <c r="D382" s="5"/>
      <c r="E382" s="5"/>
    </row>
    <row r="383" spans="1:6" x14ac:dyDescent="0.35">
      <c r="A383" s="5"/>
      <c r="B383" s="5"/>
      <c r="C383" s="5"/>
      <c r="D383" s="5"/>
      <c r="E383" s="5"/>
    </row>
    <row r="384" spans="1:6" x14ac:dyDescent="0.35">
      <c r="A384" s="5"/>
      <c r="B384" s="5"/>
      <c r="C384" s="5"/>
      <c r="D384" s="5"/>
      <c r="E384" s="5"/>
    </row>
    <row r="385" spans="1:6" x14ac:dyDescent="0.35">
      <c r="A385" s="5"/>
      <c r="B385" s="5"/>
      <c r="C385" s="5"/>
      <c r="D385" s="5"/>
      <c r="E385" s="5"/>
      <c r="F385" s="47"/>
    </row>
    <row r="386" spans="1:6" x14ac:dyDescent="0.35">
      <c r="A386" s="5"/>
      <c r="B386" s="5"/>
      <c r="C386" s="5"/>
      <c r="D386" s="5"/>
      <c r="E386" s="5"/>
      <c r="F386" s="47"/>
    </row>
    <row r="387" spans="1:6" x14ac:dyDescent="0.35">
      <c r="A387" s="5"/>
      <c r="B387" s="5"/>
      <c r="C387" s="5"/>
      <c r="D387" s="5"/>
      <c r="E387" s="5"/>
    </row>
    <row r="388" spans="1:6" x14ac:dyDescent="0.35">
      <c r="A388" s="5"/>
      <c r="B388" s="5"/>
      <c r="C388" s="5"/>
      <c r="D388" s="5"/>
      <c r="E388" s="5"/>
    </row>
    <row r="389" spans="1:6" x14ac:dyDescent="0.35">
      <c r="A389" s="5"/>
      <c r="B389" s="5"/>
      <c r="C389" s="5"/>
      <c r="D389" s="5"/>
      <c r="E389" s="5"/>
      <c r="F389" s="47"/>
    </row>
    <row r="390" spans="1:6" x14ac:dyDescent="0.35">
      <c r="A390" s="5"/>
      <c r="B390" s="5"/>
      <c r="C390" s="5"/>
      <c r="D390" s="5"/>
      <c r="E390" s="5"/>
    </row>
    <row r="391" spans="1:6" x14ac:dyDescent="0.35">
      <c r="A391" s="5"/>
      <c r="B391" s="5"/>
      <c r="C391" s="5"/>
      <c r="D391" s="5"/>
      <c r="E391" s="5"/>
      <c r="F391" s="47"/>
    </row>
    <row r="392" spans="1:6" x14ac:dyDescent="0.35">
      <c r="A392" s="5"/>
      <c r="B392" s="5"/>
      <c r="C392" s="5"/>
      <c r="D392" s="5"/>
      <c r="E392" s="5"/>
      <c r="F392" s="47"/>
    </row>
    <row r="393" spans="1:6" x14ac:dyDescent="0.35">
      <c r="A393" s="5"/>
      <c r="B393" s="5"/>
      <c r="C393" s="5"/>
      <c r="D393" s="5"/>
      <c r="E393" s="5"/>
      <c r="F393" s="5"/>
    </row>
    <row r="394" spans="1:6" x14ac:dyDescent="0.35">
      <c r="A394" s="5"/>
      <c r="B394" s="5"/>
      <c r="C394" s="5"/>
      <c r="D394" s="5"/>
      <c r="E394" s="5"/>
      <c r="F394" s="47"/>
    </row>
    <row r="395" spans="1:6" x14ac:dyDescent="0.35">
      <c r="A395" s="5"/>
      <c r="B395" s="5"/>
      <c r="C395" s="5"/>
      <c r="D395" s="5"/>
      <c r="E395" s="5"/>
    </row>
    <row r="396" spans="1:6" x14ac:dyDescent="0.35">
      <c r="A396" s="5"/>
      <c r="B396" s="5"/>
      <c r="C396" s="5"/>
      <c r="D396" s="5"/>
      <c r="E396" s="5"/>
    </row>
    <row r="397" spans="1:6" x14ac:dyDescent="0.35">
      <c r="A397" s="5"/>
      <c r="B397" s="5"/>
      <c r="C397" s="5"/>
      <c r="D397" s="5"/>
      <c r="E397" s="5"/>
      <c r="F397" s="47"/>
    </row>
  </sheetData>
  <autoFilter ref="A1:F397" xr:uid="{3928BC1A-32B2-4777-AAB5-998C660AF0A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bbf4fc-2070-4842-8cf2-c42346818ea9" xsi:nil="true"/>
    <lcf76f155ced4ddcb4097134ff3c332f xmlns="d41b7399-51ed-4fce-9e89-79a41c55ed4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5BF6C7F67B434096FAC9443A83D821" ma:contentTypeVersion="16" ma:contentTypeDescription="Create a new document." ma:contentTypeScope="" ma:versionID="1347de4a6797875f8d6b1ac5dc93737c">
  <xsd:schema xmlns:xsd="http://www.w3.org/2001/XMLSchema" xmlns:xs="http://www.w3.org/2001/XMLSchema" xmlns:p="http://schemas.microsoft.com/office/2006/metadata/properties" xmlns:ns2="d41b7399-51ed-4fce-9e89-79a41c55ed41" xmlns:ns3="a1bbf4fc-2070-4842-8cf2-c42346818ea9" targetNamespace="http://schemas.microsoft.com/office/2006/metadata/properties" ma:root="true" ma:fieldsID="67ec082bb3101a8db1bb88f037f675cb" ns2:_="" ns3:_="">
    <xsd:import namespace="d41b7399-51ed-4fce-9e89-79a41c55ed41"/>
    <xsd:import namespace="a1bbf4fc-2070-4842-8cf2-c42346818e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b7399-51ed-4fce-9e89-79a41c55ed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6ee6c3e-4eb1-47aa-a19d-b43f6be11e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bf4fc-2070-4842-8cf2-c42346818ea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a96c84a-41db-4124-9345-014aa94defc1}" ma:internalName="TaxCatchAll" ma:showField="CatchAllData" ma:web="a1bbf4fc-2070-4842-8cf2-c42346818e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286B8F-44DD-46A1-8664-5B3AFC40D364}">
  <ds:schemaRefs>
    <ds:schemaRef ds:uri="http://schemas.microsoft.com/office/2006/metadata/properties"/>
    <ds:schemaRef ds:uri="http://schemas.microsoft.com/office/infopath/2007/PartnerControls"/>
    <ds:schemaRef ds:uri="a1bbf4fc-2070-4842-8cf2-c42346818ea9"/>
    <ds:schemaRef ds:uri="d41b7399-51ed-4fce-9e89-79a41c55ed41"/>
  </ds:schemaRefs>
</ds:datastoreItem>
</file>

<file path=customXml/itemProps2.xml><?xml version="1.0" encoding="utf-8"?>
<ds:datastoreItem xmlns:ds="http://schemas.openxmlformats.org/officeDocument/2006/customXml" ds:itemID="{71C3BF75-E265-495B-A1EF-9F0F8014FF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00606B-6B80-42B0-B0DE-C79F0839C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1b7399-51ed-4fce-9e89-79a41c55ed41"/>
    <ds:schemaRef ds:uri="a1bbf4fc-2070-4842-8cf2-c42346818e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Vendor Entry Sheet</vt:lpstr>
      <vt:lpstr>Bulk Upload Tool (NML USE ONLY)</vt:lpstr>
      <vt:lpstr>Approval Box (OFFICE ONLY)</vt:lpstr>
      <vt:lpstr>Names</vt:lpstr>
      <vt:lpstr>Work Orders</vt:lpstr>
      <vt:lpstr>'Vendor Entry Sheet'!Print_Area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Rushby</dc:creator>
  <cp:keywords/>
  <dc:description/>
  <cp:lastModifiedBy>Dion Georgel</cp:lastModifiedBy>
  <cp:revision/>
  <cp:lastPrinted>2026-02-15T04:38:05Z</cp:lastPrinted>
  <dcterms:created xsi:type="dcterms:W3CDTF">2017-07-05T00:07:10Z</dcterms:created>
  <dcterms:modified xsi:type="dcterms:W3CDTF">2026-02-16T01:13:36Z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0x0101004A5BF6C7F67B434096FAC9443A83D821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2026-01-17T09:08:51Z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94f35fdc-e088-415d-9329-4f46d18f1133</vt:lpwstr>
  </property>
  <property fmtid="{D5CDD505-2E9C-101B-9397-08002B2CF9AE}" pid="8" name="MSIP_Label_defa4170-0d19-0005-0004-bc88714345d2_ActionId">
    <vt:lpwstr>fffba8c1-03fd-4240-8d2b-fabb2c227843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