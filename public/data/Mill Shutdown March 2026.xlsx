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B5D31DF-0C4E-443F-8C58-9C8F52046314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Vendor Entry Sheet" sheetId="5" r:id="rId1"/>
    <sheet name="Bulk Upload Tool (NML USE ONLY)" sheetId="1" r:id="rId2"/>
    <sheet name="Names" sheetId="7" r:id="rId3"/>
    <sheet name="Approval Box (OFFICE ONLY)" sheetId="6" r:id="rId4"/>
    <sheet name="Work Orders" sheetId="8" r:id="rId5"/>
  </sheets>
  <definedNames>
    <definedName name="_xlnm._FilterDatabase" localSheetId="2" hidden="1">Names!$A$1:$M$320</definedName>
    <definedName name="_xlnm._FilterDatabase" localSheetId="4" hidden="1">'Work Orders'!$A$1:$F$2060</definedName>
    <definedName name="_xlnm._FilterDatabase">'Work Orders'!$A$1:$F$186</definedName>
    <definedName name="_xlnm.Print_Area" localSheetId="0">'Vendor Entry Sheet'!$A1:$J50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9" i="1" l="1"/>
  <c r="I339" i="1"/>
  <c r="H339" i="1"/>
  <c r="F339" i="1"/>
  <c r="E339" i="1"/>
  <c r="D339" i="1"/>
  <c r="C339" i="1"/>
  <c r="B339" i="1"/>
  <c r="A339" i="1"/>
  <c r="L338" i="1"/>
  <c r="I338" i="1"/>
  <c r="H338" i="1"/>
  <c r="F338" i="1"/>
  <c r="E338" i="1"/>
  <c r="D338" i="1"/>
  <c r="C338" i="1"/>
  <c r="B338" i="1"/>
  <c r="A338" i="1"/>
  <c r="L337" i="1"/>
  <c r="I337" i="1"/>
  <c r="H337" i="1"/>
  <c r="F337" i="1"/>
  <c r="E337" i="1"/>
  <c r="D337" i="1"/>
  <c r="C337" i="1"/>
  <c r="B337" i="1"/>
  <c r="A337" i="1"/>
  <c r="L336" i="1"/>
  <c r="I336" i="1"/>
  <c r="H336" i="1"/>
  <c r="F336" i="1"/>
  <c r="E336" i="1"/>
  <c r="D336" i="1"/>
  <c r="C336" i="1"/>
  <c r="B336" i="1"/>
  <c r="A336" i="1"/>
  <c r="L335" i="1"/>
  <c r="I335" i="1"/>
  <c r="H335" i="1"/>
  <c r="F335" i="1"/>
  <c r="E335" i="1"/>
  <c r="D335" i="1"/>
  <c r="C335" i="1"/>
  <c r="B335" i="1"/>
  <c r="A335" i="1"/>
  <c r="L334" i="1"/>
  <c r="I334" i="1"/>
  <c r="H334" i="1"/>
  <c r="F334" i="1"/>
  <c r="E334" i="1"/>
  <c r="D334" i="1"/>
  <c r="C334" i="1"/>
  <c r="B334" i="1"/>
  <c r="A334" i="1"/>
  <c r="L333" i="1"/>
  <c r="I333" i="1"/>
  <c r="H333" i="1"/>
  <c r="F333" i="1"/>
  <c r="E333" i="1"/>
  <c r="D333" i="1"/>
  <c r="C333" i="1"/>
  <c r="B333" i="1"/>
  <c r="A333" i="1"/>
  <c r="L332" i="1"/>
  <c r="I332" i="1"/>
  <c r="H332" i="1"/>
  <c r="F332" i="1"/>
  <c r="E332" i="1"/>
  <c r="D332" i="1"/>
  <c r="C332" i="1"/>
  <c r="B332" i="1"/>
  <c r="A332" i="1"/>
  <c r="L331" i="1"/>
  <c r="I331" i="1"/>
  <c r="H331" i="1"/>
  <c r="F331" i="1"/>
  <c r="E331" i="1"/>
  <c r="D331" i="1"/>
  <c r="C331" i="1"/>
  <c r="B331" i="1"/>
  <c r="A331" i="1"/>
  <c r="L330" i="1"/>
  <c r="I330" i="1"/>
  <c r="H330" i="1"/>
  <c r="F330" i="1"/>
  <c r="E330" i="1"/>
  <c r="D330" i="1"/>
  <c r="C330" i="1"/>
  <c r="B330" i="1"/>
  <c r="A330" i="1"/>
  <c r="L329" i="1"/>
  <c r="I329" i="1"/>
  <c r="H329" i="1"/>
  <c r="F329" i="1"/>
  <c r="E329" i="1"/>
  <c r="D329" i="1"/>
  <c r="C329" i="1"/>
  <c r="B329" i="1"/>
  <c r="A329" i="1"/>
  <c r="L328" i="1"/>
  <c r="I328" i="1"/>
  <c r="H328" i="1"/>
  <c r="F328" i="1"/>
  <c r="E328" i="1"/>
  <c r="D328" i="1"/>
  <c r="C328" i="1"/>
  <c r="B328" i="1"/>
  <c r="A328" i="1"/>
  <c r="L327" i="1"/>
  <c r="I327" i="1"/>
  <c r="H327" i="1"/>
  <c r="F327" i="1"/>
  <c r="E327" i="1"/>
  <c r="D327" i="1"/>
  <c r="C327" i="1"/>
  <c r="B327" i="1"/>
  <c r="A327" i="1"/>
  <c r="L326" i="1"/>
  <c r="I326" i="1"/>
  <c r="H326" i="1"/>
  <c r="F326" i="1"/>
  <c r="E326" i="1"/>
  <c r="D326" i="1"/>
  <c r="C326" i="1"/>
  <c r="B326" i="1"/>
  <c r="A326" i="1"/>
  <c r="L325" i="1"/>
  <c r="I325" i="1"/>
  <c r="H325" i="1"/>
  <c r="F325" i="1"/>
  <c r="E325" i="1"/>
  <c r="D325" i="1"/>
  <c r="C325" i="1"/>
  <c r="B325" i="1"/>
  <c r="A325" i="1"/>
  <c r="L324" i="1"/>
  <c r="I324" i="1"/>
  <c r="H324" i="1"/>
  <c r="F324" i="1"/>
  <c r="E324" i="1"/>
  <c r="D324" i="1"/>
  <c r="C324" i="1"/>
  <c r="B324" i="1"/>
  <c r="A324" i="1"/>
  <c r="L323" i="1"/>
  <c r="I323" i="1"/>
  <c r="H323" i="1"/>
  <c r="F323" i="1"/>
  <c r="E323" i="1"/>
  <c r="D323" i="1"/>
  <c r="C323" i="1"/>
  <c r="B323" i="1"/>
  <c r="A323" i="1"/>
  <c r="L322" i="1"/>
  <c r="I322" i="1"/>
  <c r="H322" i="1"/>
  <c r="F322" i="1"/>
  <c r="E322" i="1"/>
  <c r="D322" i="1"/>
  <c r="C322" i="1"/>
  <c r="B322" i="1"/>
  <c r="A322" i="1"/>
  <c r="L321" i="1"/>
  <c r="I321" i="1"/>
  <c r="H321" i="1"/>
  <c r="F321" i="1"/>
  <c r="E321" i="1"/>
  <c r="D321" i="1"/>
  <c r="C321" i="1"/>
  <c r="B321" i="1"/>
  <c r="A321" i="1"/>
  <c r="L320" i="1"/>
  <c r="I320" i="1"/>
  <c r="H320" i="1"/>
  <c r="F320" i="1"/>
  <c r="E320" i="1"/>
  <c r="D320" i="1"/>
  <c r="C320" i="1"/>
  <c r="B320" i="1"/>
  <c r="A320" i="1"/>
  <c r="L319" i="1"/>
  <c r="I319" i="1"/>
  <c r="H319" i="1"/>
  <c r="F319" i="1"/>
  <c r="E319" i="1"/>
  <c r="D319" i="1"/>
  <c r="C319" i="1"/>
  <c r="B319" i="1"/>
  <c r="A319" i="1"/>
  <c r="L318" i="1"/>
  <c r="I318" i="1"/>
  <c r="H318" i="1"/>
  <c r="F318" i="1"/>
  <c r="E318" i="1"/>
  <c r="D318" i="1"/>
  <c r="C318" i="1"/>
  <c r="B318" i="1"/>
  <c r="A318" i="1"/>
  <c r="L317" i="1"/>
  <c r="I317" i="1"/>
  <c r="H317" i="1"/>
  <c r="F317" i="1"/>
  <c r="E317" i="1"/>
  <c r="D317" i="1"/>
  <c r="C317" i="1"/>
  <c r="B317" i="1"/>
  <c r="A317" i="1"/>
  <c r="L316" i="1"/>
  <c r="I316" i="1"/>
  <c r="H316" i="1"/>
  <c r="F316" i="1"/>
  <c r="E316" i="1"/>
  <c r="D316" i="1"/>
  <c r="C316" i="1"/>
  <c r="B316" i="1"/>
  <c r="A316" i="1"/>
  <c r="L315" i="1"/>
  <c r="I315" i="1"/>
  <c r="H315" i="1"/>
  <c r="F315" i="1"/>
  <c r="E315" i="1"/>
  <c r="D315" i="1"/>
  <c r="C315" i="1"/>
  <c r="B315" i="1"/>
  <c r="A315" i="1"/>
  <c r="L314" i="1"/>
  <c r="I314" i="1"/>
  <c r="H314" i="1"/>
  <c r="F314" i="1"/>
  <c r="E314" i="1"/>
  <c r="D314" i="1"/>
  <c r="C314" i="1"/>
  <c r="B314" i="1"/>
  <c r="A314" i="1"/>
  <c r="L313" i="1"/>
  <c r="I313" i="1"/>
  <c r="H313" i="1"/>
  <c r="F313" i="1"/>
  <c r="E313" i="1"/>
  <c r="D313" i="1"/>
  <c r="C313" i="1"/>
  <c r="B313" i="1"/>
  <c r="A313" i="1"/>
  <c r="L312" i="1"/>
  <c r="I312" i="1"/>
  <c r="H312" i="1"/>
  <c r="F312" i="1"/>
  <c r="E312" i="1"/>
  <c r="D312" i="1"/>
  <c r="C312" i="1"/>
  <c r="B312" i="1"/>
  <c r="A312" i="1"/>
  <c r="L311" i="1"/>
  <c r="I311" i="1"/>
  <c r="H311" i="1"/>
  <c r="F311" i="1"/>
  <c r="E311" i="1"/>
  <c r="D311" i="1"/>
  <c r="C311" i="1"/>
  <c r="B311" i="1"/>
  <c r="A311" i="1"/>
  <c r="L310" i="1"/>
  <c r="I310" i="1"/>
  <c r="H310" i="1"/>
  <c r="F310" i="1"/>
  <c r="E310" i="1"/>
  <c r="D310" i="1"/>
  <c r="C310" i="1"/>
  <c r="B310" i="1"/>
  <c r="A310" i="1"/>
  <c r="L309" i="1"/>
  <c r="I309" i="1"/>
  <c r="H309" i="1"/>
  <c r="F309" i="1"/>
  <c r="E309" i="1"/>
  <c r="D309" i="1"/>
  <c r="C309" i="1"/>
  <c r="B309" i="1"/>
  <c r="A309" i="1"/>
  <c r="L308" i="1"/>
  <c r="I308" i="1"/>
  <c r="H308" i="1"/>
  <c r="F308" i="1"/>
  <c r="E308" i="1"/>
  <c r="D308" i="1"/>
  <c r="C308" i="1"/>
  <c r="B308" i="1"/>
  <c r="A308" i="1"/>
  <c r="L307" i="1"/>
  <c r="I307" i="1"/>
  <c r="H307" i="1"/>
  <c r="F307" i="1"/>
  <c r="E307" i="1"/>
  <c r="D307" i="1"/>
  <c r="C307" i="1"/>
  <c r="B307" i="1"/>
  <c r="A307" i="1"/>
  <c r="L306" i="1"/>
  <c r="I306" i="1"/>
  <c r="H306" i="1"/>
  <c r="F306" i="1"/>
  <c r="E306" i="1"/>
  <c r="D306" i="1"/>
  <c r="C306" i="1"/>
  <c r="B306" i="1"/>
  <c r="A306" i="1"/>
  <c r="L305" i="1"/>
  <c r="I305" i="1"/>
  <c r="H305" i="1"/>
  <c r="F305" i="1"/>
  <c r="E305" i="1"/>
  <c r="D305" i="1"/>
  <c r="C305" i="1"/>
  <c r="B305" i="1"/>
  <c r="A305" i="1"/>
  <c r="L304" i="1"/>
  <c r="I304" i="1"/>
  <c r="H304" i="1"/>
  <c r="F304" i="1"/>
  <c r="E304" i="1"/>
  <c r="D304" i="1"/>
  <c r="C304" i="1"/>
  <c r="B304" i="1"/>
  <c r="A304" i="1"/>
  <c r="L303" i="1"/>
  <c r="I303" i="1"/>
  <c r="H303" i="1"/>
  <c r="F303" i="1"/>
  <c r="E303" i="1"/>
  <c r="D303" i="1"/>
  <c r="C303" i="1"/>
  <c r="B303" i="1"/>
  <c r="A303" i="1"/>
  <c r="L302" i="1"/>
  <c r="I302" i="1"/>
  <c r="H302" i="1"/>
  <c r="F302" i="1"/>
  <c r="E302" i="1"/>
  <c r="D302" i="1"/>
  <c r="C302" i="1"/>
  <c r="B302" i="1"/>
  <c r="A302" i="1"/>
  <c r="L301" i="1"/>
  <c r="I301" i="1"/>
  <c r="H301" i="1"/>
  <c r="F301" i="1"/>
  <c r="E301" i="1"/>
  <c r="D301" i="1"/>
  <c r="C301" i="1"/>
  <c r="B301" i="1"/>
  <c r="A301" i="1"/>
  <c r="L300" i="1"/>
  <c r="I300" i="1"/>
  <c r="H300" i="1"/>
  <c r="F300" i="1"/>
  <c r="E300" i="1"/>
  <c r="D300" i="1"/>
  <c r="C300" i="1"/>
  <c r="B300" i="1"/>
  <c r="A300" i="1"/>
  <c r="L299" i="1"/>
  <c r="I299" i="1"/>
  <c r="H299" i="1"/>
  <c r="F299" i="1"/>
  <c r="E299" i="1"/>
  <c r="D299" i="1"/>
  <c r="C299" i="1"/>
  <c r="B299" i="1"/>
  <c r="A299" i="1"/>
  <c r="L298" i="1"/>
  <c r="I298" i="1"/>
  <c r="H298" i="1"/>
  <c r="F298" i="1"/>
  <c r="E298" i="1"/>
  <c r="D298" i="1"/>
  <c r="C298" i="1"/>
  <c r="B298" i="1"/>
  <c r="A298" i="1"/>
  <c r="L297" i="1"/>
  <c r="I297" i="1"/>
  <c r="H297" i="1"/>
  <c r="F297" i="1"/>
  <c r="E297" i="1"/>
  <c r="D297" i="1"/>
  <c r="C297" i="1"/>
  <c r="B297" i="1"/>
  <c r="A297" i="1"/>
  <c r="L296" i="1"/>
  <c r="I296" i="1"/>
  <c r="H296" i="1"/>
  <c r="F296" i="1"/>
  <c r="E296" i="1"/>
  <c r="D296" i="1"/>
  <c r="C296" i="1"/>
  <c r="B296" i="1"/>
  <c r="A296" i="1"/>
  <c r="L295" i="1"/>
  <c r="I295" i="1"/>
  <c r="H295" i="1"/>
  <c r="F295" i="1"/>
  <c r="E295" i="1"/>
  <c r="D295" i="1"/>
  <c r="C295" i="1"/>
  <c r="B295" i="1"/>
  <c r="A295" i="1"/>
  <c r="L294" i="1"/>
  <c r="I294" i="1"/>
  <c r="H294" i="1"/>
  <c r="F294" i="1"/>
  <c r="E294" i="1"/>
  <c r="D294" i="1"/>
  <c r="C294" i="1"/>
  <c r="B294" i="1"/>
  <c r="A294" i="1"/>
  <c r="L293" i="1"/>
  <c r="I293" i="1"/>
  <c r="H293" i="1"/>
  <c r="F293" i="1"/>
  <c r="E293" i="1"/>
  <c r="D293" i="1"/>
  <c r="C293" i="1"/>
  <c r="B293" i="1"/>
  <c r="A293" i="1"/>
  <c r="L292" i="1"/>
  <c r="I292" i="1"/>
  <c r="H292" i="1"/>
  <c r="F292" i="1"/>
  <c r="E292" i="1"/>
  <c r="D292" i="1"/>
  <c r="C292" i="1"/>
  <c r="B292" i="1"/>
  <c r="A292" i="1"/>
  <c r="L291" i="1"/>
  <c r="I291" i="1"/>
  <c r="H291" i="1"/>
  <c r="F291" i="1"/>
  <c r="E291" i="1"/>
  <c r="D291" i="1"/>
  <c r="C291" i="1"/>
  <c r="B291" i="1"/>
  <c r="A291" i="1"/>
  <c r="L290" i="1"/>
  <c r="I290" i="1"/>
  <c r="H290" i="1"/>
  <c r="F290" i="1"/>
  <c r="E290" i="1"/>
  <c r="D290" i="1"/>
  <c r="C290" i="1"/>
  <c r="B290" i="1"/>
  <c r="A290" i="1"/>
  <c r="L289" i="1"/>
  <c r="I289" i="1"/>
  <c r="H289" i="1"/>
  <c r="F289" i="1"/>
  <c r="E289" i="1"/>
  <c r="D289" i="1"/>
  <c r="C289" i="1"/>
  <c r="B289" i="1"/>
  <c r="A289" i="1"/>
  <c r="L288" i="1"/>
  <c r="I288" i="1"/>
  <c r="H288" i="1"/>
  <c r="F288" i="1"/>
  <c r="E288" i="1"/>
  <c r="D288" i="1"/>
  <c r="C288" i="1"/>
  <c r="B288" i="1"/>
  <c r="A288" i="1"/>
  <c r="L287" i="1"/>
  <c r="I287" i="1"/>
  <c r="H287" i="1"/>
  <c r="F287" i="1"/>
  <c r="E287" i="1"/>
  <c r="D287" i="1"/>
  <c r="C287" i="1"/>
  <c r="B287" i="1"/>
  <c r="A287" i="1"/>
  <c r="L286" i="1"/>
  <c r="I286" i="1"/>
  <c r="H286" i="1"/>
  <c r="F286" i="1"/>
  <c r="E286" i="1"/>
  <c r="D286" i="1"/>
  <c r="C286" i="1"/>
  <c r="B286" i="1"/>
  <c r="A286" i="1"/>
  <c r="L285" i="1"/>
  <c r="I285" i="1"/>
  <c r="H285" i="1"/>
  <c r="F285" i="1"/>
  <c r="E285" i="1"/>
  <c r="D285" i="1"/>
  <c r="C285" i="1"/>
  <c r="B285" i="1"/>
  <c r="A285" i="1"/>
  <c r="L284" i="1"/>
  <c r="I284" i="1"/>
  <c r="H284" i="1"/>
  <c r="F284" i="1"/>
  <c r="E284" i="1"/>
  <c r="D284" i="1"/>
  <c r="C284" i="1"/>
  <c r="B284" i="1"/>
  <c r="A284" i="1"/>
  <c r="L283" i="1"/>
  <c r="I283" i="1"/>
  <c r="H283" i="1"/>
  <c r="F283" i="1"/>
  <c r="E283" i="1"/>
  <c r="D283" i="1"/>
  <c r="C283" i="1"/>
  <c r="B283" i="1"/>
  <c r="A283" i="1"/>
  <c r="L282" i="1"/>
  <c r="I282" i="1"/>
  <c r="H282" i="1"/>
  <c r="F282" i="1"/>
  <c r="E282" i="1"/>
  <c r="D282" i="1"/>
  <c r="C282" i="1"/>
  <c r="B282" i="1"/>
  <c r="A282" i="1"/>
  <c r="L281" i="1"/>
  <c r="I281" i="1"/>
  <c r="H281" i="1"/>
  <c r="F281" i="1"/>
  <c r="E281" i="1"/>
  <c r="D281" i="1"/>
  <c r="C281" i="1"/>
  <c r="B281" i="1"/>
  <c r="A281" i="1"/>
  <c r="L280" i="1"/>
  <c r="I280" i="1"/>
  <c r="H280" i="1"/>
  <c r="F280" i="1"/>
  <c r="E280" i="1"/>
  <c r="D280" i="1"/>
  <c r="C280" i="1"/>
  <c r="B280" i="1"/>
  <c r="A280" i="1"/>
  <c r="L279" i="1"/>
  <c r="I279" i="1"/>
  <c r="H279" i="1"/>
  <c r="F279" i="1"/>
  <c r="E279" i="1"/>
  <c r="D279" i="1"/>
  <c r="C279" i="1"/>
  <c r="B279" i="1"/>
  <c r="A279" i="1"/>
  <c r="L278" i="1"/>
  <c r="I278" i="1"/>
  <c r="H278" i="1"/>
  <c r="F278" i="1"/>
  <c r="E278" i="1"/>
  <c r="D278" i="1"/>
  <c r="C278" i="1"/>
  <c r="B278" i="1"/>
  <c r="A278" i="1"/>
  <c r="L277" i="1"/>
  <c r="I277" i="1"/>
  <c r="H277" i="1"/>
  <c r="F277" i="1"/>
  <c r="E277" i="1"/>
  <c r="D277" i="1"/>
  <c r="C277" i="1"/>
  <c r="B277" i="1"/>
  <c r="A277" i="1"/>
  <c r="L276" i="1"/>
  <c r="I276" i="1"/>
  <c r="H276" i="1"/>
  <c r="F276" i="1"/>
  <c r="E276" i="1"/>
  <c r="D276" i="1"/>
  <c r="C276" i="1"/>
  <c r="B276" i="1"/>
  <c r="A276" i="1"/>
  <c r="L275" i="1"/>
  <c r="I275" i="1"/>
  <c r="H275" i="1"/>
  <c r="F275" i="1"/>
  <c r="E275" i="1"/>
  <c r="D275" i="1"/>
  <c r="C275" i="1"/>
  <c r="B275" i="1"/>
  <c r="A275" i="1"/>
  <c r="L274" i="1"/>
  <c r="I274" i="1"/>
  <c r="H274" i="1"/>
  <c r="F274" i="1"/>
  <c r="E274" i="1"/>
  <c r="D274" i="1"/>
  <c r="C274" i="1"/>
  <c r="B274" i="1"/>
  <c r="A274" i="1"/>
  <c r="L273" i="1"/>
  <c r="I273" i="1"/>
  <c r="H273" i="1"/>
  <c r="F273" i="1"/>
  <c r="E273" i="1"/>
  <c r="D273" i="1"/>
  <c r="C273" i="1"/>
  <c r="B273" i="1"/>
  <c r="A273" i="1"/>
  <c r="L272" i="1"/>
  <c r="I272" i="1"/>
  <c r="H272" i="1"/>
  <c r="F272" i="1"/>
  <c r="E272" i="1"/>
  <c r="D272" i="1"/>
  <c r="C272" i="1"/>
  <c r="B272" i="1"/>
  <c r="A272" i="1"/>
  <c r="L271" i="1"/>
  <c r="I271" i="1"/>
  <c r="H271" i="1"/>
  <c r="F271" i="1"/>
  <c r="E271" i="1"/>
  <c r="D271" i="1"/>
  <c r="C271" i="1"/>
  <c r="B271" i="1"/>
  <c r="A271" i="1"/>
  <c r="L270" i="1"/>
  <c r="I270" i="1"/>
  <c r="H270" i="1"/>
  <c r="F270" i="1"/>
  <c r="E270" i="1"/>
  <c r="D270" i="1"/>
  <c r="C270" i="1"/>
  <c r="B270" i="1"/>
  <c r="A270" i="1"/>
  <c r="L269" i="1"/>
  <c r="I269" i="1"/>
  <c r="H269" i="1"/>
  <c r="F269" i="1"/>
  <c r="E269" i="1"/>
  <c r="D269" i="1"/>
  <c r="C269" i="1"/>
  <c r="B269" i="1"/>
  <c r="A269" i="1"/>
  <c r="L268" i="1"/>
  <c r="I268" i="1"/>
  <c r="H268" i="1"/>
  <c r="F268" i="1"/>
  <c r="E268" i="1"/>
  <c r="D268" i="1"/>
  <c r="C268" i="1"/>
  <c r="B268" i="1"/>
  <c r="A268" i="1"/>
  <c r="L267" i="1"/>
  <c r="I267" i="1"/>
  <c r="H267" i="1"/>
  <c r="F267" i="1"/>
  <c r="E267" i="1"/>
  <c r="D267" i="1"/>
  <c r="C267" i="1"/>
  <c r="B267" i="1"/>
  <c r="A267" i="1"/>
  <c r="L266" i="1"/>
  <c r="I266" i="1"/>
  <c r="H266" i="1"/>
  <c r="F266" i="1"/>
  <c r="E266" i="1"/>
  <c r="D266" i="1"/>
  <c r="C266" i="1"/>
  <c r="B266" i="1"/>
  <c r="A266" i="1"/>
  <c r="L265" i="1"/>
  <c r="I265" i="1"/>
  <c r="H265" i="1"/>
  <c r="F265" i="1"/>
  <c r="E265" i="1"/>
  <c r="D265" i="1"/>
  <c r="C265" i="1"/>
  <c r="B265" i="1"/>
  <c r="A265" i="1"/>
  <c r="L264" i="1"/>
  <c r="I264" i="1"/>
  <c r="H264" i="1"/>
  <c r="F264" i="1"/>
  <c r="E264" i="1"/>
  <c r="D264" i="1"/>
  <c r="C264" i="1"/>
  <c r="B264" i="1"/>
  <c r="A264" i="1"/>
  <c r="L263" i="1"/>
  <c r="I263" i="1"/>
  <c r="H263" i="1"/>
  <c r="F263" i="1"/>
  <c r="E263" i="1"/>
  <c r="D263" i="1"/>
  <c r="C263" i="1"/>
  <c r="B263" i="1"/>
  <c r="A263" i="1"/>
  <c r="L262" i="1"/>
  <c r="I262" i="1"/>
  <c r="H262" i="1"/>
  <c r="F262" i="1"/>
  <c r="E262" i="1"/>
  <c r="D262" i="1"/>
  <c r="C262" i="1"/>
  <c r="B262" i="1"/>
  <c r="A262" i="1"/>
  <c r="L261" i="1"/>
  <c r="I261" i="1"/>
  <c r="H261" i="1"/>
  <c r="F261" i="1"/>
  <c r="E261" i="1"/>
  <c r="D261" i="1"/>
  <c r="C261" i="1"/>
  <c r="B261" i="1"/>
  <c r="A261" i="1"/>
  <c r="L260" i="1"/>
  <c r="I260" i="1"/>
  <c r="H260" i="1"/>
  <c r="F260" i="1"/>
  <c r="E260" i="1"/>
  <c r="D260" i="1"/>
  <c r="C260" i="1"/>
  <c r="B260" i="1"/>
  <c r="A260" i="1"/>
  <c r="L259" i="1"/>
  <c r="I259" i="1"/>
  <c r="H259" i="1"/>
  <c r="F259" i="1"/>
  <c r="E259" i="1"/>
  <c r="D259" i="1"/>
  <c r="C259" i="1"/>
  <c r="B259" i="1"/>
  <c r="A259" i="1"/>
  <c r="L258" i="1"/>
  <c r="I258" i="1"/>
  <c r="H258" i="1"/>
  <c r="F258" i="1"/>
  <c r="E258" i="1"/>
  <c r="D258" i="1"/>
  <c r="C258" i="1"/>
  <c r="B258" i="1"/>
  <c r="A258" i="1"/>
  <c r="L257" i="1"/>
  <c r="I257" i="1"/>
  <c r="H257" i="1"/>
  <c r="F257" i="1"/>
  <c r="E257" i="1"/>
  <c r="D257" i="1"/>
  <c r="C257" i="1"/>
  <c r="B257" i="1"/>
  <c r="A257" i="1"/>
  <c r="L256" i="1"/>
  <c r="I256" i="1"/>
  <c r="H256" i="1"/>
  <c r="F256" i="1"/>
  <c r="E256" i="1"/>
  <c r="D256" i="1"/>
  <c r="C256" i="1"/>
  <c r="B256" i="1"/>
  <c r="A256" i="1"/>
  <c r="L255" i="1"/>
  <c r="I255" i="1"/>
  <c r="H255" i="1"/>
  <c r="F255" i="1"/>
  <c r="E255" i="1"/>
  <c r="D255" i="1"/>
  <c r="C255" i="1"/>
  <c r="B255" i="1"/>
  <c r="A255" i="1"/>
  <c r="L254" i="1"/>
  <c r="I254" i="1"/>
  <c r="H254" i="1"/>
  <c r="F254" i="1"/>
  <c r="E254" i="1"/>
  <c r="D254" i="1"/>
  <c r="C254" i="1"/>
  <c r="B254" i="1"/>
  <c r="A254" i="1"/>
  <c r="L253" i="1"/>
  <c r="I253" i="1"/>
  <c r="H253" i="1"/>
  <c r="F253" i="1"/>
  <c r="E253" i="1"/>
  <c r="D253" i="1"/>
  <c r="C253" i="1"/>
  <c r="B253" i="1"/>
  <c r="A253" i="1"/>
  <c r="L252" i="1"/>
  <c r="I252" i="1"/>
  <c r="H252" i="1"/>
  <c r="F252" i="1"/>
  <c r="E252" i="1"/>
  <c r="D252" i="1"/>
  <c r="C252" i="1"/>
  <c r="B252" i="1"/>
  <c r="A252" i="1"/>
  <c r="L251" i="1"/>
  <c r="I251" i="1"/>
  <c r="H251" i="1"/>
  <c r="F251" i="1"/>
  <c r="E251" i="1"/>
  <c r="D251" i="1"/>
  <c r="C251" i="1"/>
  <c r="B251" i="1"/>
  <c r="A251" i="1"/>
  <c r="L250" i="1"/>
  <c r="I250" i="1"/>
  <c r="H250" i="1"/>
  <c r="F250" i="1"/>
  <c r="E250" i="1"/>
  <c r="D250" i="1"/>
  <c r="C250" i="1"/>
  <c r="B250" i="1"/>
  <c r="A250" i="1"/>
  <c r="L249" i="1"/>
  <c r="I249" i="1"/>
  <c r="H249" i="1"/>
  <c r="F249" i="1"/>
  <c r="E249" i="1"/>
  <c r="D249" i="1"/>
  <c r="C249" i="1"/>
  <c r="B249" i="1"/>
  <c r="A249" i="1"/>
  <c r="L248" i="1"/>
  <c r="I248" i="1"/>
  <c r="H248" i="1"/>
  <c r="F248" i="1"/>
  <c r="E248" i="1"/>
  <c r="D248" i="1"/>
  <c r="C248" i="1"/>
  <c r="B248" i="1"/>
  <c r="A248" i="1"/>
  <c r="L247" i="1"/>
  <c r="I247" i="1"/>
  <c r="H247" i="1"/>
  <c r="F247" i="1"/>
  <c r="E247" i="1"/>
  <c r="D247" i="1"/>
  <c r="C247" i="1"/>
  <c r="B247" i="1"/>
  <c r="A247" i="1"/>
  <c r="L246" i="1"/>
  <c r="I246" i="1"/>
  <c r="H246" i="1"/>
  <c r="F246" i="1"/>
  <c r="E246" i="1"/>
  <c r="D246" i="1"/>
  <c r="C246" i="1"/>
  <c r="B246" i="1"/>
  <c r="A246" i="1"/>
  <c r="L245" i="1"/>
  <c r="I245" i="1"/>
  <c r="H245" i="1"/>
  <c r="F245" i="1"/>
  <c r="E245" i="1"/>
  <c r="D245" i="1"/>
  <c r="C245" i="1"/>
  <c r="B245" i="1"/>
  <c r="A245" i="1"/>
  <c r="L244" i="1"/>
  <c r="I244" i="1"/>
  <c r="H244" i="1"/>
  <c r="F244" i="1"/>
  <c r="E244" i="1"/>
  <c r="D244" i="1"/>
  <c r="C244" i="1"/>
  <c r="B244" i="1"/>
  <c r="A244" i="1"/>
  <c r="L243" i="1"/>
  <c r="I243" i="1"/>
  <c r="H243" i="1"/>
  <c r="F243" i="1"/>
  <c r="E243" i="1"/>
  <c r="D243" i="1"/>
  <c r="C243" i="1"/>
  <c r="B243" i="1"/>
  <c r="A243" i="1"/>
  <c r="L242" i="1"/>
  <c r="I242" i="1"/>
  <c r="H242" i="1"/>
  <c r="F242" i="1"/>
  <c r="E242" i="1"/>
  <c r="D242" i="1"/>
  <c r="C242" i="1"/>
  <c r="B242" i="1"/>
  <c r="A242" i="1"/>
  <c r="L241" i="1"/>
  <c r="I241" i="1"/>
  <c r="H241" i="1"/>
  <c r="F241" i="1"/>
  <c r="E241" i="1"/>
  <c r="D241" i="1"/>
  <c r="C241" i="1"/>
  <c r="B241" i="1"/>
  <c r="A241" i="1"/>
  <c r="L240" i="1"/>
  <c r="I240" i="1"/>
  <c r="H240" i="1"/>
  <c r="F240" i="1"/>
  <c r="E240" i="1"/>
  <c r="D240" i="1"/>
  <c r="C240" i="1"/>
  <c r="B240" i="1"/>
  <c r="A240" i="1"/>
  <c r="L239" i="1"/>
  <c r="I239" i="1"/>
  <c r="H239" i="1"/>
  <c r="F239" i="1"/>
  <c r="E239" i="1"/>
  <c r="D239" i="1"/>
  <c r="C239" i="1"/>
  <c r="B239" i="1"/>
  <c r="A239" i="1"/>
  <c r="L238" i="1"/>
  <c r="I238" i="1"/>
  <c r="H238" i="1"/>
  <c r="F238" i="1"/>
  <c r="E238" i="1"/>
  <c r="D238" i="1"/>
  <c r="C238" i="1"/>
  <c r="B238" i="1"/>
  <c r="A238" i="1"/>
  <c r="L237" i="1"/>
  <c r="I237" i="1"/>
  <c r="H237" i="1"/>
  <c r="F237" i="1"/>
  <c r="E237" i="1"/>
  <c r="D237" i="1"/>
  <c r="C237" i="1"/>
  <c r="B237" i="1"/>
  <c r="A237" i="1"/>
  <c r="L236" i="1"/>
  <c r="I236" i="1"/>
  <c r="H236" i="1"/>
  <c r="F236" i="1"/>
  <c r="E236" i="1"/>
  <c r="D236" i="1"/>
  <c r="C236" i="1"/>
  <c r="B236" i="1"/>
  <c r="A236" i="1"/>
  <c r="L235" i="1"/>
  <c r="I235" i="1"/>
  <c r="H235" i="1"/>
  <c r="F235" i="1"/>
  <c r="E235" i="1"/>
  <c r="D235" i="1"/>
  <c r="C235" i="1"/>
  <c r="B235" i="1"/>
  <c r="A235" i="1"/>
  <c r="L234" i="1"/>
  <c r="I234" i="1"/>
  <c r="H234" i="1"/>
  <c r="F234" i="1"/>
  <c r="E234" i="1"/>
  <c r="D234" i="1"/>
  <c r="C234" i="1"/>
  <c r="B234" i="1"/>
  <c r="A234" i="1"/>
  <c r="L233" i="1"/>
  <c r="I233" i="1"/>
  <c r="H233" i="1"/>
  <c r="F233" i="1"/>
  <c r="E233" i="1"/>
  <c r="D233" i="1"/>
  <c r="C233" i="1"/>
  <c r="B233" i="1"/>
  <c r="A233" i="1"/>
  <c r="L232" i="1"/>
  <c r="I232" i="1"/>
  <c r="H232" i="1"/>
  <c r="F232" i="1"/>
  <c r="E232" i="1"/>
  <c r="D232" i="1"/>
  <c r="C232" i="1"/>
  <c r="B232" i="1"/>
  <c r="A232" i="1"/>
  <c r="L231" i="1"/>
  <c r="I231" i="1"/>
  <c r="H231" i="1"/>
  <c r="F231" i="1"/>
  <c r="E231" i="1"/>
  <c r="D231" i="1"/>
  <c r="C231" i="1"/>
  <c r="B231" i="1"/>
  <c r="A231" i="1"/>
  <c r="L230" i="1"/>
  <c r="I230" i="1"/>
  <c r="H230" i="1"/>
  <c r="F230" i="1"/>
  <c r="E230" i="1"/>
  <c r="D230" i="1"/>
  <c r="C230" i="1"/>
  <c r="B230" i="1"/>
  <c r="A230" i="1"/>
  <c r="L229" i="1"/>
  <c r="I229" i="1"/>
  <c r="H229" i="1"/>
  <c r="F229" i="1"/>
  <c r="E229" i="1"/>
  <c r="D229" i="1"/>
  <c r="C229" i="1"/>
  <c r="B229" i="1"/>
  <c r="A229" i="1"/>
  <c r="L228" i="1"/>
  <c r="I228" i="1"/>
  <c r="H228" i="1"/>
  <c r="F228" i="1"/>
  <c r="E228" i="1"/>
  <c r="D228" i="1"/>
  <c r="C228" i="1"/>
  <c r="B228" i="1"/>
  <c r="A228" i="1"/>
  <c r="L227" i="1"/>
  <c r="I227" i="1"/>
  <c r="H227" i="1"/>
  <c r="F227" i="1"/>
  <c r="E227" i="1"/>
  <c r="D227" i="1"/>
  <c r="C227" i="1"/>
  <c r="B227" i="1"/>
  <c r="A227" i="1"/>
  <c r="L226" i="1"/>
  <c r="I226" i="1"/>
  <c r="H226" i="1"/>
  <c r="F226" i="1"/>
  <c r="E226" i="1"/>
  <c r="D226" i="1"/>
  <c r="C226" i="1"/>
  <c r="B226" i="1"/>
  <c r="A226" i="1"/>
  <c r="L225" i="1"/>
  <c r="I225" i="1"/>
  <c r="H225" i="1"/>
  <c r="F225" i="1"/>
  <c r="E225" i="1"/>
  <c r="D225" i="1"/>
  <c r="C225" i="1"/>
  <c r="B225" i="1"/>
  <c r="A225" i="1"/>
  <c r="L224" i="1"/>
  <c r="I224" i="1"/>
  <c r="H224" i="1"/>
  <c r="F224" i="1"/>
  <c r="E224" i="1"/>
  <c r="D224" i="1"/>
  <c r="C224" i="1"/>
  <c r="B224" i="1"/>
  <c r="A224" i="1"/>
  <c r="L223" i="1"/>
  <c r="I223" i="1"/>
  <c r="H223" i="1"/>
  <c r="F223" i="1"/>
  <c r="E223" i="1"/>
  <c r="D223" i="1"/>
  <c r="C223" i="1"/>
  <c r="B223" i="1"/>
  <c r="A223" i="1"/>
  <c r="L222" i="1"/>
  <c r="I222" i="1"/>
  <c r="H222" i="1"/>
  <c r="F222" i="1"/>
  <c r="E222" i="1"/>
  <c r="D222" i="1"/>
  <c r="C222" i="1"/>
  <c r="B222" i="1"/>
  <c r="A222" i="1"/>
  <c r="L221" i="1"/>
  <c r="I221" i="1"/>
  <c r="H221" i="1"/>
  <c r="F221" i="1"/>
  <c r="E221" i="1"/>
  <c r="D221" i="1"/>
  <c r="C221" i="1"/>
  <c r="B221" i="1"/>
  <c r="A221" i="1"/>
  <c r="L220" i="1"/>
  <c r="I220" i="1"/>
  <c r="H220" i="1"/>
  <c r="F220" i="1"/>
  <c r="E220" i="1"/>
  <c r="D220" i="1"/>
  <c r="C220" i="1"/>
  <c r="B220" i="1"/>
  <c r="A220" i="1"/>
  <c r="L219" i="1"/>
  <c r="I219" i="1"/>
  <c r="H219" i="1"/>
  <c r="F219" i="1"/>
  <c r="E219" i="1"/>
  <c r="D219" i="1"/>
  <c r="C219" i="1"/>
  <c r="B219" i="1"/>
  <c r="A219" i="1"/>
  <c r="L218" i="1"/>
  <c r="I218" i="1"/>
  <c r="H218" i="1"/>
  <c r="F218" i="1"/>
  <c r="E218" i="1"/>
  <c r="D218" i="1"/>
  <c r="C218" i="1"/>
  <c r="B218" i="1"/>
  <c r="A218" i="1"/>
  <c r="L217" i="1"/>
  <c r="I217" i="1"/>
  <c r="H217" i="1"/>
  <c r="F217" i="1"/>
  <c r="E217" i="1"/>
  <c r="D217" i="1"/>
  <c r="C217" i="1"/>
  <c r="B217" i="1"/>
  <c r="A217" i="1"/>
  <c r="L216" i="1"/>
  <c r="I216" i="1"/>
  <c r="H216" i="1"/>
  <c r="F216" i="1"/>
  <c r="E216" i="1"/>
  <c r="D216" i="1"/>
  <c r="C216" i="1"/>
  <c r="B216" i="1"/>
  <c r="A216" i="1"/>
  <c r="L215" i="1"/>
  <c r="I215" i="1"/>
  <c r="H215" i="1"/>
  <c r="F215" i="1"/>
  <c r="E215" i="1"/>
  <c r="D215" i="1"/>
  <c r="C215" i="1"/>
  <c r="B215" i="1"/>
  <c r="A215" i="1"/>
  <c r="L214" i="1"/>
  <c r="I214" i="1"/>
  <c r="H214" i="1"/>
  <c r="F214" i="1"/>
  <c r="E214" i="1"/>
  <c r="D214" i="1"/>
  <c r="C214" i="1"/>
  <c r="B214" i="1"/>
  <c r="A214" i="1"/>
  <c r="L213" i="1"/>
  <c r="I213" i="1"/>
  <c r="H213" i="1"/>
  <c r="F213" i="1"/>
  <c r="E213" i="1"/>
  <c r="D213" i="1"/>
  <c r="C213" i="1"/>
  <c r="B213" i="1"/>
  <c r="A213" i="1"/>
  <c r="L212" i="1"/>
  <c r="I212" i="1"/>
  <c r="H212" i="1"/>
  <c r="F212" i="1"/>
  <c r="E212" i="1"/>
  <c r="D212" i="1"/>
  <c r="C212" i="1"/>
  <c r="B212" i="1"/>
  <c r="A212" i="1"/>
  <c r="L211" i="1"/>
  <c r="I211" i="1"/>
  <c r="H211" i="1"/>
  <c r="F211" i="1"/>
  <c r="E211" i="1"/>
  <c r="D211" i="1"/>
  <c r="C211" i="1"/>
  <c r="B211" i="1"/>
  <c r="A211" i="1"/>
  <c r="L210" i="1"/>
  <c r="I210" i="1"/>
  <c r="H210" i="1"/>
  <c r="F210" i="1"/>
  <c r="E210" i="1"/>
  <c r="D210" i="1"/>
  <c r="C210" i="1"/>
  <c r="B210" i="1"/>
  <c r="A210" i="1"/>
  <c r="L209" i="1"/>
  <c r="I209" i="1"/>
  <c r="H209" i="1"/>
  <c r="F209" i="1"/>
  <c r="E209" i="1"/>
  <c r="D209" i="1"/>
  <c r="C209" i="1"/>
  <c r="B209" i="1"/>
  <c r="A209" i="1"/>
  <c r="L208" i="1"/>
  <c r="I208" i="1"/>
  <c r="H208" i="1"/>
  <c r="F208" i="1"/>
  <c r="E208" i="1"/>
  <c r="D208" i="1"/>
  <c r="C208" i="1"/>
  <c r="B208" i="1"/>
  <c r="A208" i="1"/>
  <c r="L207" i="1"/>
  <c r="I207" i="1"/>
  <c r="H207" i="1"/>
  <c r="F207" i="1"/>
  <c r="E207" i="1"/>
  <c r="D207" i="1"/>
  <c r="C207" i="1"/>
  <c r="B207" i="1"/>
  <c r="A207" i="1"/>
  <c r="L206" i="1"/>
  <c r="I206" i="1"/>
  <c r="H206" i="1"/>
  <c r="F206" i="1"/>
  <c r="E206" i="1"/>
  <c r="D206" i="1"/>
  <c r="C206" i="1"/>
  <c r="B206" i="1"/>
  <c r="A206" i="1"/>
  <c r="L205" i="1"/>
  <c r="I205" i="1"/>
  <c r="H205" i="1"/>
  <c r="F205" i="1"/>
  <c r="E205" i="1"/>
  <c r="D205" i="1"/>
  <c r="C205" i="1"/>
  <c r="B205" i="1"/>
  <c r="A205" i="1"/>
  <c r="L204" i="1"/>
  <c r="I204" i="1"/>
  <c r="H204" i="1"/>
  <c r="F204" i="1"/>
  <c r="E204" i="1"/>
  <c r="D204" i="1"/>
  <c r="C204" i="1"/>
  <c r="B204" i="1"/>
  <c r="A204" i="1"/>
  <c r="L203" i="1"/>
  <c r="I203" i="1"/>
  <c r="H203" i="1"/>
  <c r="F203" i="1"/>
  <c r="E203" i="1"/>
  <c r="D203" i="1"/>
  <c r="C203" i="1"/>
  <c r="B203" i="1"/>
  <c r="A203" i="1"/>
  <c r="L202" i="1"/>
  <c r="I202" i="1"/>
  <c r="H202" i="1"/>
  <c r="F202" i="1"/>
  <c r="E202" i="1"/>
  <c r="D202" i="1"/>
  <c r="C202" i="1"/>
  <c r="B202" i="1"/>
  <c r="A202" i="1"/>
  <c r="L201" i="1"/>
  <c r="I201" i="1"/>
  <c r="H201" i="1"/>
  <c r="F201" i="1"/>
  <c r="E201" i="1"/>
  <c r="D201" i="1"/>
  <c r="C201" i="1"/>
  <c r="B201" i="1"/>
  <c r="A201" i="1"/>
  <c r="L200" i="1"/>
  <c r="I200" i="1"/>
  <c r="H200" i="1"/>
  <c r="F200" i="1"/>
  <c r="E200" i="1"/>
  <c r="D200" i="1"/>
  <c r="C200" i="1"/>
  <c r="B200" i="1"/>
  <c r="A200" i="1"/>
  <c r="L199" i="1"/>
  <c r="I199" i="1"/>
  <c r="H199" i="1"/>
  <c r="F199" i="1"/>
  <c r="E199" i="1"/>
  <c r="D199" i="1"/>
  <c r="C199" i="1"/>
  <c r="B199" i="1"/>
  <c r="A199" i="1"/>
  <c r="L198" i="1"/>
  <c r="I198" i="1"/>
  <c r="H198" i="1"/>
  <c r="F198" i="1"/>
  <c r="E198" i="1"/>
  <c r="D198" i="1"/>
  <c r="C198" i="1"/>
  <c r="B198" i="1"/>
  <c r="A198" i="1"/>
  <c r="L197" i="1"/>
  <c r="I197" i="1"/>
  <c r="H197" i="1"/>
  <c r="F197" i="1"/>
  <c r="E197" i="1"/>
  <c r="D197" i="1"/>
  <c r="C197" i="1"/>
  <c r="B197" i="1"/>
  <c r="A197" i="1"/>
  <c r="L196" i="1"/>
  <c r="I196" i="1"/>
  <c r="H196" i="1"/>
  <c r="F196" i="1"/>
  <c r="E196" i="1"/>
  <c r="D196" i="1"/>
  <c r="C196" i="1"/>
  <c r="B196" i="1"/>
  <c r="A196" i="1"/>
  <c r="L195" i="1"/>
  <c r="I195" i="1"/>
  <c r="H195" i="1"/>
  <c r="F195" i="1"/>
  <c r="E195" i="1"/>
  <c r="D195" i="1"/>
  <c r="C195" i="1"/>
  <c r="B195" i="1"/>
  <c r="A195" i="1"/>
  <c r="L194" i="1"/>
  <c r="I194" i="1"/>
  <c r="H194" i="1"/>
  <c r="F194" i="1"/>
  <c r="E194" i="1"/>
  <c r="D194" i="1"/>
  <c r="C194" i="1"/>
  <c r="B194" i="1"/>
  <c r="A194" i="1"/>
  <c r="L193" i="1"/>
  <c r="I193" i="1"/>
  <c r="H193" i="1"/>
  <c r="F193" i="1"/>
  <c r="E193" i="1"/>
  <c r="D193" i="1"/>
  <c r="C193" i="1"/>
  <c r="B193" i="1"/>
  <c r="A193" i="1"/>
  <c r="L192" i="1"/>
  <c r="I192" i="1"/>
  <c r="H192" i="1"/>
  <c r="F192" i="1"/>
  <c r="E192" i="1"/>
  <c r="D192" i="1"/>
  <c r="C192" i="1"/>
  <c r="B192" i="1"/>
  <c r="A192" i="1"/>
  <c r="L191" i="1"/>
  <c r="I191" i="1"/>
  <c r="H191" i="1"/>
  <c r="F191" i="1"/>
  <c r="E191" i="1"/>
  <c r="D191" i="1"/>
  <c r="C191" i="1"/>
  <c r="B191" i="1"/>
  <c r="A191" i="1"/>
  <c r="L190" i="1"/>
  <c r="I190" i="1"/>
  <c r="H190" i="1"/>
  <c r="F190" i="1"/>
  <c r="E190" i="1"/>
  <c r="D190" i="1"/>
  <c r="C190" i="1"/>
  <c r="B190" i="1"/>
  <c r="A190" i="1"/>
  <c r="L189" i="1"/>
  <c r="I189" i="1"/>
  <c r="H189" i="1"/>
  <c r="F189" i="1"/>
  <c r="E189" i="1"/>
  <c r="D189" i="1"/>
  <c r="C189" i="1"/>
  <c r="B189" i="1"/>
  <c r="A189" i="1"/>
  <c r="L188" i="1"/>
  <c r="I188" i="1"/>
  <c r="H188" i="1"/>
  <c r="F188" i="1"/>
  <c r="E188" i="1"/>
  <c r="D188" i="1"/>
  <c r="C188" i="1"/>
  <c r="B188" i="1"/>
  <c r="A188" i="1"/>
  <c r="L187" i="1"/>
  <c r="I187" i="1"/>
  <c r="H187" i="1"/>
  <c r="F187" i="1"/>
  <c r="E187" i="1"/>
  <c r="D187" i="1"/>
  <c r="C187" i="1"/>
  <c r="B187" i="1"/>
  <c r="A187" i="1"/>
  <c r="L186" i="1"/>
  <c r="I186" i="1"/>
  <c r="H186" i="1"/>
  <c r="F186" i="1"/>
  <c r="E186" i="1"/>
  <c r="D186" i="1"/>
  <c r="C186" i="1"/>
  <c r="B186" i="1"/>
  <c r="A186" i="1"/>
  <c r="L185" i="1"/>
  <c r="I185" i="1"/>
  <c r="H185" i="1"/>
  <c r="F185" i="1"/>
  <c r="E185" i="1"/>
  <c r="D185" i="1"/>
  <c r="C185" i="1"/>
  <c r="B185" i="1"/>
  <c r="A185" i="1"/>
  <c r="L184" i="1"/>
  <c r="I184" i="1"/>
  <c r="H184" i="1"/>
  <c r="F184" i="1"/>
  <c r="E184" i="1"/>
  <c r="D184" i="1"/>
  <c r="C184" i="1"/>
  <c r="B184" i="1"/>
  <c r="A184" i="1"/>
  <c r="L183" i="1"/>
  <c r="I183" i="1"/>
  <c r="H183" i="1"/>
  <c r="F183" i="1"/>
  <c r="E183" i="1"/>
  <c r="D183" i="1"/>
  <c r="C183" i="1"/>
  <c r="B183" i="1"/>
  <c r="A183" i="1"/>
  <c r="L182" i="1"/>
  <c r="I182" i="1"/>
  <c r="H182" i="1"/>
  <c r="F182" i="1"/>
  <c r="E182" i="1"/>
  <c r="D182" i="1"/>
  <c r="C182" i="1"/>
  <c r="B182" i="1"/>
  <c r="A182" i="1"/>
  <c r="L181" i="1"/>
  <c r="I181" i="1"/>
  <c r="H181" i="1"/>
  <c r="F181" i="1"/>
  <c r="E181" i="1"/>
  <c r="D181" i="1"/>
  <c r="C181" i="1"/>
  <c r="B181" i="1"/>
  <c r="A181" i="1"/>
  <c r="L180" i="1"/>
  <c r="I180" i="1"/>
  <c r="H180" i="1"/>
  <c r="F180" i="1"/>
  <c r="E180" i="1"/>
  <c r="D180" i="1"/>
  <c r="C180" i="1"/>
  <c r="B180" i="1"/>
  <c r="A180" i="1"/>
  <c r="L179" i="1"/>
  <c r="I179" i="1"/>
  <c r="H179" i="1"/>
  <c r="F179" i="1"/>
  <c r="E179" i="1"/>
  <c r="D179" i="1"/>
  <c r="C179" i="1"/>
  <c r="B179" i="1"/>
  <c r="A179" i="1"/>
  <c r="L178" i="1"/>
  <c r="I178" i="1"/>
  <c r="H178" i="1"/>
  <c r="F178" i="1"/>
  <c r="E178" i="1"/>
  <c r="D178" i="1"/>
  <c r="C178" i="1"/>
  <c r="B178" i="1"/>
  <c r="A178" i="1"/>
  <c r="L177" i="1"/>
  <c r="I177" i="1"/>
  <c r="H177" i="1"/>
  <c r="F177" i="1"/>
  <c r="E177" i="1"/>
  <c r="D177" i="1"/>
  <c r="C177" i="1"/>
  <c r="B177" i="1"/>
  <c r="A177" i="1"/>
  <c r="L176" i="1"/>
  <c r="I176" i="1"/>
  <c r="H176" i="1"/>
  <c r="F176" i="1"/>
  <c r="E176" i="1"/>
  <c r="D176" i="1"/>
  <c r="C176" i="1"/>
  <c r="B176" i="1"/>
  <c r="A176" i="1"/>
  <c r="L175" i="1"/>
  <c r="I175" i="1"/>
  <c r="H175" i="1"/>
  <c r="F175" i="1"/>
  <c r="E175" i="1"/>
  <c r="D175" i="1"/>
  <c r="C175" i="1"/>
  <c r="B175" i="1"/>
  <c r="A175" i="1"/>
  <c r="L174" i="1"/>
  <c r="I174" i="1"/>
  <c r="H174" i="1"/>
  <c r="F174" i="1"/>
  <c r="E174" i="1"/>
  <c r="D174" i="1"/>
  <c r="C174" i="1"/>
  <c r="B174" i="1"/>
  <c r="A174" i="1"/>
  <c r="L173" i="1"/>
  <c r="I173" i="1"/>
  <c r="H173" i="1"/>
  <c r="F173" i="1"/>
  <c r="E173" i="1"/>
  <c r="D173" i="1"/>
  <c r="C173" i="1"/>
  <c r="B173" i="1"/>
  <c r="A173" i="1"/>
  <c r="L172" i="1"/>
  <c r="I172" i="1"/>
  <c r="H172" i="1"/>
  <c r="F172" i="1"/>
  <c r="E172" i="1"/>
  <c r="D172" i="1"/>
  <c r="C172" i="1"/>
  <c r="B172" i="1"/>
  <c r="A172" i="1"/>
  <c r="L171" i="1"/>
  <c r="I171" i="1"/>
  <c r="H171" i="1"/>
  <c r="F171" i="1"/>
  <c r="E171" i="1"/>
  <c r="D171" i="1"/>
  <c r="C171" i="1"/>
  <c r="B171" i="1"/>
  <c r="A171" i="1"/>
  <c r="L170" i="1"/>
  <c r="I170" i="1"/>
  <c r="H170" i="1"/>
  <c r="F170" i="1"/>
  <c r="E170" i="1"/>
  <c r="D170" i="1"/>
  <c r="C170" i="1"/>
  <c r="B170" i="1"/>
  <c r="A170" i="1"/>
  <c r="L169" i="1"/>
  <c r="I169" i="1"/>
  <c r="H169" i="1"/>
  <c r="F169" i="1"/>
  <c r="E169" i="1"/>
  <c r="D169" i="1"/>
  <c r="C169" i="1"/>
  <c r="B169" i="1"/>
  <c r="A169" i="1"/>
  <c r="L168" i="1"/>
  <c r="I168" i="1"/>
  <c r="H168" i="1"/>
  <c r="F168" i="1"/>
  <c r="E168" i="1"/>
  <c r="D168" i="1"/>
  <c r="C168" i="1"/>
  <c r="B168" i="1"/>
  <c r="A168" i="1"/>
  <c r="L167" i="1"/>
  <c r="I167" i="1"/>
  <c r="H167" i="1"/>
  <c r="F167" i="1"/>
  <c r="E167" i="1"/>
  <c r="D167" i="1"/>
  <c r="C167" i="1"/>
  <c r="B167" i="1"/>
  <c r="A167" i="1"/>
  <c r="L166" i="1"/>
  <c r="I166" i="1"/>
  <c r="H166" i="1"/>
  <c r="F166" i="1"/>
  <c r="E166" i="1"/>
  <c r="D166" i="1"/>
  <c r="C166" i="1"/>
  <c r="B166" i="1"/>
  <c r="A166" i="1"/>
  <c r="L165" i="1"/>
  <c r="I165" i="1"/>
  <c r="H165" i="1"/>
  <c r="F165" i="1"/>
  <c r="E165" i="1"/>
  <c r="D165" i="1"/>
  <c r="C165" i="1"/>
  <c r="B165" i="1"/>
  <c r="A165" i="1"/>
  <c r="L164" i="1"/>
  <c r="I164" i="1"/>
  <c r="H164" i="1"/>
  <c r="F164" i="1"/>
  <c r="E164" i="1"/>
  <c r="D164" i="1"/>
  <c r="C164" i="1"/>
  <c r="B164" i="1"/>
  <c r="A164" i="1"/>
  <c r="L163" i="1"/>
  <c r="I163" i="1"/>
  <c r="H163" i="1"/>
  <c r="F163" i="1"/>
  <c r="E163" i="1"/>
  <c r="D163" i="1"/>
  <c r="C163" i="1"/>
  <c r="B163" i="1"/>
  <c r="A163" i="1"/>
  <c r="L162" i="1"/>
  <c r="I162" i="1"/>
  <c r="H162" i="1"/>
  <c r="F162" i="1"/>
  <c r="E162" i="1"/>
  <c r="D162" i="1"/>
  <c r="C162" i="1"/>
  <c r="B162" i="1"/>
  <c r="A162" i="1"/>
  <c r="L161" i="1"/>
  <c r="I161" i="1"/>
  <c r="H161" i="1"/>
  <c r="F161" i="1"/>
  <c r="E161" i="1"/>
  <c r="D161" i="1"/>
  <c r="C161" i="1"/>
  <c r="B161" i="1"/>
  <c r="A161" i="1"/>
  <c r="L160" i="1"/>
  <c r="I160" i="1"/>
  <c r="H160" i="1"/>
  <c r="F160" i="1"/>
  <c r="E160" i="1"/>
  <c r="D160" i="1"/>
  <c r="C160" i="1"/>
  <c r="B160" i="1"/>
  <c r="A160" i="1"/>
  <c r="L159" i="1"/>
  <c r="I159" i="1"/>
  <c r="H159" i="1"/>
  <c r="F159" i="1"/>
  <c r="E159" i="1"/>
  <c r="D159" i="1"/>
  <c r="C159" i="1"/>
  <c r="B159" i="1"/>
  <c r="A159" i="1"/>
  <c r="L158" i="1"/>
  <c r="I158" i="1"/>
  <c r="H158" i="1"/>
  <c r="F158" i="1"/>
  <c r="E158" i="1"/>
  <c r="D158" i="1"/>
  <c r="C158" i="1"/>
  <c r="B158" i="1"/>
  <c r="A158" i="1"/>
  <c r="L157" i="1"/>
  <c r="I157" i="1"/>
  <c r="H157" i="1"/>
  <c r="F157" i="1"/>
  <c r="E157" i="1"/>
  <c r="D157" i="1"/>
  <c r="C157" i="1"/>
  <c r="B157" i="1"/>
  <c r="A157" i="1"/>
  <c r="L156" i="1"/>
  <c r="I156" i="1"/>
  <c r="H156" i="1"/>
  <c r="F156" i="1"/>
  <c r="E156" i="1"/>
  <c r="D156" i="1"/>
  <c r="C156" i="1"/>
  <c r="B156" i="1"/>
  <c r="A156" i="1"/>
  <c r="L155" i="1"/>
  <c r="I155" i="1"/>
  <c r="H155" i="1"/>
  <c r="F155" i="1"/>
  <c r="E155" i="1"/>
  <c r="D155" i="1"/>
  <c r="C155" i="1"/>
  <c r="B155" i="1"/>
  <c r="A155" i="1"/>
  <c r="L154" i="1"/>
  <c r="I154" i="1"/>
  <c r="H154" i="1"/>
  <c r="F154" i="1"/>
  <c r="E154" i="1"/>
  <c r="D154" i="1"/>
  <c r="C154" i="1"/>
  <c r="B154" i="1"/>
  <c r="A154" i="1"/>
  <c r="L153" i="1"/>
  <c r="I153" i="1"/>
  <c r="H153" i="1"/>
  <c r="F153" i="1"/>
  <c r="E153" i="1"/>
  <c r="D153" i="1"/>
  <c r="C153" i="1"/>
  <c r="B153" i="1"/>
  <c r="A153" i="1"/>
  <c r="L152" i="1"/>
  <c r="I152" i="1"/>
  <c r="H152" i="1"/>
  <c r="F152" i="1"/>
  <c r="E152" i="1"/>
  <c r="D152" i="1"/>
  <c r="C152" i="1"/>
  <c r="B152" i="1"/>
  <c r="A152" i="1"/>
  <c r="L151" i="1"/>
  <c r="I151" i="1"/>
  <c r="H151" i="1"/>
  <c r="F151" i="1"/>
  <c r="E151" i="1"/>
  <c r="D151" i="1"/>
  <c r="C151" i="1"/>
  <c r="B151" i="1"/>
  <c r="A151" i="1"/>
  <c r="L150" i="1"/>
  <c r="I150" i="1"/>
  <c r="H150" i="1"/>
  <c r="F150" i="1"/>
  <c r="E150" i="1"/>
  <c r="D150" i="1"/>
  <c r="C150" i="1"/>
  <c r="B150" i="1"/>
  <c r="A150" i="1"/>
  <c r="L149" i="1"/>
  <c r="I149" i="1"/>
  <c r="H149" i="1"/>
  <c r="F149" i="1"/>
  <c r="E149" i="1"/>
  <c r="D149" i="1"/>
  <c r="C149" i="1"/>
  <c r="B149" i="1"/>
  <c r="A149" i="1"/>
  <c r="L148" i="1"/>
  <c r="I148" i="1"/>
  <c r="H148" i="1"/>
  <c r="F148" i="1"/>
  <c r="E148" i="1"/>
  <c r="D148" i="1"/>
  <c r="C148" i="1"/>
  <c r="B148" i="1"/>
  <c r="A148" i="1"/>
  <c r="L147" i="1"/>
  <c r="I147" i="1"/>
  <c r="H147" i="1"/>
  <c r="F147" i="1"/>
  <c r="E147" i="1"/>
  <c r="D147" i="1"/>
  <c r="C147" i="1"/>
  <c r="B147" i="1"/>
  <c r="A147" i="1"/>
  <c r="L146" i="1"/>
  <c r="I146" i="1"/>
  <c r="H146" i="1"/>
  <c r="F146" i="1"/>
  <c r="E146" i="1"/>
  <c r="D146" i="1"/>
  <c r="C146" i="1"/>
  <c r="B146" i="1"/>
  <c r="A146" i="1"/>
  <c r="L145" i="1"/>
  <c r="I145" i="1"/>
  <c r="H145" i="1"/>
  <c r="F145" i="1"/>
  <c r="E145" i="1"/>
  <c r="D145" i="1"/>
  <c r="C145" i="1"/>
  <c r="B145" i="1"/>
  <c r="A145" i="1"/>
  <c r="L144" i="1"/>
  <c r="I144" i="1"/>
  <c r="H144" i="1"/>
  <c r="F144" i="1"/>
  <c r="E144" i="1"/>
  <c r="D144" i="1"/>
  <c r="C144" i="1"/>
  <c r="B144" i="1"/>
  <c r="A144" i="1"/>
  <c r="L143" i="1"/>
  <c r="I143" i="1"/>
  <c r="H143" i="1"/>
  <c r="F143" i="1"/>
  <c r="E143" i="1"/>
  <c r="D143" i="1"/>
  <c r="C143" i="1"/>
  <c r="B143" i="1"/>
  <c r="A143" i="1"/>
  <c r="L142" i="1"/>
  <c r="I142" i="1"/>
  <c r="H142" i="1"/>
  <c r="F142" i="1"/>
  <c r="E142" i="1"/>
  <c r="D142" i="1"/>
  <c r="C142" i="1"/>
  <c r="B142" i="1"/>
  <c r="A142" i="1"/>
  <c r="L141" i="1"/>
  <c r="I141" i="1"/>
  <c r="H141" i="1"/>
  <c r="F141" i="1"/>
  <c r="E141" i="1"/>
  <c r="D141" i="1"/>
  <c r="C141" i="1"/>
  <c r="B141" i="1"/>
  <c r="A141" i="1"/>
  <c r="L140" i="1"/>
  <c r="I140" i="1"/>
  <c r="H140" i="1"/>
  <c r="F140" i="1"/>
  <c r="E140" i="1"/>
  <c r="D140" i="1"/>
  <c r="C140" i="1"/>
  <c r="B140" i="1"/>
  <c r="A140" i="1"/>
  <c r="L139" i="1"/>
  <c r="I139" i="1"/>
  <c r="H139" i="1"/>
  <c r="F139" i="1"/>
  <c r="E139" i="1"/>
  <c r="D139" i="1"/>
  <c r="C139" i="1"/>
  <c r="B139" i="1"/>
  <c r="A139" i="1"/>
  <c r="L138" i="1"/>
  <c r="I138" i="1"/>
  <c r="H138" i="1"/>
  <c r="F138" i="1"/>
  <c r="E138" i="1"/>
  <c r="D138" i="1"/>
  <c r="C138" i="1"/>
  <c r="B138" i="1"/>
  <c r="A138" i="1"/>
  <c r="L137" i="1"/>
  <c r="I137" i="1"/>
  <c r="H137" i="1"/>
  <c r="F137" i="1"/>
  <c r="E137" i="1"/>
  <c r="D137" i="1"/>
  <c r="C137" i="1"/>
  <c r="B137" i="1"/>
  <c r="A137" i="1"/>
  <c r="L136" i="1"/>
  <c r="I136" i="1"/>
  <c r="H136" i="1"/>
  <c r="F136" i="1"/>
  <c r="E136" i="1"/>
  <c r="D136" i="1"/>
  <c r="C136" i="1"/>
  <c r="B136" i="1"/>
  <c r="A136" i="1"/>
  <c r="L135" i="1"/>
  <c r="I135" i="1"/>
  <c r="H135" i="1"/>
  <c r="F135" i="1"/>
  <c r="E135" i="1"/>
  <c r="D135" i="1"/>
  <c r="C135" i="1"/>
  <c r="B135" i="1"/>
  <c r="A135" i="1"/>
  <c r="L134" i="1"/>
  <c r="I134" i="1"/>
  <c r="H134" i="1"/>
  <c r="F134" i="1"/>
  <c r="A134" i="1"/>
  <c r="L133" i="1"/>
  <c r="I133" i="1"/>
  <c r="H133" i="1"/>
  <c r="F133" i="1"/>
  <c r="A133" i="1"/>
  <c r="L132" i="1"/>
  <c r="I132" i="1"/>
  <c r="H132" i="1"/>
  <c r="F132" i="1"/>
  <c r="A132" i="1"/>
  <c r="L131" i="1"/>
  <c r="I131" i="1"/>
  <c r="H131" i="1"/>
  <c r="F131" i="1"/>
  <c r="A131" i="1"/>
  <c r="L130" i="1"/>
  <c r="I130" i="1"/>
  <c r="H130" i="1"/>
  <c r="F130" i="1"/>
  <c r="A130" i="1"/>
  <c r="L129" i="1"/>
  <c r="I129" i="1"/>
  <c r="H129" i="1"/>
  <c r="F129" i="1"/>
  <c r="A129" i="1"/>
  <c r="L128" i="1"/>
  <c r="I128" i="1"/>
  <c r="H128" i="1"/>
  <c r="F128" i="1"/>
  <c r="A128" i="1"/>
  <c r="L127" i="1"/>
  <c r="I127" i="1"/>
  <c r="H127" i="1"/>
  <c r="F127" i="1"/>
  <c r="A127" i="1"/>
  <c r="L126" i="1"/>
  <c r="I126" i="1"/>
  <c r="H126" i="1"/>
  <c r="F126" i="1"/>
  <c r="A126" i="1"/>
  <c r="L125" i="1"/>
  <c r="I125" i="1"/>
  <c r="H125" i="1"/>
  <c r="F125" i="1"/>
  <c r="A125" i="1"/>
  <c r="L124" i="1"/>
  <c r="I124" i="1"/>
  <c r="H124" i="1"/>
  <c r="F124" i="1"/>
  <c r="A124" i="1"/>
  <c r="L123" i="1"/>
  <c r="I123" i="1"/>
  <c r="H123" i="1"/>
  <c r="F123" i="1"/>
  <c r="A123" i="1"/>
  <c r="L122" i="1"/>
  <c r="I122" i="1"/>
  <c r="H122" i="1"/>
  <c r="F122" i="1"/>
  <c r="A122" i="1"/>
  <c r="L121" i="1"/>
  <c r="I121" i="1"/>
  <c r="H121" i="1"/>
  <c r="F121" i="1"/>
  <c r="A121" i="1"/>
  <c r="L120" i="1"/>
  <c r="I120" i="1"/>
  <c r="H120" i="1"/>
  <c r="F120" i="1"/>
  <c r="A120" i="1"/>
  <c r="L119" i="1"/>
  <c r="I119" i="1"/>
  <c r="H119" i="1"/>
  <c r="F119" i="1"/>
  <c r="A119" i="1"/>
  <c r="L118" i="1"/>
  <c r="I118" i="1"/>
  <c r="H118" i="1"/>
  <c r="F118" i="1"/>
  <c r="A118" i="1"/>
  <c r="L117" i="1"/>
  <c r="I117" i="1"/>
  <c r="H117" i="1"/>
  <c r="F117" i="1"/>
  <c r="A117" i="1"/>
  <c r="L116" i="1"/>
  <c r="I116" i="1"/>
  <c r="H116" i="1"/>
  <c r="F116" i="1"/>
  <c r="A116" i="1"/>
  <c r="L115" i="1"/>
  <c r="I115" i="1"/>
  <c r="H115" i="1"/>
  <c r="F115" i="1"/>
  <c r="A115" i="1"/>
  <c r="L114" i="1"/>
  <c r="I114" i="1"/>
  <c r="H114" i="1"/>
  <c r="F114" i="1"/>
  <c r="A114" i="1"/>
  <c r="L113" i="1"/>
  <c r="I113" i="1"/>
  <c r="H113" i="1"/>
  <c r="F113" i="1"/>
  <c r="A113" i="1"/>
  <c r="L112" i="1"/>
  <c r="I112" i="1"/>
  <c r="H112" i="1"/>
  <c r="F112" i="1"/>
  <c r="A112" i="1"/>
  <c r="L111" i="1"/>
  <c r="I111" i="1"/>
  <c r="H111" i="1"/>
  <c r="F111" i="1"/>
  <c r="A111" i="1"/>
  <c r="L110" i="1"/>
  <c r="I110" i="1"/>
  <c r="H110" i="1"/>
  <c r="F110" i="1"/>
  <c r="A110" i="1"/>
  <c r="L109" i="1"/>
  <c r="I109" i="1"/>
  <c r="H109" i="1"/>
  <c r="F109" i="1"/>
  <c r="A109" i="1"/>
  <c r="L108" i="1"/>
  <c r="I108" i="1"/>
  <c r="H108" i="1"/>
  <c r="F108" i="1"/>
  <c r="A108" i="1"/>
  <c r="L107" i="1"/>
  <c r="I107" i="1"/>
  <c r="H107" i="1"/>
  <c r="F107" i="1"/>
  <c r="A107" i="1"/>
  <c r="L106" i="1"/>
  <c r="I106" i="1"/>
  <c r="H106" i="1"/>
  <c r="F106" i="1"/>
  <c r="A106" i="1"/>
  <c r="L105" i="1"/>
  <c r="I105" i="1"/>
  <c r="H105" i="1"/>
  <c r="F105" i="1"/>
  <c r="A105" i="1"/>
  <c r="L104" i="1"/>
  <c r="I104" i="1"/>
  <c r="H104" i="1"/>
  <c r="F104" i="1"/>
  <c r="A104" i="1"/>
  <c r="L103" i="1"/>
  <c r="I103" i="1"/>
  <c r="H103" i="1"/>
  <c r="F103" i="1"/>
  <c r="A103" i="1"/>
  <c r="L102" i="1"/>
  <c r="I102" i="1"/>
  <c r="H102" i="1"/>
  <c r="F102" i="1"/>
  <c r="A102" i="1"/>
  <c r="L101" i="1"/>
  <c r="I101" i="1"/>
  <c r="H101" i="1"/>
  <c r="F101" i="1"/>
  <c r="A101" i="1"/>
  <c r="L100" i="1"/>
  <c r="I100" i="1"/>
  <c r="H100" i="1"/>
  <c r="F100" i="1"/>
  <c r="A100" i="1"/>
  <c r="L99" i="1"/>
  <c r="I99" i="1"/>
  <c r="H99" i="1"/>
  <c r="F99" i="1"/>
  <c r="A99" i="1"/>
  <c r="L98" i="1"/>
  <c r="I98" i="1"/>
  <c r="H98" i="1"/>
  <c r="F98" i="1"/>
  <c r="A98" i="1"/>
  <c r="L97" i="1"/>
  <c r="I97" i="1"/>
  <c r="H97" i="1"/>
  <c r="F97" i="1"/>
  <c r="A97" i="1"/>
  <c r="L96" i="1"/>
  <c r="I96" i="1"/>
  <c r="H96" i="1"/>
  <c r="F96" i="1"/>
  <c r="A96" i="1"/>
  <c r="L95" i="1"/>
  <c r="I95" i="1"/>
  <c r="H95" i="1"/>
  <c r="F95" i="1"/>
  <c r="A95" i="1"/>
  <c r="L94" i="1"/>
  <c r="I94" i="1"/>
  <c r="H94" i="1"/>
  <c r="F94" i="1"/>
  <c r="A94" i="1"/>
  <c r="L93" i="1"/>
  <c r="I93" i="1"/>
  <c r="H93" i="1"/>
  <c r="F93" i="1"/>
  <c r="A93" i="1"/>
  <c r="L92" i="1"/>
  <c r="I92" i="1"/>
  <c r="H92" i="1"/>
  <c r="F92" i="1"/>
  <c r="A92" i="1"/>
  <c r="L91" i="1"/>
  <c r="I91" i="1"/>
  <c r="H91" i="1"/>
  <c r="F91" i="1"/>
  <c r="A91" i="1"/>
  <c r="L90" i="1"/>
  <c r="I90" i="1"/>
  <c r="H90" i="1"/>
  <c r="F90" i="1"/>
  <c r="A90" i="1"/>
  <c r="L89" i="1"/>
  <c r="I89" i="1"/>
  <c r="H89" i="1"/>
  <c r="F89" i="1"/>
  <c r="A89" i="1"/>
  <c r="L88" i="1"/>
  <c r="I88" i="1"/>
  <c r="H88" i="1"/>
  <c r="F88" i="1"/>
  <c r="A88" i="1"/>
  <c r="L87" i="1"/>
  <c r="I87" i="1"/>
  <c r="H87" i="1"/>
  <c r="F87" i="1"/>
  <c r="A87" i="1"/>
  <c r="L86" i="1"/>
  <c r="I86" i="1"/>
  <c r="H86" i="1"/>
  <c r="F86" i="1"/>
  <c r="A86" i="1"/>
  <c r="L85" i="1"/>
  <c r="I85" i="1"/>
  <c r="H85" i="1"/>
  <c r="F85" i="1"/>
  <c r="A85" i="1"/>
  <c r="L84" i="1"/>
  <c r="I84" i="1"/>
  <c r="H84" i="1"/>
  <c r="F84" i="1"/>
  <c r="A84" i="1"/>
  <c r="L83" i="1"/>
  <c r="I83" i="1"/>
  <c r="H83" i="1"/>
  <c r="F83" i="1"/>
  <c r="A83" i="1"/>
  <c r="L82" i="1"/>
  <c r="I82" i="1"/>
  <c r="H82" i="1"/>
  <c r="F82" i="1"/>
  <c r="A82" i="1"/>
  <c r="L81" i="1"/>
  <c r="I81" i="1"/>
  <c r="H81" i="1"/>
  <c r="F81" i="1"/>
  <c r="A81" i="1"/>
  <c r="L80" i="1"/>
  <c r="I80" i="1"/>
  <c r="H80" i="1"/>
  <c r="F80" i="1"/>
  <c r="A80" i="1"/>
  <c r="L79" i="1"/>
  <c r="I79" i="1"/>
  <c r="H79" i="1"/>
  <c r="F79" i="1"/>
  <c r="A79" i="1"/>
  <c r="L78" i="1"/>
  <c r="I78" i="1"/>
  <c r="H78" i="1"/>
  <c r="F78" i="1"/>
  <c r="A78" i="1"/>
  <c r="L77" i="1"/>
  <c r="I77" i="1"/>
  <c r="H77" i="1"/>
  <c r="F77" i="1"/>
  <c r="A77" i="1"/>
  <c r="L76" i="1"/>
  <c r="I76" i="1"/>
  <c r="H76" i="1"/>
  <c r="F76" i="1"/>
  <c r="A76" i="1"/>
  <c r="L75" i="1"/>
  <c r="I75" i="1"/>
  <c r="H75" i="1"/>
  <c r="F75" i="1"/>
  <c r="A75" i="1"/>
  <c r="L74" i="1"/>
  <c r="I74" i="1"/>
  <c r="H74" i="1"/>
  <c r="F74" i="1"/>
  <c r="A74" i="1"/>
  <c r="L73" i="1"/>
  <c r="I73" i="1"/>
  <c r="H73" i="1"/>
  <c r="F73" i="1"/>
  <c r="A73" i="1"/>
  <c r="L72" i="1"/>
  <c r="I72" i="1"/>
  <c r="H72" i="1"/>
  <c r="F72" i="1"/>
  <c r="A72" i="1"/>
  <c r="L71" i="1"/>
  <c r="I71" i="1"/>
  <c r="H71" i="1"/>
  <c r="F71" i="1"/>
  <c r="A71" i="1"/>
  <c r="L70" i="1"/>
  <c r="I70" i="1"/>
  <c r="H70" i="1"/>
  <c r="F70" i="1"/>
  <c r="A70" i="1"/>
  <c r="L69" i="1"/>
  <c r="I69" i="1"/>
  <c r="H69" i="1"/>
  <c r="F69" i="1"/>
  <c r="A69" i="1"/>
  <c r="L68" i="1"/>
  <c r="I68" i="1"/>
  <c r="H68" i="1"/>
  <c r="F68" i="1"/>
  <c r="A68" i="1"/>
  <c r="L67" i="1"/>
  <c r="I67" i="1"/>
  <c r="H67" i="1"/>
  <c r="F67" i="1"/>
  <c r="A67" i="1"/>
  <c r="L66" i="1"/>
  <c r="I66" i="1"/>
  <c r="H66" i="1"/>
  <c r="F66" i="1"/>
  <c r="A66" i="1"/>
  <c r="L65" i="1"/>
  <c r="I65" i="1"/>
  <c r="H65" i="1"/>
  <c r="F65" i="1"/>
  <c r="A65" i="1"/>
  <c r="L64" i="1"/>
  <c r="I64" i="1"/>
  <c r="H64" i="1"/>
  <c r="F64" i="1"/>
  <c r="A64" i="1"/>
  <c r="L63" i="1"/>
  <c r="I63" i="1"/>
  <c r="H63" i="1"/>
  <c r="F63" i="1"/>
  <c r="A63" i="1"/>
  <c r="L62" i="1"/>
  <c r="I62" i="1"/>
  <c r="H62" i="1"/>
  <c r="F62" i="1"/>
  <c r="A62" i="1"/>
  <c r="L61" i="1"/>
  <c r="I61" i="1"/>
  <c r="H61" i="1"/>
  <c r="F61" i="1"/>
  <c r="A61" i="1"/>
  <c r="L60" i="1"/>
  <c r="I60" i="1"/>
  <c r="H60" i="1"/>
  <c r="F60" i="1"/>
  <c r="A60" i="1"/>
  <c r="L59" i="1"/>
  <c r="I59" i="1"/>
  <c r="H59" i="1"/>
  <c r="F59" i="1"/>
  <c r="A59" i="1"/>
  <c r="L58" i="1"/>
  <c r="I58" i="1"/>
  <c r="H58" i="1"/>
  <c r="F58" i="1"/>
  <c r="A58" i="1"/>
  <c r="L57" i="1"/>
  <c r="I57" i="1"/>
  <c r="H57" i="1"/>
  <c r="F57" i="1"/>
  <c r="A57" i="1"/>
  <c r="L56" i="1"/>
  <c r="I56" i="1"/>
  <c r="H56" i="1"/>
  <c r="F56" i="1"/>
  <c r="A56" i="1"/>
  <c r="L55" i="1"/>
  <c r="I55" i="1"/>
  <c r="H55" i="1"/>
  <c r="F55" i="1"/>
  <c r="A55" i="1"/>
  <c r="L54" i="1"/>
  <c r="I54" i="1"/>
  <c r="H54" i="1"/>
  <c r="F54" i="1"/>
  <c r="A54" i="1"/>
  <c r="L53" i="1"/>
  <c r="I53" i="1"/>
  <c r="H53" i="1"/>
  <c r="F53" i="1"/>
  <c r="A53" i="1"/>
  <c r="L52" i="1"/>
  <c r="I52" i="1"/>
  <c r="H52" i="1"/>
  <c r="F52" i="1"/>
  <c r="A52" i="1"/>
  <c r="L51" i="1"/>
  <c r="I51" i="1"/>
  <c r="H51" i="1"/>
  <c r="F51" i="1"/>
  <c r="A51" i="1"/>
  <c r="L50" i="1"/>
  <c r="I50" i="1"/>
  <c r="H50" i="1"/>
  <c r="F50" i="1"/>
  <c r="A50" i="1"/>
  <c r="L49" i="1"/>
  <c r="I49" i="1"/>
  <c r="H49" i="1"/>
  <c r="F49" i="1"/>
  <c r="A49" i="1"/>
  <c r="L48" i="1"/>
  <c r="I48" i="1"/>
  <c r="H48" i="1"/>
  <c r="F48" i="1"/>
  <c r="A48" i="1"/>
  <c r="L47" i="1"/>
  <c r="I47" i="1"/>
  <c r="H47" i="1"/>
  <c r="F47" i="1"/>
  <c r="A47" i="1"/>
  <c r="L46" i="1"/>
  <c r="I46" i="1"/>
  <c r="H46" i="1"/>
  <c r="F46" i="1"/>
  <c r="A46" i="1"/>
  <c r="L45" i="1"/>
  <c r="I45" i="1"/>
  <c r="H45" i="1"/>
  <c r="F45" i="1"/>
  <c r="A45" i="1"/>
  <c r="L44" i="1"/>
  <c r="I44" i="1"/>
  <c r="H44" i="1"/>
  <c r="F44" i="1"/>
  <c r="A44" i="1"/>
  <c r="L43" i="1"/>
  <c r="I43" i="1"/>
  <c r="H43" i="1"/>
  <c r="F43" i="1"/>
  <c r="A43" i="1"/>
  <c r="L42" i="1"/>
  <c r="I42" i="1"/>
  <c r="H42" i="1"/>
  <c r="F42" i="1"/>
  <c r="A42" i="1"/>
  <c r="L41" i="1"/>
  <c r="I41" i="1"/>
  <c r="H41" i="1"/>
  <c r="F41" i="1"/>
  <c r="A41" i="1"/>
  <c r="L40" i="1"/>
  <c r="I40" i="1"/>
  <c r="H40" i="1"/>
  <c r="F40" i="1"/>
  <c r="A40" i="1"/>
  <c r="L39" i="1"/>
  <c r="I39" i="1"/>
  <c r="H39" i="1"/>
  <c r="F39" i="1"/>
  <c r="A39" i="1"/>
  <c r="L38" i="1"/>
  <c r="I38" i="1"/>
  <c r="H38" i="1"/>
  <c r="F38" i="1"/>
  <c r="A38" i="1"/>
  <c r="L37" i="1"/>
  <c r="I37" i="1"/>
  <c r="H37" i="1"/>
  <c r="F37" i="1"/>
  <c r="A37" i="1"/>
  <c r="L36" i="1"/>
  <c r="I36" i="1"/>
  <c r="H36" i="1"/>
  <c r="F36" i="1"/>
  <c r="A36" i="1"/>
  <c r="L35" i="1"/>
  <c r="I35" i="1"/>
  <c r="H35" i="1"/>
  <c r="F35" i="1"/>
  <c r="A35" i="1"/>
  <c r="L34" i="1"/>
  <c r="I34" i="1"/>
  <c r="H34" i="1"/>
  <c r="F34" i="1"/>
  <c r="A34" i="1"/>
  <c r="L33" i="1"/>
  <c r="I33" i="1"/>
  <c r="H33" i="1"/>
  <c r="F33" i="1"/>
  <c r="A33" i="1"/>
  <c r="L32" i="1"/>
  <c r="I32" i="1"/>
  <c r="H32" i="1"/>
  <c r="F32" i="1"/>
  <c r="A32" i="1"/>
  <c r="L31" i="1"/>
  <c r="I31" i="1"/>
  <c r="H31" i="1"/>
  <c r="F31" i="1"/>
  <c r="A31" i="1"/>
  <c r="L30" i="1"/>
  <c r="I30" i="1"/>
  <c r="H30" i="1"/>
  <c r="F30" i="1"/>
  <c r="A30" i="1"/>
  <c r="L29" i="1"/>
  <c r="I29" i="1"/>
  <c r="H29" i="1"/>
  <c r="F29" i="1"/>
  <c r="A29" i="1"/>
  <c r="L28" i="1"/>
  <c r="I28" i="1"/>
  <c r="H28" i="1"/>
  <c r="F28" i="1"/>
  <c r="A28" i="1"/>
  <c r="L27" i="1"/>
  <c r="I27" i="1"/>
  <c r="H27" i="1"/>
  <c r="F27" i="1"/>
  <c r="A27" i="1"/>
  <c r="L26" i="1"/>
  <c r="I26" i="1"/>
  <c r="H26" i="1"/>
  <c r="F26" i="1"/>
  <c r="A26" i="1"/>
  <c r="L25" i="1"/>
  <c r="I25" i="1"/>
  <c r="H25" i="1"/>
  <c r="F25" i="1"/>
  <c r="A25" i="1"/>
  <c r="L24" i="1"/>
  <c r="I24" i="1"/>
  <c r="H24" i="1"/>
  <c r="F24" i="1"/>
  <c r="A24" i="1"/>
  <c r="L23" i="1"/>
  <c r="I23" i="1"/>
  <c r="H23" i="1"/>
  <c r="F23" i="1"/>
  <c r="A23" i="1"/>
  <c r="L22" i="1"/>
  <c r="I22" i="1"/>
  <c r="H22" i="1"/>
  <c r="F22" i="1"/>
  <c r="A22" i="1"/>
  <c r="L21" i="1"/>
  <c r="I21" i="1"/>
  <c r="H21" i="1"/>
  <c r="F21" i="1"/>
  <c r="A21" i="1"/>
  <c r="L20" i="1"/>
  <c r="I20" i="1"/>
  <c r="H20" i="1"/>
  <c r="F20" i="1"/>
  <c r="A20" i="1"/>
  <c r="L19" i="1"/>
  <c r="I19" i="1"/>
  <c r="H19" i="1"/>
  <c r="F19" i="1"/>
  <c r="A19" i="1"/>
  <c r="L18" i="1"/>
  <c r="I18" i="1"/>
  <c r="H18" i="1"/>
  <c r="F18" i="1"/>
  <c r="A18" i="1"/>
  <c r="L17" i="1"/>
  <c r="I17" i="1"/>
  <c r="H17" i="1"/>
  <c r="F17" i="1"/>
  <c r="A17" i="1"/>
  <c r="L16" i="1"/>
  <c r="I16" i="1"/>
  <c r="H16" i="1"/>
  <c r="F16" i="1"/>
  <c r="A16" i="1"/>
  <c r="L15" i="1"/>
  <c r="I15" i="1"/>
  <c r="H15" i="1"/>
  <c r="F15" i="1"/>
  <c r="A15" i="1"/>
  <c r="L14" i="1"/>
  <c r="I14" i="1"/>
  <c r="H14" i="1"/>
  <c r="F14" i="1"/>
  <c r="A14" i="1"/>
  <c r="L13" i="1"/>
  <c r="I13" i="1"/>
  <c r="H13" i="1"/>
  <c r="F13" i="1"/>
  <c r="A13" i="1"/>
  <c r="L12" i="1"/>
  <c r="I12" i="1"/>
  <c r="H12" i="1"/>
  <c r="F12" i="1"/>
  <c r="A12" i="1"/>
  <c r="L11" i="1"/>
  <c r="I11" i="1"/>
  <c r="H11" i="1"/>
  <c r="F11" i="1"/>
  <c r="A11" i="1"/>
  <c r="L10" i="1"/>
  <c r="I10" i="1"/>
  <c r="H10" i="1"/>
  <c r="F10" i="1"/>
  <c r="A10" i="1"/>
  <c r="L9" i="1"/>
  <c r="I9" i="1"/>
  <c r="H9" i="1"/>
  <c r="F9" i="1"/>
  <c r="A9" i="1"/>
  <c r="L8" i="1"/>
  <c r="I8" i="1"/>
  <c r="H8" i="1"/>
  <c r="F8" i="1"/>
  <c r="A8" i="1"/>
  <c r="L7" i="1"/>
  <c r="I7" i="1"/>
  <c r="H7" i="1"/>
  <c r="F7" i="1"/>
  <c r="A7" i="1"/>
  <c r="L6" i="1"/>
  <c r="I6" i="1"/>
  <c r="H6" i="1"/>
  <c r="F6" i="1"/>
  <c r="A6" i="1"/>
  <c r="L5" i="1"/>
  <c r="I5" i="1"/>
  <c r="H5" i="1"/>
  <c r="F5" i="1"/>
  <c r="A5" i="1"/>
  <c r="L4" i="1"/>
  <c r="I4" i="1"/>
  <c r="H4" i="1"/>
  <c r="F4" i="1"/>
  <c r="A4" i="1"/>
  <c r="L3" i="1"/>
  <c r="I3" i="1"/>
  <c r="H3" i="1"/>
  <c r="F3" i="1"/>
  <c r="A3" i="1"/>
  <c r="L2" i="1"/>
  <c r="I2" i="1"/>
  <c r="H2" i="1"/>
  <c r="F2" i="1"/>
  <c r="E2" i="1"/>
  <c r="D2" i="1"/>
  <c r="C2" i="1"/>
  <c r="B2" i="1"/>
  <c r="A2" i="1"/>
  <c r="J136" i="5"/>
  <c r="D134" i="1" s="1"/>
  <c r="I136" i="5"/>
  <c r="C134" i="1" s="1"/>
  <c r="D136" i="5"/>
  <c r="E134" i="1" s="1"/>
  <c r="C136" i="5"/>
  <c r="B134" i="1" s="1"/>
  <c r="J135" i="5"/>
  <c r="D133" i="1" s="1"/>
  <c r="I135" i="5"/>
  <c r="C133" i="1" s="1"/>
  <c r="D135" i="5"/>
  <c r="E133" i="1" s="1"/>
  <c r="C135" i="5"/>
  <c r="B133" i="1" s="1"/>
  <c r="J134" i="5"/>
  <c r="D132" i="1" s="1"/>
  <c r="I134" i="5"/>
  <c r="C132" i="1" s="1"/>
  <c r="D134" i="5"/>
  <c r="E132" i="1" s="1"/>
  <c r="C134" i="5"/>
  <c r="B132" i="1" s="1"/>
  <c r="J133" i="5"/>
  <c r="D131" i="1" s="1"/>
  <c r="I133" i="5"/>
  <c r="C131" i="1" s="1"/>
  <c r="D133" i="5"/>
  <c r="E131" i="1" s="1"/>
  <c r="C133" i="5"/>
  <c r="B131" i="1" s="1"/>
  <c r="J132" i="5"/>
  <c r="D130" i="1" s="1"/>
  <c r="I132" i="5"/>
  <c r="C130" i="1" s="1"/>
  <c r="D132" i="5"/>
  <c r="E130" i="1" s="1"/>
  <c r="C132" i="5"/>
  <c r="B130" i="1" s="1"/>
  <c r="J131" i="5"/>
  <c r="D129" i="1" s="1"/>
  <c r="I131" i="5"/>
  <c r="C129" i="1" s="1"/>
  <c r="D131" i="5"/>
  <c r="E129" i="1" s="1"/>
  <c r="C131" i="5"/>
  <c r="B129" i="1" s="1"/>
  <c r="J130" i="5"/>
  <c r="D128" i="1" s="1"/>
  <c r="I130" i="5"/>
  <c r="C128" i="1" s="1"/>
  <c r="D130" i="5"/>
  <c r="E128" i="1" s="1"/>
  <c r="C130" i="5"/>
  <c r="B128" i="1" s="1"/>
  <c r="J129" i="5"/>
  <c r="D127" i="1" s="1"/>
  <c r="I129" i="5"/>
  <c r="C127" i="1" s="1"/>
  <c r="D129" i="5"/>
  <c r="E127" i="1" s="1"/>
  <c r="C129" i="5"/>
  <c r="B127" i="1" s="1"/>
  <c r="J128" i="5"/>
  <c r="D126" i="1" s="1"/>
  <c r="I128" i="5"/>
  <c r="C126" i="1" s="1"/>
  <c r="D128" i="5"/>
  <c r="E126" i="1" s="1"/>
  <c r="C128" i="5"/>
  <c r="B126" i="1" s="1"/>
  <c r="J127" i="5"/>
  <c r="D125" i="1" s="1"/>
  <c r="I127" i="5"/>
  <c r="C125" i="1" s="1"/>
  <c r="D127" i="5"/>
  <c r="E125" i="1" s="1"/>
  <c r="C127" i="5"/>
  <c r="B125" i="1" s="1"/>
  <c r="J126" i="5"/>
  <c r="D124" i="1" s="1"/>
  <c r="I126" i="5"/>
  <c r="C124" i="1" s="1"/>
  <c r="D126" i="5"/>
  <c r="E124" i="1" s="1"/>
  <c r="C126" i="5"/>
  <c r="B124" i="1" s="1"/>
  <c r="J125" i="5"/>
  <c r="D123" i="1" s="1"/>
  <c r="I125" i="5"/>
  <c r="C123" i="1" s="1"/>
  <c r="D125" i="5"/>
  <c r="E123" i="1" s="1"/>
  <c r="C125" i="5"/>
  <c r="B123" i="1" s="1"/>
  <c r="J124" i="5"/>
  <c r="D122" i="1" s="1"/>
  <c r="I124" i="5"/>
  <c r="C122" i="1" s="1"/>
  <c r="D124" i="5"/>
  <c r="E122" i="1" s="1"/>
  <c r="C124" i="5"/>
  <c r="B122" i="1" s="1"/>
  <c r="J123" i="5"/>
  <c r="D121" i="1" s="1"/>
  <c r="I123" i="5"/>
  <c r="C121" i="1" s="1"/>
  <c r="D123" i="5"/>
  <c r="E121" i="1" s="1"/>
  <c r="C123" i="5"/>
  <c r="B121" i="1" s="1"/>
  <c r="J122" i="5"/>
  <c r="D120" i="1" s="1"/>
  <c r="I122" i="5"/>
  <c r="C120" i="1" s="1"/>
  <c r="D122" i="5"/>
  <c r="E120" i="1" s="1"/>
  <c r="C122" i="5"/>
  <c r="B120" i="1" s="1"/>
  <c r="J121" i="5"/>
  <c r="D119" i="1" s="1"/>
  <c r="I121" i="5"/>
  <c r="C119" i="1" s="1"/>
  <c r="D121" i="5"/>
  <c r="E119" i="1" s="1"/>
  <c r="C121" i="5"/>
  <c r="B119" i="1" s="1"/>
  <c r="J120" i="5"/>
  <c r="D118" i="1" s="1"/>
  <c r="I120" i="5"/>
  <c r="C118" i="1" s="1"/>
  <c r="D120" i="5"/>
  <c r="E118" i="1" s="1"/>
  <c r="C120" i="5"/>
  <c r="B118" i="1" s="1"/>
  <c r="J119" i="5"/>
  <c r="D117" i="1" s="1"/>
  <c r="I119" i="5"/>
  <c r="C117" i="1" s="1"/>
  <c r="D119" i="5"/>
  <c r="E117" i="1" s="1"/>
  <c r="C119" i="5"/>
  <c r="B117" i="1" s="1"/>
  <c r="J118" i="5"/>
  <c r="D116" i="1" s="1"/>
  <c r="I118" i="5"/>
  <c r="C116" i="1" s="1"/>
  <c r="D118" i="5"/>
  <c r="E116" i="1" s="1"/>
  <c r="C118" i="5"/>
  <c r="B116" i="1" s="1"/>
  <c r="J117" i="5"/>
  <c r="D115" i="1" s="1"/>
  <c r="I117" i="5"/>
  <c r="C115" i="1" s="1"/>
  <c r="D117" i="5"/>
  <c r="E115" i="1" s="1"/>
  <c r="C117" i="5"/>
  <c r="B115" i="1" s="1"/>
  <c r="J116" i="5"/>
  <c r="D114" i="1" s="1"/>
  <c r="I116" i="5"/>
  <c r="C114" i="1" s="1"/>
  <c r="D116" i="5"/>
  <c r="E114" i="1" s="1"/>
  <c r="C116" i="5"/>
  <c r="B114" i="1" s="1"/>
  <c r="J115" i="5"/>
  <c r="D113" i="1" s="1"/>
  <c r="I115" i="5"/>
  <c r="C113" i="1" s="1"/>
  <c r="D115" i="5"/>
  <c r="E113" i="1" s="1"/>
  <c r="C115" i="5"/>
  <c r="B113" i="1" s="1"/>
  <c r="J114" i="5"/>
  <c r="D112" i="1" s="1"/>
  <c r="I114" i="5"/>
  <c r="C112" i="1" s="1"/>
  <c r="D114" i="5"/>
  <c r="E112" i="1" s="1"/>
  <c r="C114" i="5"/>
  <c r="B112" i="1" s="1"/>
  <c r="J113" i="5"/>
  <c r="D111" i="1" s="1"/>
  <c r="I113" i="5"/>
  <c r="C111" i="1" s="1"/>
  <c r="D113" i="5"/>
  <c r="E111" i="1" s="1"/>
  <c r="C113" i="5"/>
  <c r="B111" i="1" s="1"/>
  <c r="J112" i="5"/>
  <c r="D110" i="1" s="1"/>
  <c r="I112" i="5"/>
  <c r="C110" i="1" s="1"/>
  <c r="D112" i="5"/>
  <c r="E110" i="1" s="1"/>
  <c r="C112" i="5"/>
  <c r="B110" i="1" s="1"/>
  <c r="J111" i="5"/>
  <c r="D109" i="1" s="1"/>
  <c r="I111" i="5"/>
  <c r="C109" i="1" s="1"/>
  <c r="D111" i="5"/>
  <c r="E109" i="1" s="1"/>
  <c r="C111" i="5"/>
  <c r="B109" i="1" s="1"/>
  <c r="K110" i="5"/>
  <c r="J110" i="5"/>
  <c r="D108" i="1" s="1"/>
  <c r="I110" i="5"/>
  <c r="C108" i="1" s="1"/>
  <c r="D110" i="5"/>
  <c r="E108" i="1" s="1"/>
  <c r="C110" i="5"/>
  <c r="B108" i="1" s="1"/>
  <c r="K109" i="5"/>
  <c r="J109" i="5"/>
  <c r="D107" i="1" s="1"/>
  <c r="I109" i="5"/>
  <c r="C107" i="1" s="1"/>
  <c r="D109" i="5"/>
  <c r="E107" i="1" s="1"/>
  <c r="C109" i="5"/>
  <c r="B107" i="1" s="1"/>
  <c r="K108" i="5"/>
  <c r="J108" i="5"/>
  <c r="D106" i="1" s="1"/>
  <c r="I108" i="5"/>
  <c r="C106" i="1" s="1"/>
  <c r="D108" i="5"/>
  <c r="E106" i="1" s="1"/>
  <c r="C108" i="5"/>
  <c r="B106" i="1" s="1"/>
  <c r="K107" i="5"/>
  <c r="J107" i="5"/>
  <c r="D105" i="1" s="1"/>
  <c r="I107" i="5"/>
  <c r="C105" i="1" s="1"/>
  <c r="D107" i="5"/>
  <c r="E105" i="1" s="1"/>
  <c r="C107" i="5"/>
  <c r="B105" i="1" s="1"/>
  <c r="K106" i="5"/>
  <c r="J106" i="5"/>
  <c r="D104" i="1" s="1"/>
  <c r="I106" i="5"/>
  <c r="C104" i="1" s="1"/>
  <c r="D106" i="5"/>
  <c r="E104" i="1" s="1"/>
  <c r="C106" i="5"/>
  <c r="B104" i="1" s="1"/>
  <c r="K105" i="5"/>
  <c r="J105" i="5"/>
  <c r="D103" i="1" s="1"/>
  <c r="I105" i="5"/>
  <c r="C103" i="1" s="1"/>
  <c r="D105" i="5"/>
  <c r="E103" i="1" s="1"/>
  <c r="C105" i="5"/>
  <c r="B103" i="1" s="1"/>
  <c r="K104" i="5"/>
  <c r="J104" i="5"/>
  <c r="D102" i="1" s="1"/>
  <c r="I104" i="5"/>
  <c r="C102" i="1" s="1"/>
  <c r="D104" i="5"/>
  <c r="E102" i="1" s="1"/>
  <c r="C104" i="5"/>
  <c r="B102" i="1" s="1"/>
  <c r="K103" i="5"/>
  <c r="J103" i="5"/>
  <c r="D101" i="1" s="1"/>
  <c r="I103" i="5"/>
  <c r="C101" i="1" s="1"/>
  <c r="D103" i="5"/>
  <c r="E101" i="1" s="1"/>
  <c r="C103" i="5"/>
  <c r="B101" i="1" s="1"/>
  <c r="K102" i="5"/>
  <c r="J102" i="5"/>
  <c r="D100" i="1" s="1"/>
  <c r="I102" i="5"/>
  <c r="C100" i="1" s="1"/>
  <c r="D102" i="5"/>
  <c r="E100" i="1" s="1"/>
  <c r="C102" i="5"/>
  <c r="B100" i="1" s="1"/>
  <c r="K101" i="5"/>
  <c r="J101" i="5"/>
  <c r="D99" i="1" s="1"/>
  <c r="I101" i="5"/>
  <c r="C99" i="1" s="1"/>
  <c r="D101" i="5"/>
  <c r="E99" i="1" s="1"/>
  <c r="C101" i="5"/>
  <c r="B99" i="1" s="1"/>
  <c r="K100" i="5"/>
  <c r="J100" i="5"/>
  <c r="D98" i="1" s="1"/>
  <c r="I100" i="5"/>
  <c r="C98" i="1" s="1"/>
  <c r="D100" i="5"/>
  <c r="E98" i="1" s="1"/>
  <c r="C100" i="5"/>
  <c r="B98" i="1" s="1"/>
  <c r="K99" i="5"/>
  <c r="J99" i="5"/>
  <c r="D97" i="1" s="1"/>
  <c r="I99" i="5"/>
  <c r="C97" i="1" s="1"/>
  <c r="D99" i="5"/>
  <c r="E97" i="1" s="1"/>
  <c r="C99" i="5"/>
  <c r="B97" i="1" s="1"/>
  <c r="K98" i="5"/>
  <c r="J98" i="5"/>
  <c r="D96" i="1" s="1"/>
  <c r="I98" i="5"/>
  <c r="C96" i="1" s="1"/>
  <c r="D98" i="5"/>
  <c r="E96" i="1" s="1"/>
  <c r="C98" i="5"/>
  <c r="B96" i="1" s="1"/>
  <c r="K97" i="5"/>
  <c r="J97" i="5"/>
  <c r="D95" i="1" s="1"/>
  <c r="I97" i="5"/>
  <c r="C95" i="1" s="1"/>
  <c r="D97" i="5"/>
  <c r="E95" i="1" s="1"/>
  <c r="C97" i="5"/>
  <c r="B95" i="1" s="1"/>
  <c r="K96" i="5"/>
  <c r="J96" i="5"/>
  <c r="D94" i="1" s="1"/>
  <c r="I96" i="5"/>
  <c r="C94" i="1" s="1"/>
  <c r="D96" i="5"/>
  <c r="E94" i="1" s="1"/>
  <c r="C96" i="5"/>
  <c r="B94" i="1" s="1"/>
  <c r="K95" i="5"/>
  <c r="J95" i="5"/>
  <c r="D93" i="1" s="1"/>
  <c r="I95" i="5"/>
  <c r="C93" i="1" s="1"/>
  <c r="D95" i="5"/>
  <c r="E93" i="1" s="1"/>
  <c r="C95" i="5"/>
  <c r="B93" i="1" s="1"/>
  <c r="K94" i="5"/>
  <c r="J94" i="5"/>
  <c r="D92" i="1" s="1"/>
  <c r="I94" i="5"/>
  <c r="C92" i="1" s="1"/>
  <c r="D94" i="5"/>
  <c r="E92" i="1" s="1"/>
  <c r="C94" i="5"/>
  <c r="B92" i="1" s="1"/>
  <c r="K93" i="5"/>
  <c r="J93" i="5"/>
  <c r="D91" i="1" s="1"/>
  <c r="I93" i="5"/>
  <c r="C91" i="1" s="1"/>
  <c r="D93" i="5"/>
  <c r="E91" i="1" s="1"/>
  <c r="C93" i="5"/>
  <c r="B91" i="1" s="1"/>
  <c r="K92" i="5"/>
  <c r="J92" i="5"/>
  <c r="D90" i="1" s="1"/>
  <c r="I92" i="5"/>
  <c r="C90" i="1" s="1"/>
  <c r="D92" i="5"/>
  <c r="E90" i="1" s="1"/>
  <c r="C92" i="5"/>
  <c r="B90" i="1" s="1"/>
  <c r="K91" i="5"/>
  <c r="J91" i="5"/>
  <c r="D89" i="1" s="1"/>
  <c r="I91" i="5"/>
  <c r="C89" i="1" s="1"/>
  <c r="D91" i="5"/>
  <c r="E89" i="1" s="1"/>
  <c r="C91" i="5"/>
  <c r="B89" i="1" s="1"/>
  <c r="K90" i="5"/>
  <c r="J90" i="5"/>
  <c r="D88" i="1" s="1"/>
  <c r="I90" i="5"/>
  <c r="C88" i="1" s="1"/>
  <c r="D90" i="5"/>
  <c r="E88" i="1" s="1"/>
  <c r="C90" i="5"/>
  <c r="B88" i="1" s="1"/>
  <c r="K89" i="5"/>
  <c r="J89" i="5"/>
  <c r="D87" i="1" s="1"/>
  <c r="I89" i="5"/>
  <c r="C87" i="1" s="1"/>
  <c r="D89" i="5"/>
  <c r="E87" i="1" s="1"/>
  <c r="C89" i="5"/>
  <c r="B87" i="1" s="1"/>
  <c r="K88" i="5"/>
  <c r="J88" i="5"/>
  <c r="D86" i="1" s="1"/>
  <c r="I88" i="5"/>
  <c r="C86" i="1" s="1"/>
  <c r="D88" i="5"/>
  <c r="E86" i="1" s="1"/>
  <c r="C88" i="5"/>
  <c r="B86" i="1" s="1"/>
  <c r="K87" i="5"/>
  <c r="J87" i="5"/>
  <c r="D85" i="1" s="1"/>
  <c r="I87" i="5"/>
  <c r="C85" i="1" s="1"/>
  <c r="D87" i="5"/>
  <c r="E85" i="1" s="1"/>
  <c r="C87" i="5"/>
  <c r="B85" i="1" s="1"/>
  <c r="K86" i="5"/>
  <c r="J86" i="5"/>
  <c r="D84" i="1" s="1"/>
  <c r="I86" i="5"/>
  <c r="C84" i="1" s="1"/>
  <c r="D86" i="5"/>
  <c r="E84" i="1" s="1"/>
  <c r="C86" i="5"/>
  <c r="B84" i="1" s="1"/>
  <c r="K85" i="5"/>
  <c r="J85" i="5"/>
  <c r="D83" i="1" s="1"/>
  <c r="I85" i="5"/>
  <c r="C83" i="1" s="1"/>
  <c r="D85" i="5"/>
  <c r="E83" i="1" s="1"/>
  <c r="C85" i="5"/>
  <c r="B83" i="1" s="1"/>
  <c r="K84" i="5"/>
  <c r="J84" i="5"/>
  <c r="D82" i="1" s="1"/>
  <c r="I84" i="5"/>
  <c r="C82" i="1" s="1"/>
  <c r="D84" i="5"/>
  <c r="E82" i="1" s="1"/>
  <c r="C84" i="5"/>
  <c r="B82" i="1" s="1"/>
  <c r="K83" i="5"/>
  <c r="J83" i="5"/>
  <c r="D81" i="1" s="1"/>
  <c r="I83" i="5"/>
  <c r="C81" i="1" s="1"/>
  <c r="D83" i="5"/>
  <c r="E81" i="1" s="1"/>
  <c r="C83" i="5"/>
  <c r="B81" i="1" s="1"/>
  <c r="K82" i="5"/>
  <c r="J82" i="5"/>
  <c r="D80" i="1" s="1"/>
  <c r="I82" i="5"/>
  <c r="C80" i="1" s="1"/>
  <c r="D82" i="5"/>
  <c r="E80" i="1" s="1"/>
  <c r="C82" i="5"/>
  <c r="B80" i="1" s="1"/>
  <c r="K81" i="5"/>
  <c r="J81" i="5"/>
  <c r="D79" i="1" s="1"/>
  <c r="I81" i="5"/>
  <c r="C79" i="1" s="1"/>
  <c r="D81" i="5"/>
  <c r="E79" i="1" s="1"/>
  <c r="C81" i="5"/>
  <c r="B79" i="1" s="1"/>
  <c r="K80" i="5"/>
  <c r="J80" i="5"/>
  <c r="D78" i="1" s="1"/>
  <c r="I80" i="5"/>
  <c r="C78" i="1" s="1"/>
  <c r="D80" i="5"/>
  <c r="E78" i="1" s="1"/>
  <c r="C80" i="5"/>
  <c r="B78" i="1" s="1"/>
  <c r="K79" i="5"/>
  <c r="J79" i="5"/>
  <c r="D77" i="1" s="1"/>
  <c r="I79" i="5"/>
  <c r="C77" i="1" s="1"/>
  <c r="D79" i="5"/>
  <c r="E77" i="1" s="1"/>
  <c r="C79" i="5"/>
  <c r="B77" i="1" s="1"/>
  <c r="K78" i="5"/>
  <c r="J78" i="5"/>
  <c r="D76" i="1" s="1"/>
  <c r="I78" i="5"/>
  <c r="C76" i="1" s="1"/>
  <c r="D78" i="5"/>
  <c r="E76" i="1" s="1"/>
  <c r="C78" i="5"/>
  <c r="B76" i="1" s="1"/>
  <c r="K77" i="5"/>
  <c r="J77" i="5"/>
  <c r="D75" i="1" s="1"/>
  <c r="I77" i="5"/>
  <c r="C75" i="1" s="1"/>
  <c r="D77" i="5"/>
  <c r="E75" i="1" s="1"/>
  <c r="C77" i="5"/>
  <c r="B75" i="1" s="1"/>
  <c r="K76" i="5"/>
  <c r="J76" i="5"/>
  <c r="D74" i="1" s="1"/>
  <c r="I76" i="5"/>
  <c r="C74" i="1" s="1"/>
  <c r="D76" i="5"/>
  <c r="E74" i="1" s="1"/>
  <c r="C76" i="5"/>
  <c r="B74" i="1" s="1"/>
  <c r="K75" i="5"/>
  <c r="J75" i="5"/>
  <c r="D73" i="1" s="1"/>
  <c r="I75" i="5"/>
  <c r="C73" i="1" s="1"/>
  <c r="D75" i="5"/>
  <c r="E73" i="1" s="1"/>
  <c r="C75" i="5"/>
  <c r="B73" i="1" s="1"/>
  <c r="K74" i="5"/>
  <c r="J74" i="5"/>
  <c r="D72" i="1" s="1"/>
  <c r="I74" i="5"/>
  <c r="C72" i="1" s="1"/>
  <c r="D74" i="5"/>
  <c r="E72" i="1" s="1"/>
  <c r="C74" i="5"/>
  <c r="B72" i="1" s="1"/>
  <c r="K73" i="5"/>
  <c r="J73" i="5"/>
  <c r="D71" i="1" s="1"/>
  <c r="I73" i="5"/>
  <c r="C71" i="1" s="1"/>
  <c r="D73" i="5"/>
  <c r="E71" i="1" s="1"/>
  <c r="C73" i="5"/>
  <c r="B71" i="1" s="1"/>
  <c r="K72" i="5"/>
  <c r="J72" i="5"/>
  <c r="D70" i="1" s="1"/>
  <c r="I72" i="5"/>
  <c r="C70" i="1" s="1"/>
  <c r="D72" i="5"/>
  <c r="E70" i="1" s="1"/>
  <c r="C72" i="5"/>
  <c r="B70" i="1" s="1"/>
  <c r="K71" i="5"/>
  <c r="J71" i="5"/>
  <c r="D69" i="1" s="1"/>
  <c r="I71" i="5"/>
  <c r="C69" i="1" s="1"/>
  <c r="D71" i="5"/>
  <c r="E69" i="1" s="1"/>
  <c r="C71" i="5"/>
  <c r="B69" i="1" s="1"/>
  <c r="K70" i="5"/>
  <c r="J70" i="5"/>
  <c r="D68" i="1" s="1"/>
  <c r="I70" i="5"/>
  <c r="C68" i="1" s="1"/>
  <c r="D70" i="5"/>
  <c r="E68" i="1" s="1"/>
  <c r="C70" i="5"/>
  <c r="B68" i="1" s="1"/>
  <c r="K69" i="5"/>
  <c r="J69" i="5"/>
  <c r="D67" i="1" s="1"/>
  <c r="I69" i="5"/>
  <c r="C67" i="1" s="1"/>
  <c r="D69" i="5"/>
  <c r="E67" i="1" s="1"/>
  <c r="C69" i="5"/>
  <c r="B67" i="1" s="1"/>
  <c r="K68" i="5"/>
  <c r="J68" i="5"/>
  <c r="D66" i="1" s="1"/>
  <c r="I68" i="5"/>
  <c r="C66" i="1" s="1"/>
  <c r="D68" i="5"/>
  <c r="E66" i="1" s="1"/>
  <c r="C68" i="5"/>
  <c r="B66" i="1" s="1"/>
  <c r="K67" i="5"/>
  <c r="J67" i="5"/>
  <c r="D65" i="1" s="1"/>
  <c r="I67" i="5"/>
  <c r="C65" i="1" s="1"/>
  <c r="D67" i="5"/>
  <c r="E65" i="1" s="1"/>
  <c r="C67" i="5"/>
  <c r="B65" i="1" s="1"/>
  <c r="K66" i="5"/>
  <c r="J66" i="5"/>
  <c r="D64" i="1" s="1"/>
  <c r="I66" i="5"/>
  <c r="C64" i="1" s="1"/>
  <c r="D66" i="5"/>
  <c r="E64" i="1" s="1"/>
  <c r="C66" i="5"/>
  <c r="B64" i="1" s="1"/>
  <c r="K65" i="5"/>
  <c r="J65" i="5"/>
  <c r="D63" i="1" s="1"/>
  <c r="I65" i="5"/>
  <c r="C63" i="1" s="1"/>
  <c r="D65" i="5"/>
  <c r="E63" i="1" s="1"/>
  <c r="C65" i="5"/>
  <c r="B63" i="1" s="1"/>
  <c r="K64" i="5"/>
  <c r="J64" i="5"/>
  <c r="D62" i="1" s="1"/>
  <c r="I64" i="5"/>
  <c r="C62" i="1" s="1"/>
  <c r="D64" i="5"/>
  <c r="E62" i="1" s="1"/>
  <c r="C64" i="5"/>
  <c r="B62" i="1" s="1"/>
  <c r="K63" i="5"/>
  <c r="J63" i="5"/>
  <c r="D61" i="1" s="1"/>
  <c r="I63" i="5"/>
  <c r="C61" i="1" s="1"/>
  <c r="D63" i="5"/>
  <c r="E61" i="1" s="1"/>
  <c r="C63" i="5"/>
  <c r="B61" i="1" s="1"/>
  <c r="K62" i="5"/>
  <c r="J62" i="5"/>
  <c r="D60" i="1" s="1"/>
  <c r="I62" i="5"/>
  <c r="C60" i="1" s="1"/>
  <c r="D62" i="5"/>
  <c r="E60" i="1" s="1"/>
  <c r="C62" i="5"/>
  <c r="B60" i="1" s="1"/>
  <c r="K61" i="5"/>
  <c r="J61" i="5"/>
  <c r="D59" i="1" s="1"/>
  <c r="I61" i="5"/>
  <c r="C59" i="1" s="1"/>
  <c r="D61" i="5"/>
  <c r="E59" i="1" s="1"/>
  <c r="C61" i="5"/>
  <c r="B59" i="1" s="1"/>
  <c r="K60" i="5"/>
  <c r="J60" i="5"/>
  <c r="D58" i="1" s="1"/>
  <c r="I60" i="5"/>
  <c r="C58" i="1" s="1"/>
  <c r="D60" i="5"/>
  <c r="E58" i="1" s="1"/>
  <c r="C60" i="5"/>
  <c r="B58" i="1" s="1"/>
  <c r="K59" i="5"/>
  <c r="J59" i="5"/>
  <c r="D57" i="1" s="1"/>
  <c r="I59" i="5"/>
  <c r="C57" i="1" s="1"/>
  <c r="D59" i="5"/>
  <c r="E57" i="1" s="1"/>
  <c r="C59" i="5"/>
  <c r="B57" i="1" s="1"/>
  <c r="K58" i="5"/>
  <c r="J58" i="5"/>
  <c r="D56" i="1" s="1"/>
  <c r="I58" i="5"/>
  <c r="C56" i="1" s="1"/>
  <c r="D58" i="5"/>
  <c r="E56" i="1" s="1"/>
  <c r="C58" i="5"/>
  <c r="B56" i="1" s="1"/>
  <c r="K57" i="5"/>
  <c r="J57" i="5"/>
  <c r="D55" i="1" s="1"/>
  <c r="I57" i="5"/>
  <c r="C55" i="1" s="1"/>
  <c r="D57" i="5"/>
  <c r="E55" i="1" s="1"/>
  <c r="C57" i="5"/>
  <c r="B55" i="1" s="1"/>
  <c r="K56" i="5"/>
  <c r="J56" i="5"/>
  <c r="D54" i="1" s="1"/>
  <c r="I56" i="5"/>
  <c r="C54" i="1" s="1"/>
  <c r="D56" i="5"/>
  <c r="E54" i="1" s="1"/>
  <c r="C56" i="5"/>
  <c r="B54" i="1" s="1"/>
  <c r="K55" i="5"/>
  <c r="J55" i="5"/>
  <c r="D53" i="1" s="1"/>
  <c r="I55" i="5"/>
  <c r="C53" i="1" s="1"/>
  <c r="D55" i="5"/>
  <c r="E53" i="1" s="1"/>
  <c r="C55" i="5"/>
  <c r="B53" i="1" s="1"/>
  <c r="K54" i="5"/>
  <c r="J54" i="5"/>
  <c r="D52" i="1" s="1"/>
  <c r="I54" i="5"/>
  <c r="C52" i="1" s="1"/>
  <c r="D54" i="5"/>
  <c r="E52" i="1" s="1"/>
  <c r="C54" i="5"/>
  <c r="B52" i="1" s="1"/>
  <c r="K53" i="5"/>
  <c r="J53" i="5"/>
  <c r="D51" i="1" s="1"/>
  <c r="I53" i="5"/>
  <c r="C51" i="1" s="1"/>
  <c r="D53" i="5"/>
  <c r="E51" i="1" s="1"/>
  <c r="C53" i="5"/>
  <c r="B51" i="1" s="1"/>
  <c r="K52" i="5"/>
  <c r="J52" i="5"/>
  <c r="D50" i="1" s="1"/>
  <c r="I52" i="5"/>
  <c r="C50" i="1" s="1"/>
  <c r="D52" i="5"/>
  <c r="E50" i="1" s="1"/>
  <c r="C52" i="5"/>
  <c r="B50" i="1" s="1"/>
  <c r="K51" i="5"/>
  <c r="J51" i="5"/>
  <c r="D49" i="1" s="1"/>
  <c r="I51" i="5"/>
  <c r="C49" i="1" s="1"/>
  <c r="D51" i="5"/>
  <c r="E49" i="1" s="1"/>
  <c r="C51" i="5"/>
  <c r="B49" i="1" s="1"/>
  <c r="K50" i="5"/>
  <c r="J50" i="5"/>
  <c r="D48" i="1" s="1"/>
  <c r="I50" i="5"/>
  <c r="C48" i="1" s="1"/>
  <c r="D50" i="5"/>
  <c r="E48" i="1" s="1"/>
  <c r="C50" i="5"/>
  <c r="B48" i="1" s="1"/>
  <c r="K49" i="5"/>
  <c r="J49" i="5"/>
  <c r="D47" i="1" s="1"/>
  <c r="I49" i="5"/>
  <c r="C47" i="1" s="1"/>
  <c r="D49" i="5"/>
  <c r="E47" i="1" s="1"/>
  <c r="C49" i="5"/>
  <c r="B47" i="1" s="1"/>
  <c r="K48" i="5"/>
  <c r="J48" i="5"/>
  <c r="D46" i="1" s="1"/>
  <c r="I48" i="5"/>
  <c r="C46" i="1" s="1"/>
  <c r="D48" i="5"/>
  <c r="E46" i="1" s="1"/>
  <c r="C48" i="5"/>
  <c r="B46" i="1" s="1"/>
  <c r="K47" i="5"/>
  <c r="J47" i="5"/>
  <c r="D45" i="1" s="1"/>
  <c r="I47" i="5"/>
  <c r="C45" i="1" s="1"/>
  <c r="D47" i="5"/>
  <c r="E45" i="1" s="1"/>
  <c r="C47" i="5"/>
  <c r="B45" i="1" s="1"/>
  <c r="K46" i="5"/>
  <c r="J46" i="5"/>
  <c r="D44" i="1" s="1"/>
  <c r="I46" i="5"/>
  <c r="C44" i="1" s="1"/>
  <c r="D46" i="5"/>
  <c r="E44" i="1" s="1"/>
  <c r="C46" i="5"/>
  <c r="B44" i="1" s="1"/>
  <c r="K45" i="5"/>
  <c r="J45" i="5"/>
  <c r="D43" i="1" s="1"/>
  <c r="I45" i="5"/>
  <c r="C43" i="1" s="1"/>
  <c r="D45" i="5"/>
  <c r="E43" i="1" s="1"/>
  <c r="C45" i="5"/>
  <c r="B43" i="1" s="1"/>
  <c r="K44" i="5"/>
  <c r="J44" i="5"/>
  <c r="D42" i="1" s="1"/>
  <c r="I44" i="5"/>
  <c r="C42" i="1" s="1"/>
  <c r="D44" i="5"/>
  <c r="E42" i="1" s="1"/>
  <c r="C44" i="5"/>
  <c r="B42" i="1" s="1"/>
  <c r="K43" i="5"/>
  <c r="J43" i="5"/>
  <c r="D41" i="1" s="1"/>
  <c r="I43" i="5"/>
  <c r="C41" i="1" s="1"/>
  <c r="D43" i="5"/>
  <c r="E41" i="1" s="1"/>
  <c r="C43" i="5"/>
  <c r="B41" i="1" s="1"/>
  <c r="K42" i="5"/>
  <c r="J42" i="5"/>
  <c r="D40" i="1" s="1"/>
  <c r="I42" i="5"/>
  <c r="C40" i="1" s="1"/>
  <c r="D42" i="5"/>
  <c r="E40" i="1" s="1"/>
  <c r="C42" i="5"/>
  <c r="B40" i="1" s="1"/>
  <c r="K41" i="5"/>
  <c r="J41" i="5"/>
  <c r="D39" i="1" s="1"/>
  <c r="I41" i="5"/>
  <c r="C39" i="1" s="1"/>
  <c r="D41" i="5"/>
  <c r="E39" i="1" s="1"/>
  <c r="C41" i="5"/>
  <c r="B39" i="1" s="1"/>
  <c r="K40" i="5"/>
  <c r="J40" i="5"/>
  <c r="D38" i="1" s="1"/>
  <c r="I40" i="5"/>
  <c r="C38" i="1" s="1"/>
  <c r="D40" i="5"/>
  <c r="E38" i="1" s="1"/>
  <c r="C40" i="5"/>
  <c r="B38" i="1" s="1"/>
  <c r="K39" i="5"/>
  <c r="J39" i="5"/>
  <c r="D37" i="1" s="1"/>
  <c r="I39" i="5"/>
  <c r="C37" i="1" s="1"/>
  <c r="D39" i="5"/>
  <c r="E37" i="1" s="1"/>
  <c r="C39" i="5"/>
  <c r="B37" i="1" s="1"/>
  <c r="K38" i="5"/>
  <c r="J38" i="5"/>
  <c r="D36" i="1" s="1"/>
  <c r="I38" i="5"/>
  <c r="C36" i="1" s="1"/>
  <c r="D38" i="5"/>
  <c r="E36" i="1" s="1"/>
  <c r="C38" i="5"/>
  <c r="B36" i="1" s="1"/>
  <c r="K37" i="5"/>
  <c r="J37" i="5"/>
  <c r="D35" i="1" s="1"/>
  <c r="I37" i="5"/>
  <c r="C35" i="1" s="1"/>
  <c r="D37" i="5"/>
  <c r="E35" i="1" s="1"/>
  <c r="C37" i="5"/>
  <c r="B35" i="1" s="1"/>
  <c r="K36" i="5"/>
  <c r="J36" i="5"/>
  <c r="D34" i="1" s="1"/>
  <c r="I36" i="5"/>
  <c r="C34" i="1" s="1"/>
  <c r="D36" i="5"/>
  <c r="E34" i="1" s="1"/>
  <c r="C36" i="5"/>
  <c r="B34" i="1" s="1"/>
  <c r="K35" i="5"/>
  <c r="J35" i="5"/>
  <c r="D33" i="1" s="1"/>
  <c r="I35" i="5"/>
  <c r="C33" i="1" s="1"/>
  <c r="D35" i="5"/>
  <c r="E33" i="1" s="1"/>
  <c r="C35" i="5"/>
  <c r="B33" i="1" s="1"/>
  <c r="K34" i="5"/>
  <c r="J34" i="5"/>
  <c r="D32" i="1" s="1"/>
  <c r="I34" i="5"/>
  <c r="C32" i="1" s="1"/>
  <c r="D34" i="5"/>
  <c r="E32" i="1" s="1"/>
  <c r="C34" i="5"/>
  <c r="B32" i="1" s="1"/>
  <c r="K33" i="5"/>
  <c r="J33" i="5"/>
  <c r="D31" i="1" s="1"/>
  <c r="I33" i="5"/>
  <c r="C31" i="1" s="1"/>
  <c r="D33" i="5"/>
  <c r="E31" i="1" s="1"/>
  <c r="C33" i="5"/>
  <c r="B31" i="1" s="1"/>
  <c r="K32" i="5"/>
  <c r="J32" i="5"/>
  <c r="D30" i="1" s="1"/>
  <c r="I32" i="5"/>
  <c r="C30" i="1" s="1"/>
  <c r="D32" i="5"/>
  <c r="E30" i="1" s="1"/>
  <c r="C32" i="5"/>
  <c r="B30" i="1" s="1"/>
  <c r="K31" i="5"/>
  <c r="J31" i="5"/>
  <c r="D29" i="1" s="1"/>
  <c r="I31" i="5"/>
  <c r="C29" i="1" s="1"/>
  <c r="D31" i="5"/>
  <c r="E29" i="1" s="1"/>
  <c r="C31" i="5"/>
  <c r="B29" i="1" s="1"/>
  <c r="K30" i="5"/>
  <c r="J30" i="5"/>
  <c r="D28" i="1" s="1"/>
  <c r="I30" i="5"/>
  <c r="C28" i="1" s="1"/>
  <c r="D30" i="5"/>
  <c r="E28" i="1" s="1"/>
  <c r="C30" i="5"/>
  <c r="B28" i="1" s="1"/>
  <c r="K29" i="5"/>
  <c r="J29" i="5"/>
  <c r="D27" i="1" s="1"/>
  <c r="I29" i="5"/>
  <c r="C27" i="1" s="1"/>
  <c r="D29" i="5"/>
  <c r="E27" i="1" s="1"/>
  <c r="C29" i="5"/>
  <c r="B27" i="1" s="1"/>
  <c r="K28" i="5"/>
  <c r="J28" i="5"/>
  <c r="D26" i="1" s="1"/>
  <c r="I28" i="5"/>
  <c r="C26" i="1" s="1"/>
  <c r="D28" i="5"/>
  <c r="E26" i="1" s="1"/>
  <c r="C28" i="5"/>
  <c r="B26" i="1" s="1"/>
  <c r="K27" i="5"/>
  <c r="J27" i="5"/>
  <c r="D25" i="1" s="1"/>
  <c r="I27" i="5"/>
  <c r="C25" i="1" s="1"/>
  <c r="D27" i="5"/>
  <c r="E25" i="1" s="1"/>
  <c r="C27" i="5"/>
  <c r="B25" i="1" s="1"/>
  <c r="K26" i="5"/>
  <c r="J26" i="5"/>
  <c r="D24" i="1" s="1"/>
  <c r="I26" i="5"/>
  <c r="C24" i="1" s="1"/>
  <c r="D26" i="5"/>
  <c r="E24" i="1" s="1"/>
  <c r="C26" i="5"/>
  <c r="B24" i="1" s="1"/>
  <c r="K25" i="5"/>
  <c r="J25" i="5"/>
  <c r="D23" i="1" s="1"/>
  <c r="I25" i="5"/>
  <c r="C23" i="1" s="1"/>
  <c r="D25" i="5"/>
  <c r="E23" i="1" s="1"/>
  <c r="C25" i="5"/>
  <c r="B23" i="1" s="1"/>
  <c r="K24" i="5"/>
  <c r="J24" i="5"/>
  <c r="D22" i="1" s="1"/>
  <c r="I24" i="5"/>
  <c r="C22" i="1" s="1"/>
  <c r="D24" i="5"/>
  <c r="E22" i="1" s="1"/>
  <c r="C24" i="5"/>
  <c r="B22" i="1" s="1"/>
  <c r="K23" i="5"/>
  <c r="J23" i="5"/>
  <c r="D21" i="1" s="1"/>
  <c r="I23" i="5"/>
  <c r="C21" i="1" s="1"/>
  <c r="D23" i="5"/>
  <c r="E21" i="1" s="1"/>
  <c r="C23" i="5"/>
  <c r="B21" i="1" s="1"/>
  <c r="K22" i="5"/>
  <c r="J22" i="5"/>
  <c r="D20" i="1" s="1"/>
  <c r="I22" i="5"/>
  <c r="C20" i="1" s="1"/>
  <c r="D22" i="5"/>
  <c r="E20" i="1" s="1"/>
  <c r="C22" i="5"/>
  <c r="B20" i="1" s="1"/>
  <c r="K21" i="5"/>
  <c r="J21" i="5"/>
  <c r="D19" i="1" s="1"/>
  <c r="I21" i="5"/>
  <c r="C19" i="1" s="1"/>
  <c r="D21" i="5"/>
  <c r="E19" i="1" s="1"/>
  <c r="C21" i="5"/>
  <c r="B19" i="1" s="1"/>
  <c r="K20" i="5"/>
  <c r="J20" i="5"/>
  <c r="D18" i="1" s="1"/>
  <c r="I20" i="5"/>
  <c r="C18" i="1" s="1"/>
  <c r="D20" i="5"/>
  <c r="E18" i="1" s="1"/>
  <c r="C20" i="5"/>
  <c r="B18" i="1" s="1"/>
  <c r="K19" i="5"/>
  <c r="J19" i="5"/>
  <c r="D17" i="1" s="1"/>
  <c r="I19" i="5"/>
  <c r="C17" i="1" s="1"/>
  <c r="D19" i="5"/>
  <c r="E17" i="1" s="1"/>
  <c r="C19" i="5"/>
  <c r="B17" i="1" s="1"/>
  <c r="K18" i="5"/>
  <c r="J18" i="5"/>
  <c r="D16" i="1" s="1"/>
  <c r="I18" i="5"/>
  <c r="C16" i="1" s="1"/>
  <c r="D18" i="5"/>
  <c r="E16" i="1" s="1"/>
  <c r="C18" i="5"/>
  <c r="B16" i="1" s="1"/>
  <c r="K17" i="5"/>
  <c r="J17" i="5"/>
  <c r="D15" i="1" s="1"/>
  <c r="I17" i="5"/>
  <c r="C15" i="1" s="1"/>
  <c r="D17" i="5"/>
  <c r="E15" i="1" s="1"/>
  <c r="C17" i="5"/>
  <c r="B15" i="1" s="1"/>
  <c r="K16" i="5"/>
  <c r="J16" i="5"/>
  <c r="D14" i="1" s="1"/>
  <c r="I16" i="5"/>
  <c r="C14" i="1" s="1"/>
  <c r="D16" i="5"/>
  <c r="E14" i="1" s="1"/>
  <c r="C16" i="5"/>
  <c r="B14" i="1" s="1"/>
  <c r="K15" i="5"/>
  <c r="J15" i="5"/>
  <c r="D13" i="1" s="1"/>
  <c r="I15" i="5"/>
  <c r="C13" i="1" s="1"/>
  <c r="D15" i="5"/>
  <c r="E13" i="1" s="1"/>
  <c r="C15" i="5"/>
  <c r="B13" i="1" s="1"/>
  <c r="K14" i="5"/>
  <c r="J14" i="5"/>
  <c r="D12" i="1" s="1"/>
  <c r="I14" i="5"/>
  <c r="C12" i="1" s="1"/>
  <c r="D14" i="5"/>
  <c r="E12" i="1" s="1"/>
  <c r="C14" i="5"/>
  <c r="B12" i="1" s="1"/>
  <c r="K13" i="5"/>
  <c r="J13" i="5"/>
  <c r="D11" i="1" s="1"/>
  <c r="I13" i="5"/>
  <c r="C11" i="1" s="1"/>
  <c r="D13" i="5"/>
  <c r="E11" i="1" s="1"/>
  <c r="C13" i="5"/>
  <c r="B11" i="1" s="1"/>
  <c r="K12" i="5"/>
  <c r="J12" i="5"/>
  <c r="D10" i="1" s="1"/>
  <c r="I12" i="5"/>
  <c r="C10" i="1" s="1"/>
  <c r="D12" i="5"/>
  <c r="E10" i="1" s="1"/>
  <c r="C12" i="5"/>
  <c r="B10" i="1" s="1"/>
  <c r="K11" i="5"/>
  <c r="J11" i="5"/>
  <c r="D9" i="1" s="1"/>
  <c r="I11" i="5"/>
  <c r="C9" i="1" s="1"/>
  <c r="D11" i="5"/>
  <c r="E9" i="1" s="1"/>
  <c r="C11" i="5"/>
  <c r="B9" i="1" s="1"/>
  <c r="K10" i="5"/>
  <c r="J10" i="5"/>
  <c r="D8" i="1" s="1"/>
  <c r="I10" i="5"/>
  <c r="C8" i="1" s="1"/>
  <c r="D10" i="5"/>
  <c r="E8" i="1" s="1"/>
  <c r="C10" i="5"/>
  <c r="B8" i="1" s="1"/>
  <c r="K9" i="5"/>
  <c r="J9" i="5"/>
  <c r="D7" i="1" s="1"/>
  <c r="I9" i="5"/>
  <c r="C7" i="1" s="1"/>
  <c r="D9" i="5"/>
  <c r="E7" i="1" s="1"/>
  <c r="C9" i="5"/>
  <c r="B7" i="1" s="1"/>
  <c r="K8" i="5"/>
  <c r="J8" i="5"/>
  <c r="D6" i="1" s="1"/>
  <c r="I8" i="5"/>
  <c r="C6" i="1" s="1"/>
  <c r="D8" i="5"/>
  <c r="E6" i="1" s="1"/>
  <c r="C8" i="5"/>
  <c r="B6" i="1" s="1"/>
  <c r="K7" i="5"/>
  <c r="J7" i="5"/>
  <c r="D5" i="1" s="1"/>
  <c r="I7" i="5"/>
  <c r="C5" i="1" s="1"/>
  <c r="D7" i="5"/>
  <c r="E5" i="1" s="1"/>
  <c r="C7" i="5"/>
  <c r="B5" i="1" s="1"/>
  <c r="K6" i="5"/>
  <c r="J6" i="5"/>
  <c r="D4" i="1" s="1"/>
  <c r="I6" i="5"/>
  <c r="C4" i="1" s="1"/>
  <c r="D6" i="5"/>
  <c r="E4" i="1" s="1"/>
  <c r="C6" i="5"/>
  <c r="B4" i="1" s="1"/>
  <c r="K5" i="5"/>
  <c r="J5" i="5"/>
  <c r="D3" i="1" s="1"/>
  <c r="I5" i="5"/>
  <c r="C3" i="1" s="1"/>
  <c r="D5" i="5"/>
  <c r="E3" i="1" s="1"/>
  <c r="C5" i="5"/>
  <c r="B3" i="1" s="1"/>
</calcChain>
</file>

<file path=xl/sharedStrings.xml><?xml version="1.0" encoding="utf-8"?>
<sst xmlns="http://schemas.openxmlformats.org/spreadsheetml/2006/main" count="13777" uniqueCount="2922">
  <si>
    <t xml:space="preserve">Date
</t>
  </si>
  <si>
    <t xml:space="preserve">Name 
</t>
  </si>
  <si>
    <t xml:space="preserve"> SAP ID 
</t>
  </si>
  <si>
    <t xml:space="preserve">Service Master Number </t>
  </si>
  <si>
    <t xml:space="preserve">Work Order Number 
</t>
  </si>
  <si>
    <t xml:space="preserve">Activity Number 
</t>
  </si>
  <si>
    <t xml:space="preserve">Work Center </t>
  </si>
  <si>
    <t xml:space="preserve">Work Hours 
</t>
  </si>
  <si>
    <t>Purchase Order Number</t>
  </si>
  <si>
    <t xml:space="preserve">Purchase Order Item Number </t>
  </si>
  <si>
    <t>Date in Format DD.MM.YYYY</t>
  </si>
  <si>
    <t xml:space="preserve">Employee Name </t>
  </si>
  <si>
    <t xml:space="preserve">Employee SAP ID </t>
  </si>
  <si>
    <t xml:space="preserve">Work Order Number </t>
  </si>
  <si>
    <t>Operation Number</t>
  </si>
  <si>
    <t xml:space="preserve">Main/ Operational Work Center </t>
  </si>
  <si>
    <t xml:space="preserve">Work Hours </t>
  </si>
  <si>
    <t xml:space="preserve">Purchase Order Number </t>
  </si>
  <si>
    <t>Role</t>
  </si>
  <si>
    <t>0040</t>
  </si>
  <si>
    <t>Boom Supervisor</t>
  </si>
  <si>
    <r>
      <t xml:space="preserve">Work date </t>
    </r>
    <r>
      <rPr>
        <sz val="11"/>
        <color rgb="FFFF0000"/>
        <rFont val="Calibri"/>
        <family val="2"/>
        <scheme val="minor"/>
      </rPr>
      <t>DD.MM.YYY</t>
    </r>
  </si>
  <si>
    <t>Employee number</t>
  </si>
  <si>
    <t>Sending purchase order</t>
  </si>
  <si>
    <t>Sending purchase order item</t>
  </si>
  <si>
    <r>
      <t xml:space="preserve">Activity Number </t>
    </r>
    <r>
      <rPr>
        <sz val="11"/>
        <color rgb="FFFF0000"/>
        <rFont val="Calibri"/>
        <family val="2"/>
        <scheme val="minor"/>
      </rPr>
      <t>Service Master</t>
    </r>
  </si>
  <si>
    <r>
      <t xml:space="preserve">Receiver Order - </t>
    </r>
    <r>
      <rPr>
        <sz val="11"/>
        <color rgb="FFFF0000"/>
        <rFont val="Calibri"/>
        <family val="2"/>
        <scheme val="minor"/>
      </rPr>
      <t>WO or Stat Order</t>
    </r>
  </si>
  <si>
    <t>Network number</t>
  </si>
  <si>
    <r>
      <t xml:space="preserve">Activity Number - </t>
    </r>
    <r>
      <rPr>
        <sz val="11"/>
        <color rgb="FFFF0000"/>
        <rFont val="Calibri"/>
        <family val="2"/>
        <scheme val="minor"/>
      </rPr>
      <t>Operation</t>
    </r>
  </si>
  <si>
    <t>Work center</t>
  </si>
  <si>
    <t>WBS Element</t>
  </si>
  <si>
    <t>Plant</t>
  </si>
  <si>
    <t>Hours</t>
  </si>
  <si>
    <t>Unit of Measure</t>
  </si>
  <si>
    <t>Vendor Account Number - HR data</t>
  </si>
  <si>
    <t>Sending purchase order - HR data</t>
  </si>
  <si>
    <t>Sending purchase order item - HR data</t>
  </si>
  <si>
    <t>Activity Number - HR data</t>
  </si>
  <si>
    <t>Activity Type - HR data</t>
  </si>
  <si>
    <t>Status</t>
  </si>
  <si>
    <t>Message</t>
  </si>
  <si>
    <t>HR</t>
  </si>
  <si>
    <t>Company</t>
  </si>
  <si>
    <t>Name</t>
  </si>
  <si>
    <t>Sap ID</t>
  </si>
  <si>
    <t>Service Master</t>
  </si>
  <si>
    <t>Purchase order</t>
  </si>
  <si>
    <t>Item number</t>
  </si>
  <si>
    <t>Boom</t>
  </si>
  <si>
    <t xml:space="preserve">Crane Operator </t>
  </si>
  <si>
    <t>TMS</t>
  </si>
  <si>
    <t>Boom Rigger</t>
  </si>
  <si>
    <t>TMS Supervisor</t>
  </si>
  <si>
    <t>TMS Boilermaker</t>
  </si>
  <si>
    <t>Minprovise</t>
  </si>
  <si>
    <t>TMS Fitter</t>
  </si>
  <si>
    <t>SMS Group</t>
  </si>
  <si>
    <t>GMRS Boilermaker</t>
  </si>
  <si>
    <t>GMRS Fitter</t>
  </si>
  <si>
    <t>GMRS Supervisor</t>
  </si>
  <si>
    <t>Kings Boilermaker</t>
  </si>
  <si>
    <t>Kings Trade Assistant</t>
  </si>
  <si>
    <t>Kings Supervisor</t>
  </si>
  <si>
    <t>Minprovise Supervisor</t>
  </si>
  <si>
    <t>Minprovise Fitter</t>
  </si>
  <si>
    <t>Minprovise Boilermaker</t>
  </si>
  <si>
    <t>Minprovise Rigger</t>
  </si>
  <si>
    <t>Hussein Mahumed</t>
  </si>
  <si>
    <t>SMS Scaffolder</t>
  </si>
  <si>
    <t>SMS Sentry/ Gas tester</t>
  </si>
  <si>
    <t>SMS Supervisor</t>
  </si>
  <si>
    <t>Jarome Oliver</t>
  </si>
  <si>
    <t>Ku Hser</t>
  </si>
  <si>
    <t>Supervisor</t>
  </si>
  <si>
    <t>Trade Assistant</t>
  </si>
  <si>
    <t>Alan Ryan</t>
  </si>
  <si>
    <t xml:space="preserve">Work Order </t>
  </si>
  <si>
    <t>Work Order Header</t>
  </si>
  <si>
    <t>Op. Short Text</t>
  </si>
  <si>
    <t>Main Work Center</t>
  </si>
  <si>
    <t>0010</t>
  </si>
  <si>
    <t>0005</t>
  </si>
  <si>
    <t>0020</t>
  </si>
  <si>
    <t>0030</t>
  </si>
  <si>
    <t>0050</t>
  </si>
  <si>
    <t>0060</t>
  </si>
  <si>
    <t>0070</t>
  </si>
  <si>
    <t>0090</t>
  </si>
  <si>
    <t>0100</t>
  </si>
  <si>
    <t>0080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</si>
  <si>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</si>
  <si>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</si>
  <si>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</si>
  <si>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</si>
  <si>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</si>
  <si>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</si>
  <si>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</si>
  <si>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</si>
  <si>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</si>
  <si>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</si>
  <si>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</si>
  <si>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</si>
  <si>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</si>
  <si>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</si>
  <si>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</si>
  <si>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</si>
  <si>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</si>
  <si>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0310</t>
  </si>
  <si>
    <t>0025</t>
  </si>
  <si>
    <t>0105</t>
  </si>
  <si>
    <t>0165</t>
  </si>
  <si>
    <t>Boilermaker</t>
  </si>
  <si>
    <t>Fitter</t>
  </si>
  <si>
    <t>Rigger</t>
  </si>
  <si>
    <t>Specialist</t>
  </si>
  <si>
    <t>Crane Op 70T</t>
  </si>
  <si>
    <t>Scaffolder</t>
  </si>
  <si>
    <t>Sourabh Kalia</t>
  </si>
  <si>
    <t>Keiron Monarch</t>
  </si>
  <si>
    <t>Sebastian Chandler</t>
  </si>
  <si>
    <t>Florian Leparquier</t>
  </si>
  <si>
    <t>Philip Buckley</t>
  </si>
  <si>
    <t>Perry Gurtin</t>
  </si>
  <si>
    <t>Luis Restrepo Gamarra</t>
  </si>
  <si>
    <t>Levy Mohamed</t>
  </si>
  <si>
    <t>Eve Costi</t>
  </si>
  <si>
    <t>Samuel Templeton</t>
  </si>
  <si>
    <t>Darren Cunningham</t>
  </si>
  <si>
    <t>Patricio Ponce</t>
  </si>
  <si>
    <t>Abiel Gebremariam</t>
  </si>
  <si>
    <t>15215771</t>
  </si>
  <si>
    <t>Larox Feed Pump Gland Pipework Mech Repl</t>
  </si>
  <si>
    <t/>
  </si>
  <si>
    <t>351PU476/477 Pipe Leak Mech Spotter</t>
  </si>
  <si>
    <t>15658029</t>
  </si>
  <si>
    <t>T1 TA001 &amp; 02 Bypass valves Mech Repl</t>
  </si>
  <si>
    <t>T1 TA001 Bypass valves Mech Scaff Instal</t>
  </si>
  <si>
    <t>T1 TA001 Bypass valves Mech Repl Prep FT</t>
  </si>
  <si>
    <t>T1 TA001 Bypass valves Mech Repl Prep CD</t>
  </si>
  <si>
    <t>T1 TA001 Bypass valves Mech Repl Prep RG</t>
  </si>
  <si>
    <t>T1 TA001 Bypass valves Mech Remove FT</t>
  </si>
  <si>
    <t>T1 TA001 Bypass valves Mech Remove BM</t>
  </si>
  <si>
    <t>T1 TA001 Bypass valves Mech Install FT</t>
  </si>
  <si>
    <t>T1 TA001 Bypass valves Mech Install BM</t>
  </si>
  <si>
    <t>T1 TA001 Bypass Control Panel Install FT</t>
  </si>
  <si>
    <t>T1 TA001 Bypass Control Panel Install BM</t>
  </si>
  <si>
    <t>T1 TA001 Bypass Valve Airline Connect FT</t>
  </si>
  <si>
    <t>0280</t>
  </si>
  <si>
    <t>T1 TA001 Bypass Valve Airline Connect BM</t>
  </si>
  <si>
    <t>0290</t>
  </si>
  <si>
    <t>T1 TA001 Bypass valves Mech Repl Pack up</t>
  </si>
  <si>
    <t>0300</t>
  </si>
  <si>
    <t>T1 TA001 Bypass valvesl Scaff Strip</t>
  </si>
  <si>
    <t>15659167</t>
  </si>
  <si>
    <t>T2 341TA003 &amp; 04 Bypass valves Mech Repl</t>
  </si>
  <si>
    <t>T2 TA003 Bypass valves Mech Scaff Instal</t>
  </si>
  <si>
    <t>T2 TA003 Bypass valves Mech Repl Prep FT</t>
  </si>
  <si>
    <t>T2 TA003 Bypass valves Mech Repl Prep CD</t>
  </si>
  <si>
    <t>T2 TA003 Bypass valves Mech Repl Prep RG</t>
  </si>
  <si>
    <t>T2 TA003 Bypass valves Mech Remove FT</t>
  </si>
  <si>
    <t>T2 TA003 Bypass valves Mech Remove BM</t>
  </si>
  <si>
    <t>T2 TA003 Bypass valves Mech Install FT</t>
  </si>
  <si>
    <t>T2 TA003 Bypass valves Mech Install BM</t>
  </si>
  <si>
    <t>T2 TA003 Bypass Control Panel Install FT</t>
  </si>
  <si>
    <t>T2 TA003 Bypass Control Panel Install BM</t>
  </si>
  <si>
    <t>T2 TA003 Bypass Valve Airline Connect FT</t>
  </si>
  <si>
    <t>T2 TA003 Bypass Valve Airline Connect BM</t>
  </si>
  <si>
    <t>T2 TA003 Bypass valves Mech Repl Pack up</t>
  </si>
  <si>
    <t>T2 TA003 Bypass valvesl Scaff Strip</t>
  </si>
  <si>
    <t>15779949</t>
  </si>
  <si>
    <t>T1 SAG Mill Motor Supports - Lower</t>
  </si>
  <si>
    <t>T1 SAG Mill Motor Ops Clean Area</t>
  </si>
  <si>
    <t>T1 SAG Mill Motor Sandblast MPV Team</t>
  </si>
  <si>
    <t>T1 SAG Mill Motor Paint MPV Team</t>
  </si>
  <si>
    <t>0045</t>
  </si>
  <si>
    <t>15850617</t>
  </si>
  <si>
    <t>T2 1CV008 Return Side Deflect Plates Rep</t>
  </si>
  <si>
    <t>331CV008 Return Side Deflect Plates Repl</t>
  </si>
  <si>
    <t>15885025</t>
  </si>
  <si>
    <t>T2 ML004 D/Ch End Assembly Mech Repl</t>
  </si>
  <si>
    <t>0002</t>
  </si>
  <si>
    <t>ML004 D/Charge End Assy Storage CD</t>
  </si>
  <si>
    <t>0003</t>
  </si>
  <si>
    <t>ML004 D/Charge End Assy Storage RG</t>
  </si>
  <si>
    <t>ML004 D/Charge End Ass Mech Prep</t>
  </si>
  <si>
    <t>ML004 Scaffold Across Hopper Inst</t>
  </si>
  <si>
    <t>ML004 Weld Jacking Frame &amp; Rmv Fasteners</t>
  </si>
  <si>
    <t>ML004 Jack Trunnion Liner</t>
  </si>
  <si>
    <t>ML004 Lifting Frame Inst</t>
  </si>
  <si>
    <t>ML004 Old Trunnion liner Remv</t>
  </si>
  <si>
    <t>ML004 New Trunnion Liner Inst</t>
  </si>
  <si>
    <t>ML004 Bolts Install &amp; Torque</t>
  </si>
  <si>
    <t>ML004 D/Charge Scaffold Remv</t>
  </si>
  <si>
    <t>ML004 D/Charge Mech Sentry</t>
  </si>
  <si>
    <t>ML004 D/Charge 320T RG</t>
  </si>
  <si>
    <t>ML004 D/Charge 320T CD</t>
  </si>
  <si>
    <t>15907437</t>
  </si>
  <si>
    <t>T1 BX014 Box Mech Repl</t>
  </si>
  <si>
    <t>T1 BX014 Gravity Feed Chute Elec Disconn</t>
  </si>
  <si>
    <t>T1 BX014 Gravity Feed Chute Scaff Erect</t>
  </si>
  <si>
    <t>Cyclone, Pipe &amp; Steel Structure Remove</t>
  </si>
  <si>
    <t>T1 BX014 Gravity Feed Chute Mech Remove</t>
  </si>
  <si>
    <t>T1 BX014 Gravity Feed Chute Mech Install</t>
  </si>
  <si>
    <t>Cyclone, Pipe &amp; Steel Structure Install</t>
  </si>
  <si>
    <t>T1 BX014 Gravity Feed Chute Scaff Down</t>
  </si>
  <si>
    <t>T1 BX014 Gravity Feed Chute Elec Install</t>
  </si>
  <si>
    <t>15911315</t>
  </si>
  <si>
    <t>389-DB-201 Distrabution Board Elec Repl</t>
  </si>
  <si>
    <t>398-DB-201 Distrabution Board Elec Repl</t>
  </si>
  <si>
    <t>16000789</t>
  </si>
  <si>
    <t>T1 CT014 Reagent Line Mech Repl</t>
  </si>
  <si>
    <t>332CT014 Reagent Line Mech Repl Prep</t>
  </si>
  <si>
    <t>T1 CT014 Reagent Line Old Pipes Remove</t>
  </si>
  <si>
    <t>T1 CT014 Reagent Line Cable Trays Inst</t>
  </si>
  <si>
    <t>T1 CT014 Reagent Line New Pipes Inst</t>
  </si>
  <si>
    <t>0035</t>
  </si>
  <si>
    <t>0075</t>
  </si>
  <si>
    <t>16092958</t>
  </si>
  <si>
    <t>T1 DI001 Cyclone Grid Mesh Mech Inst</t>
  </si>
  <si>
    <t>16163867</t>
  </si>
  <si>
    <t>333CH200 T2 Stckple Rclm Chute Mech Insp</t>
  </si>
  <si>
    <t>2Y 333 Stoc Rclaim Chte Gas Test CSE Pmt</t>
  </si>
  <si>
    <t>2Y 333 Stoc Reclaim Chute Insp Sentry</t>
  </si>
  <si>
    <t>16189406</t>
  </si>
  <si>
    <t>T1 FC046 Trial D-Drain</t>
  </si>
  <si>
    <t>342FC046 Float Scaff Install</t>
  </si>
  <si>
    <t>0015</t>
  </si>
  <si>
    <t>342FC046 Mech Remove Old style D Drain</t>
  </si>
  <si>
    <t>342FC046 Install new Drain Trial Bossong</t>
  </si>
  <si>
    <t>342FC046 Float Scaff</t>
  </si>
  <si>
    <t>16198201</t>
  </si>
  <si>
    <t>342TA010/11 D Hatch &amp; Valves Mech Repl</t>
  </si>
  <si>
    <t>16198203</t>
  </si>
  <si>
    <t>342TA005/6 D Hatch and Valves Mech Rpl</t>
  </si>
  <si>
    <t>16211028</t>
  </si>
  <si>
    <t>341FC061 Jamo Spigot Mech Replace</t>
  </si>
  <si>
    <t>341FC061 Jamo Spigot Open Hatch</t>
  </si>
  <si>
    <t>341FC061 Jamo Spigot Scaffold Build</t>
  </si>
  <si>
    <t>341FC061 Jamo Spigot Rubber Remove RL</t>
  </si>
  <si>
    <t>341FC061 Jamo Spigot Replace BM</t>
  </si>
  <si>
    <t>341FC061 Jamo Spigot Replace 160T CD</t>
  </si>
  <si>
    <t>341FC061 Jamo Spigot Replace 160T RG</t>
  </si>
  <si>
    <t>341FC061 Jamo Spigot Rubber Install RL</t>
  </si>
  <si>
    <t>341FC061 Jamo Spigot Scaffold Remove</t>
  </si>
  <si>
    <t>341FC061 Jamo Spigot Replace Sentry</t>
  </si>
  <si>
    <t>341FC061 Jamo Spigot Close Hatch</t>
  </si>
  <si>
    <t>16250055</t>
  </si>
  <si>
    <t>T2 BN014 Ball Bunker Lining Mech Repr</t>
  </si>
  <si>
    <t>T2 BN014 H/baricade Bunker on Lime road</t>
  </si>
  <si>
    <t>T2 BN014 Ball Bunker Lining Mech Scaff U</t>
  </si>
  <si>
    <t>T2 BN014 Ball Bunker Lining Mech Sentry</t>
  </si>
  <si>
    <t>T2 BN014 Ball Bunker Lining Mech 25T CD</t>
  </si>
  <si>
    <t>T2 BN014 Ball Bunker Lining Mech 25T RG</t>
  </si>
  <si>
    <t>T2 BN014 Ball Bunker Lining Mech Scaff D</t>
  </si>
  <si>
    <t>16250092</t>
  </si>
  <si>
    <t>T2 CH160 Transition Spool Mech Repl</t>
  </si>
  <si>
    <t>16253559</t>
  </si>
  <si>
    <t>T2 CV017 PTMax Rtn Tracking Frm Mech Rep</t>
  </si>
  <si>
    <t>T2 CV017 PTMax Rtn Tracking Frm MPV Repl</t>
  </si>
  <si>
    <t>T2 CV017 PTMax Rtn Tracking Frm 70T CD</t>
  </si>
  <si>
    <t>T2 CV017 PTMax Rtn Tracking Frm 70T RG</t>
  </si>
  <si>
    <t>16304020</t>
  </si>
  <si>
    <t>Tr2 Cycloconverter Fittings Elec Repl</t>
  </si>
  <si>
    <t>16304024</t>
  </si>
  <si>
    <t>T2 FC062 Discharge Line Sampler Mech Rep</t>
  </si>
  <si>
    <t>T2 FC062 Discharg Line Sampler Mech Prep</t>
  </si>
  <si>
    <t>T2 FC062 Discharge Lin Barricad Scaff Up</t>
  </si>
  <si>
    <t>T2 FC062 Discharge Lin Barric Scaff Down</t>
  </si>
  <si>
    <t>16312478</t>
  </si>
  <si>
    <t>332PU152 Discharge Line Mech Repl</t>
  </si>
  <si>
    <t>332PU152 Discharge Line Mech Prep</t>
  </si>
  <si>
    <t>332PU152 Discharge Line Mech Rem Spool</t>
  </si>
  <si>
    <t>0021</t>
  </si>
  <si>
    <t>332PU152 Discharge Line Mech Remove RG</t>
  </si>
  <si>
    <t>332PU152 Discharge Line Mech Install Spo</t>
  </si>
  <si>
    <t>0041</t>
  </si>
  <si>
    <t>332PU152 Discharge Line Mech Install RG</t>
  </si>
  <si>
    <t>16312691</t>
  </si>
  <si>
    <t>0007</t>
  </si>
  <si>
    <t>T2 BX085 Floor Drain Spigot Mech Repr</t>
  </si>
  <si>
    <t>APMS Scope &amp; Pre Fab Sections</t>
  </si>
  <si>
    <t>APMS</t>
  </si>
  <si>
    <t>0008</t>
  </si>
  <si>
    <t>T2 BX085 Floor Drain Spigot Scaff Up</t>
  </si>
  <si>
    <t>BX085 Floor Drain Hatch Open FT</t>
  </si>
  <si>
    <t>BX085 Floor Drain Spigot Mech Repr GT</t>
  </si>
  <si>
    <t>BX085 Floor Drain Ops Clean Out OP</t>
  </si>
  <si>
    <t>BX085 Floor Drain Ops Clean OUT Sentry</t>
  </si>
  <si>
    <t>BX085 Floor Drain Rubber/Ceramic Remove</t>
  </si>
  <si>
    <t>BX085 Floor Drain Rubber/Ceramic Rem Sen</t>
  </si>
  <si>
    <t>BX085 Floor Parent Metal Mech Repair BM</t>
  </si>
  <si>
    <t>BX085 Floor Parent Metal Mech Repair FT</t>
  </si>
  <si>
    <t>BX085 Floor Parent Metal Mech Repr Sentr</t>
  </si>
  <si>
    <t>BX085 Floor Spigot Install BM</t>
  </si>
  <si>
    <t>BX085 Floor Spigot Install FT</t>
  </si>
  <si>
    <t>BX085 Floor Spigot Install Sentry</t>
  </si>
  <si>
    <t>BX085 Floor Drain Rubber Install RL</t>
  </si>
  <si>
    <t>BX085 Floor Drain Rubber Install Sentry</t>
  </si>
  <si>
    <t>BX085 Floor Drain Hatch Close FT</t>
  </si>
  <si>
    <t>BX085 Floor Drain Valve Mech Install FT</t>
  </si>
  <si>
    <t>T2 BX085 Floor Drain Spigot Scaff Down</t>
  </si>
  <si>
    <t>16316227</t>
  </si>
  <si>
    <t>T1 HX021 Elbow Mech Repl</t>
  </si>
  <si>
    <t>T1 HX021 Stainless Elbow Mech Remove FT</t>
  </si>
  <si>
    <t>16316599</t>
  </si>
  <si>
    <t>351FI001 Cake Ch Deflect Plate Mech Repr</t>
  </si>
  <si>
    <t>16319590</t>
  </si>
  <si>
    <t>389TA118 Discharge Stub Replace</t>
  </si>
  <si>
    <t>389TA118 Preshut Set Up</t>
  </si>
  <si>
    <t>389TA118 Build Access Scaffolder</t>
  </si>
  <si>
    <t>389TA118 Remove Rubber RL</t>
  </si>
  <si>
    <t>389TA118 Remove Old Stub BM</t>
  </si>
  <si>
    <t>389TA118 Install New Stub BM</t>
  </si>
  <si>
    <t>389TA118 Install Rubber RL</t>
  </si>
  <si>
    <t>389TA118 Sentry/Firewatch</t>
  </si>
  <si>
    <t>389TA118 Remove Access Scaffolder</t>
  </si>
  <si>
    <t>389TA118 Post Shut Pack Up</t>
  </si>
  <si>
    <t>16320000</t>
  </si>
  <si>
    <t>T2 PU223 Pump Base Mech Repl</t>
  </si>
  <si>
    <t>T2 PU223 Pump Base Mech Repl Prep</t>
  </si>
  <si>
    <t>T2 PU223 Pump Motor Elect Disconnect</t>
  </si>
  <si>
    <t>T2 PU223 Pump Base Mech Repl 25T CD</t>
  </si>
  <si>
    <t>T2 PU223 Pump Base Mech Repl 25T RG</t>
  </si>
  <si>
    <t>T2 PU223 Pump Motor Elect Reconnect</t>
  </si>
  <si>
    <t>T2 PU223 Pump Base Mech Repl Base Grout</t>
  </si>
  <si>
    <t>16320036</t>
  </si>
  <si>
    <t>T1 332FC002 Feed Pipe Mech Repl</t>
  </si>
  <si>
    <t>332FC002 Feed pipe Mech Repl SMS Scaff</t>
  </si>
  <si>
    <t>332FC002 Feed pipe Mech Repl</t>
  </si>
  <si>
    <t>0026</t>
  </si>
  <si>
    <t>0027</t>
  </si>
  <si>
    <t>0029</t>
  </si>
  <si>
    <t>332FC002 Feed pipe Mech Repl 70T RG</t>
  </si>
  <si>
    <t>16320039</t>
  </si>
  <si>
    <t>T1 PU191 T1 Cu Rougher Cons Base Repl</t>
  </si>
  <si>
    <t>T1 PU191 Pump Base Mech Repl Prep</t>
  </si>
  <si>
    <t>T1 PU191 Pump Motor Elect Disconnect</t>
  </si>
  <si>
    <t>0039</t>
  </si>
  <si>
    <t>T1 PU191 Pump Base Mech Grout Break Out</t>
  </si>
  <si>
    <t>T1 PU191 Pump Base Mech Repl</t>
  </si>
  <si>
    <t>T1 PU191 Pump Base Mech Repl 25T CD</t>
  </si>
  <si>
    <t>T1 PU191 Pump Base Mech Repl 25T RG</t>
  </si>
  <si>
    <t>T1 PU191 Pump Motor Elect Reconnect</t>
  </si>
  <si>
    <t>T1 PU191 Pump Base Mech Repl Base Form</t>
  </si>
  <si>
    <t>T1 PU191 Pump Base Mech Repl Base Grout</t>
  </si>
  <si>
    <t>T1 PU191 Pump Base Mech Form Strip</t>
  </si>
  <si>
    <t>16320134</t>
  </si>
  <si>
    <t>332BX087 Upper Spool Mech Repl</t>
  </si>
  <si>
    <t>332BX087 Scaff Access to Pipe</t>
  </si>
  <si>
    <t>332BX087 Scaff Access Dismantle</t>
  </si>
  <si>
    <t>16321929</t>
  </si>
  <si>
    <t>341PU221 Discharge Spool Repl</t>
  </si>
  <si>
    <t>341PU221 Discharge Spool Replace</t>
  </si>
  <si>
    <t>16321972</t>
  </si>
  <si>
    <t>332BX015 Water V/V Output Card Elec Repl</t>
  </si>
  <si>
    <t>16323521</t>
  </si>
  <si>
    <t>T2 FC004 SGS Hot Spot Elec Repr</t>
  </si>
  <si>
    <t>332FC004 SGS Hot Spot Elec Repr</t>
  </si>
  <si>
    <t>16324146</t>
  </si>
  <si>
    <t>T1 CV012 GTU Shedder Rubber Repl</t>
  </si>
  <si>
    <t>T1 CV012 GTU Shedder Rubber Scaff Int</t>
  </si>
  <si>
    <t>T1 CV012 GTU Shedder Rubber Replace BT</t>
  </si>
  <si>
    <t>T1 CV012 GTU Shedder Rubber Replace RG</t>
  </si>
  <si>
    <t>T1 CV012 GTU Shedder Rubber Scaff Rem</t>
  </si>
  <si>
    <t>16326136</t>
  </si>
  <si>
    <t>T1 CH176 Scats COS WAM Chute Rpl</t>
  </si>
  <si>
    <t>Scats Stockpile WAMs Chute PREP</t>
  </si>
  <si>
    <t>Scats Stockpile WAMs Chutw Clean-out</t>
  </si>
  <si>
    <t>Scats Stockpile WAMs Chute Mech Repl</t>
  </si>
  <si>
    <t>Scats Stockpile WAMs Chute 25T CD</t>
  </si>
  <si>
    <t>Scats Stockpile WAMs Chute 25T RG</t>
  </si>
  <si>
    <t>16326428</t>
  </si>
  <si>
    <t>341HO712 Feed Elbow Mech Repl</t>
  </si>
  <si>
    <t>341HO712 Feed Elbow Scaff Install Platfo</t>
  </si>
  <si>
    <t>341HO712 Feed Elbow Remove Elbow FT</t>
  </si>
  <si>
    <t>341HO712 Feed Elbow Remove Elbow CD</t>
  </si>
  <si>
    <t>341HO712 Feed Elbow Remove Elbow RG</t>
  </si>
  <si>
    <t>341HO712 Feed Elbow Install Elbow FT</t>
  </si>
  <si>
    <t>0065</t>
  </si>
  <si>
    <t>341HO712 Feed Elbow Install Elbow CD</t>
  </si>
  <si>
    <t>341HO712 Feed Elbow Install Elbow RG</t>
  </si>
  <si>
    <t>341HO712 Feed Elbow Scaff Strip</t>
  </si>
  <si>
    <t>16327472</t>
  </si>
  <si>
    <t>332CY047 Feed valve Mech Repl</t>
  </si>
  <si>
    <t>332 GRAV Cyc Feed Valve From Dist Mech R</t>
  </si>
  <si>
    <t>332CY047Overhead Crane Operator Required</t>
  </si>
  <si>
    <t>16328114</t>
  </si>
  <si>
    <t>332ML001 SAG feed end plinth Clean And H</t>
  </si>
  <si>
    <t>332ML001 SAG feed end plinth Hose Insp</t>
  </si>
  <si>
    <t>332ML001 SAG feed end plinth Hose Repair</t>
  </si>
  <si>
    <t>16328115</t>
  </si>
  <si>
    <t>332ML003 T2 SAG feed end plinth Clean An</t>
  </si>
  <si>
    <t>332ML003 SAG feed end plinth Hose Insp</t>
  </si>
  <si>
    <t>332ML003 SAG feed end plinth Hose Repair</t>
  </si>
  <si>
    <t>16328437</t>
  </si>
  <si>
    <t>332PU033 Solenoid Valve Panel Elec Modfy</t>
  </si>
  <si>
    <t>16328583</t>
  </si>
  <si>
    <t>T2 MSA Settling Box Mech Repl</t>
  </si>
  <si>
    <t>T2 Flash Con Settling Box Scaff Install</t>
  </si>
  <si>
    <t>T2 Flash Con Settling Box Remove Pipewor</t>
  </si>
  <si>
    <t>T2 Flash Con Settling Box Remove Box FT</t>
  </si>
  <si>
    <t>T2 Flash Con Settling Box Remove Box RG</t>
  </si>
  <si>
    <t>T2 Flash Con Settling Box Install Box FT</t>
  </si>
  <si>
    <t>T2 Flash Con Settling Box Install Pipe</t>
  </si>
  <si>
    <t>T2 Flash Con Settling Box Scaff Strip</t>
  </si>
  <si>
    <t>16328705</t>
  </si>
  <si>
    <t>Final Cu Cons TA119 Intern Mech Insp</t>
  </si>
  <si>
    <t>8Y TA118 Remove Gridmesh Above Tank</t>
  </si>
  <si>
    <t>8Y TA118 Scaffold Barricade Inst</t>
  </si>
  <si>
    <t>8Y TA118 Open Tank Hatch</t>
  </si>
  <si>
    <t>8Y TA118 Clean Internal - Innovative</t>
  </si>
  <si>
    <t>8Y TA118 ENG Internal Mech Insp</t>
  </si>
  <si>
    <t>8Y TA118 Confined Space Spotter</t>
  </si>
  <si>
    <t>8Y TA118 Close Tank Hatch</t>
  </si>
  <si>
    <t>8Y TA118 Scaffold Barricade Remv</t>
  </si>
  <si>
    <t>8Y TA118 Gridmesh Above Tank Inst</t>
  </si>
  <si>
    <t>16328917</t>
  </si>
  <si>
    <t>T2 PU278 Discharge Spool Mech Repl</t>
  </si>
  <si>
    <t>T2 PU278 Discharge Spool CD 25T</t>
  </si>
  <si>
    <t>T2 PU278 Discharge Spool RG 25T</t>
  </si>
  <si>
    <t>16331959</t>
  </si>
  <si>
    <t>342 Stg 1 Py Deslime Flow Elec Insp</t>
  </si>
  <si>
    <t>12M 342 Stg 1 Py Deslime Flow Scaff Inst</t>
  </si>
  <si>
    <t>12M 342 Stg 1 Py Deslime Insp FIC342252</t>
  </si>
  <si>
    <t>12M 342 Stg 1 Py Deslime Insp FIC342250</t>
  </si>
  <si>
    <t>12M 342 Stg 1 Py Deslime Flow Scaff Remv</t>
  </si>
  <si>
    <t>16333333</t>
  </si>
  <si>
    <t>Tr1 Water Addition Magflow Elec Insp</t>
  </si>
  <si>
    <t>4Y T1 Water Addition Magflow Scaff Erect</t>
  </si>
  <si>
    <t>4Y T1 Water Addition Magflow Elec Insp</t>
  </si>
  <si>
    <t>4Y T1 Water Addition Magflow Remv Tubes</t>
  </si>
  <si>
    <t>4Y T1 Water Addition Magflow Scaff Remv</t>
  </si>
  <si>
    <t>0055</t>
  </si>
  <si>
    <t>16334021</t>
  </si>
  <si>
    <t>T1 332ML002 Flow Divider Elec Insp</t>
  </si>
  <si>
    <t>4M Ball Mill Flow Divider Elec Insp</t>
  </si>
  <si>
    <t>16335242</t>
  </si>
  <si>
    <t>Tr1 Cyc Density Sample Panel Elec Remove</t>
  </si>
  <si>
    <t>16335547</t>
  </si>
  <si>
    <t>T2 LN022 Disch Spool Mech Repr</t>
  </si>
  <si>
    <t>8M Disch Spool Mech Prep</t>
  </si>
  <si>
    <t>8M Disch Spool O/Head Crane OP Prep</t>
  </si>
  <si>
    <t>8M Disch Spool O/Head Crane RG Prep</t>
  </si>
  <si>
    <t>0032</t>
  </si>
  <si>
    <t>8M Disch Spool Scaff Errect</t>
  </si>
  <si>
    <t>8M Disch Gas Tester CSE</t>
  </si>
  <si>
    <t>0046</t>
  </si>
  <si>
    <t>8M Disch Spool Mech Rubber Remv</t>
  </si>
  <si>
    <t>8M Disch Spool Sentry CSE</t>
  </si>
  <si>
    <t>0061</t>
  </si>
  <si>
    <t>8M Disch Spool Mech Rubber Line</t>
  </si>
  <si>
    <t>16335692</t>
  </si>
  <si>
    <t>T2 PU097 Frame Plate Mech Repl</t>
  </si>
  <si>
    <t>T2 PU097 Frame Plate Mech Repl Prep</t>
  </si>
  <si>
    <t>16336679</t>
  </si>
  <si>
    <t>T1 ML001 Flow Divider Elec Insp</t>
  </si>
  <si>
    <t>4M SAG Mill Flow Divider Elec Insp</t>
  </si>
  <si>
    <t>16336681</t>
  </si>
  <si>
    <t>T2 ML003 Flow Divider Elec Insp</t>
  </si>
  <si>
    <t>16336683</t>
  </si>
  <si>
    <t>T2 ML004 Flow Divider Elec Insp</t>
  </si>
  <si>
    <t>16337354</t>
  </si>
  <si>
    <t>331FD005 T1 Head Chute CH078 Mech Repr</t>
  </si>
  <si>
    <t>FD005 Head Chute U/s BM Prep</t>
  </si>
  <si>
    <t>FD005 Head Chute U/s Scaff Install</t>
  </si>
  <si>
    <t>FD005 Head Chute U/s BM Repair</t>
  </si>
  <si>
    <t>FD005 Head Chute U/s Scaff Remove</t>
  </si>
  <si>
    <t>16337355</t>
  </si>
  <si>
    <t>331FD008 T1 AF Head Chute CH81 Mech Repr</t>
  </si>
  <si>
    <t>16337359</t>
  </si>
  <si>
    <t>332ML003 Guard Barckets Us/ Mech Repl</t>
  </si>
  <si>
    <t>16340682</t>
  </si>
  <si>
    <t>T1 SN005 Motor Platform Mech Repl</t>
  </si>
  <si>
    <t>T1 SN005 Motor Platform Mech Repl Prep</t>
  </si>
  <si>
    <t>T1 SN005 Motor Platform Mech Opps Clean</t>
  </si>
  <si>
    <t>T1 SN005 Motor Platform Mech Elect Disco</t>
  </si>
  <si>
    <t>T1 SN005 Motor Platform Mec Repl 160T CD</t>
  </si>
  <si>
    <t>0047</t>
  </si>
  <si>
    <t>T1 SN005 Motor Platform Mec Repl 160T RG</t>
  </si>
  <si>
    <t>T1 SN005 Motor Platform Mech Elect Recon</t>
  </si>
  <si>
    <t>16340850</t>
  </si>
  <si>
    <t>332CY014 T1 Cyc Feed Valve Mech Repl</t>
  </si>
  <si>
    <t>16M Mill Cyc Dist Feed Valve Mech Prep</t>
  </si>
  <si>
    <t>16M Mill Cyc Dist O/Head Crane RG</t>
  </si>
  <si>
    <t>16M Mill Cyc Dist O/Head Crane OP</t>
  </si>
  <si>
    <t>16M Mill Cyc Dist Feed Valve Mech Repl</t>
  </si>
  <si>
    <t>16342163</t>
  </si>
  <si>
    <t>T1 ML001 DC Hd to Shell Bolts Mech Repl</t>
  </si>
  <si>
    <t>T1 ML001 DC Hd to Shell Bolts Mech Pr</t>
  </si>
  <si>
    <t>T1 ML001 DC Hd to Shell Scaff Up</t>
  </si>
  <si>
    <t>T1 ML001 DC Hd to Shell Scaff Down</t>
  </si>
  <si>
    <t>16342164</t>
  </si>
  <si>
    <t>T1 ML001 Feed Trunnion Bolts Mech Repl</t>
  </si>
  <si>
    <t>T1 ML001 FE Trunnion Bolt Mech Prep</t>
  </si>
  <si>
    <t>T1 ML001 FE Trunnion Bolt Mech Clean</t>
  </si>
  <si>
    <t>T1 ML001 FE Trunnion Bolt Scaff Inst</t>
  </si>
  <si>
    <t>T1 ML001 FE Head Upper Liner Remv GMR</t>
  </si>
  <si>
    <t>T1 ML001 FE Trunnion Upper Beam Remv</t>
  </si>
  <si>
    <t>T1 ML001 FE Trunnion Cap Remv</t>
  </si>
  <si>
    <t>T1 ML001 FE Trunnion Cap Remv CD 300T</t>
  </si>
  <si>
    <t>T1 ML001 FE Trunnion Cap Remv RG 300T</t>
  </si>
  <si>
    <t>T1 ML001 FE Trunnion Bolt Mech Repl</t>
  </si>
  <si>
    <t>T1 ML001 FE Head Upper Liner Inst GMR</t>
  </si>
  <si>
    <t>T1 ML001 FE Trunnion Cap Inst</t>
  </si>
  <si>
    <t>T1 ML001 FE Trunnion Upper Beam Inst</t>
  </si>
  <si>
    <t>T1 ML001 FE Trunnion Bolt Scaff Remv</t>
  </si>
  <si>
    <t>16342616</t>
  </si>
  <si>
    <t>T1 BX021 LH Side Spigot Mech Repr</t>
  </si>
  <si>
    <t>332BX021 Scaff Access Build</t>
  </si>
  <si>
    <t>332BX021 Hose Out Box Operations</t>
  </si>
  <si>
    <t>332BX021 Remove Spool Mech</t>
  </si>
  <si>
    <t>332BX021 Rubber Remove</t>
  </si>
  <si>
    <t>332BX021 Parent Steel Repairs BM</t>
  </si>
  <si>
    <t>332BX021 Rubber Install</t>
  </si>
  <si>
    <t>332BX021 Sentry</t>
  </si>
  <si>
    <t>332BX021 Install Spool Mech</t>
  </si>
  <si>
    <t>332BX021 Scaff Access Dismantle</t>
  </si>
  <si>
    <t>16342622</t>
  </si>
  <si>
    <t>T1 HO712 Hopper Mech Repl</t>
  </si>
  <si>
    <t>341HO712 Hopper Repl Scaff Erect</t>
  </si>
  <si>
    <t>341HO712 Hopper Mech Repl Prep</t>
  </si>
  <si>
    <t>341HO712 Hopper Mech Repl Prep 25T CD</t>
  </si>
  <si>
    <t>341HO712 Hopper Mech Repl Prep 25T RG</t>
  </si>
  <si>
    <t>341HO712 Elec Level Sensor Remove</t>
  </si>
  <si>
    <t>341HO712 Hopper Pipes Mech Remove</t>
  </si>
  <si>
    <t>341HO712 Hopper Ladder Mech Remove</t>
  </si>
  <si>
    <t>341HO712 Hopper Cone Mech Remove</t>
  </si>
  <si>
    <t>341HO712 Hopper Lifting Jig Install</t>
  </si>
  <si>
    <t>341HO712 Hopper Mech Remove</t>
  </si>
  <si>
    <t>341HO712 Hopper Mech Install</t>
  </si>
  <si>
    <t>341HO712 Hopper Lifting Jig Remove</t>
  </si>
  <si>
    <t>341HO712 Hopper Cone Mech Install</t>
  </si>
  <si>
    <t>341HO712 Hopper Ladder Mech Install</t>
  </si>
  <si>
    <t>341HO712 Hopper Pipes Mech Install</t>
  </si>
  <si>
    <t>341HO712 Elec Level Sensor Install</t>
  </si>
  <si>
    <t>341HO712 Hopper Grout Feet</t>
  </si>
  <si>
    <t>341HO712 Hopper Mech Repl 25T CD</t>
  </si>
  <si>
    <t>341HO712 Hopper Mech Repl 25T RG</t>
  </si>
  <si>
    <t>341HO712 Hopper Repl Scaff Dismantle</t>
  </si>
  <si>
    <t>16342895</t>
  </si>
  <si>
    <t>341 T1 Cu Rougher Dart Elec Repr</t>
  </si>
  <si>
    <t>1Y Tr1 Cu Rougher Dart Elec Repr</t>
  </si>
  <si>
    <t>16342896</t>
  </si>
  <si>
    <t>Tr1 Flotation Cu Cleaner Instr Elec Insp</t>
  </si>
  <si>
    <t>2Y Tr1 Flot Cu Cleaner Instr Elec Insp</t>
  </si>
  <si>
    <t>16342898</t>
  </si>
  <si>
    <t>T1 Flot Cu Cleaner Scav Instr Elec Repr</t>
  </si>
  <si>
    <t>1Y Tr1 Flot Cu Clnr Scav Instr Elec Repr</t>
  </si>
  <si>
    <t>16343501</t>
  </si>
  <si>
    <t>T2 CH151 Trans Pipe Mech Rotate</t>
  </si>
  <si>
    <t>8M 332CH151 Trans Pipe Erect Scaff Prep</t>
  </si>
  <si>
    <t>8M 332CH151 Trans Pipe Rigging Prep</t>
  </si>
  <si>
    <t>8M 332CH151 Trans Pipe Rotate MECH</t>
  </si>
  <si>
    <t>8M 332CH151 Trans Pipe Rotate RIG</t>
  </si>
  <si>
    <t>8M 332CH151 Trans Pipe Scaff Dismantle</t>
  </si>
  <si>
    <t>16343508</t>
  </si>
  <si>
    <t>332CY018 Hold Feed Mining Hose Mech Repl</t>
  </si>
  <si>
    <t>16343522</t>
  </si>
  <si>
    <t>4M 341PU246 Py Reclean SD Pump Mech Insp</t>
  </si>
  <si>
    <t>4M Py Reclean PU246 Mech Insp 20T CD</t>
  </si>
  <si>
    <t>16343528</t>
  </si>
  <si>
    <t>T2 PU223 Tails Cu Cleaner Scav Mech Ovhl</t>
  </si>
  <si>
    <t>4M Cu Cleaner Scav PU223 Mech Rebl Prep</t>
  </si>
  <si>
    <t>4M Tails Cu Cleaner Scav PU223 Mech Ovhl</t>
  </si>
  <si>
    <t>4M Tails Cu Clean Scav PU223 Ovhl 20T CD</t>
  </si>
  <si>
    <t>4M Tails Cu Clean Scav PU223 Ovhl 20T RG</t>
  </si>
  <si>
    <t>4M Cu Clean Scav PU223 Glnd Startup Insp</t>
  </si>
  <si>
    <t>16343530</t>
  </si>
  <si>
    <t>T2 PU227 Cons Cu Cleaner Mech Ovhl</t>
  </si>
  <si>
    <t>4M Cu Cleaner Scav PU227 Mech Rebl Prep</t>
  </si>
  <si>
    <t>4M Tails Cu Cleaner Scav PU227 Mech Ovhl</t>
  </si>
  <si>
    <t>4M Tails Cu Clean Scav PU227 Ovhl 20T CD</t>
  </si>
  <si>
    <t>4M Tails Cu Clean Scav PU227 Ovhl 20T RG</t>
  </si>
  <si>
    <t>4M Cu Clean Scav PU227 Glnd Startup Insp</t>
  </si>
  <si>
    <t>16343532</t>
  </si>
  <si>
    <t>341PU197 T1 Cu Con Cleaner Scav Mech Ovh</t>
  </si>
  <si>
    <t>4M Cons Cu Cleaner Scav PU197 Mech Prep</t>
  </si>
  <si>
    <t>4M Cons Cu Cleaner Scav PU197 Mech Ovhl</t>
  </si>
  <si>
    <t>4M Cu Cleaner Scav PU197 Ovhl 20T CD</t>
  </si>
  <si>
    <t>4M Cu Cleaner Scav PU197 Ovhl 20T RG</t>
  </si>
  <si>
    <t>16343533</t>
  </si>
  <si>
    <t>389PU663 Feed Sample Cu Rough Mech Ovhl</t>
  </si>
  <si>
    <t>4M Cu Rough Sample PU663 Pump Ovhl Prep</t>
  </si>
  <si>
    <t>4M Feed Sampl Cu Rougher PU663 Mech Ovhl</t>
  </si>
  <si>
    <t>4M Cu Rough Sample PU663 Ovhl 20T CD</t>
  </si>
  <si>
    <t>4M Cu Rough Sample PU663 Ovhl 20T RG</t>
  </si>
  <si>
    <t>16344096</t>
  </si>
  <si>
    <t>T2 CV17 WE025 Integrator/Weighframe Elec</t>
  </si>
  <si>
    <t>T2 CV17 WE025 Integ/Wtframe Instrowest</t>
  </si>
  <si>
    <t>T2 CV17 WE025 Integrator/Weighf 160 T CD</t>
  </si>
  <si>
    <t>T2 CV17 WE025 Integrator/Weighf 160 T RG</t>
  </si>
  <si>
    <t>16345216</t>
  </si>
  <si>
    <t>341FC031 D-Drain Hatch Trial Mech Instl</t>
  </si>
  <si>
    <t>342FC031 Mech Remove Old style D Drain</t>
  </si>
  <si>
    <t>342FC031 Install new Drain Trial Bossong</t>
  </si>
  <si>
    <t>16345494</t>
  </si>
  <si>
    <t>332ML002 T1 Feed Structural Platform Rep</t>
  </si>
  <si>
    <t>332ML002 Feed Struc Plat Repl Scaff Inst</t>
  </si>
  <si>
    <t>332ML002 Feed Struc Plat Grate/beam remo</t>
  </si>
  <si>
    <t>332ML002 Feed Struc Plat Fran assist CD</t>
  </si>
  <si>
    <t>332ML002 Feed Struc Plat Repl Scaff Rem</t>
  </si>
  <si>
    <t>16345779</t>
  </si>
  <si>
    <t>T1 DI012 Falcon Distributor Mech Repl</t>
  </si>
  <si>
    <t>T1 DI012 Falcon Distributor Mech Prep</t>
  </si>
  <si>
    <t>T1 DI012 Falcon Distributor Mech Remv</t>
  </si>
  <si>
    <t>T1 DI012 Falcon Distributor Mech Inst</t>
  </si>
  <si>
    <t>T1 DI012 Falcon Distributor Mech Spotter</t>
  </si>
  <si>
    <t>16345781</t>
  </si>
  <si>
    <t>332ML002 Girth Gear Grease Leak Mech Rep</t>
  </si>
  <si>
    <t>16346271</t>
  </si>
  <si>
    <t>341HO193 Instr and HWare Elec Relocate</t>
  </si>
  <si>
    <t>341HO193 Relocate - Shutdown Elect</t>
  </si>
  <si>
    <t>16346781</t>
  </si>
  <si>
    <t>T2 CFP Front And Rear Cover Mech Rebl</t>
  </si>
  <si>
    <t>4M T2 CFP Front Rear Cover Prep</t>
  </si>
  <si>
    <t>4M T2 CFP Front Rear Cover Mech Rebl</t>
  </si>
  <si>
    <t>4M T2 CFP Front Rear Cover Mech R 25T CD</t>
  </si>
  <si>
    <t>4M T2 CFP Front Rear Cover Mech R 25T RG</t>
  </si>
  <si>
    <t>16346784</t>
  </si>
  <si>
    <t>T1 PU031 Cyclone Feed Pump Mech Rebl</t>
  </si>
  <si>
    <t>0011</t>
  </si>
  <si>
    <t>4M CFP Discharge Spool Chain Block Insp</t>
  </si>
  <si>
    <t>0012</t>
  </si>
  <si>
    <t>4M Cyclone Feed Pump Mech Prep</t>
  </si>
  <si>
    <t>4M Cyclone Feed Pump Prep 25T CD</t>
  </si>
  <si>
    <t>4M Cyclone Feed Pump Prep 25T RG</t>
  </si>
  <si>
    <t>4M Cyclone Feed Pump Spool Remove</t>
  </si>
  <si>
    <t>4M Cyclone Feed Pump Mech Rebl</t>
  </si>
  <si>
    <t>8M Cyclone Feed Pump Casing Mech Repl</t>
  </si>
  <si>
    <t>4M Cyclone Feed Pump Spool Install</t>
  </si>
  <si>
    <t>4M Gland Water Hoses Mech Insp</t>
  </si>
  <si>
    <t>4M Cyclone Feed Pump Rebl 25T CD</t>
  </si>
  <si>
    <t>4M Cyclone Feed Pump Rebl 25T RG</t>
  </si>
  <si>
    <t>4M CFP Gland Start Up Insp</t>
  </si>
  <si>
    <t>0175</t>
  </si>
  <si>
    <t>4M Cyclone Feed Pump Gland Adj</t>
  </si>
  <si>
    <t>16346787</t>
  </si>
  <si>
    <t>T2 PU095 Cyclone Feed Pump Mech Rebl</t>
  </si>
  <si>
    <t>16346788</t>
  </si>
  <si>
    <t>T1 CV012 Recyc Conv Track Mech Svce</t>
  </si>
  <si>
    <t>4M T1 CV012 Recyc Conv Track Mech Svce</t>
  </si>
  <si>
    <t>16346789</t>
  </si>
  <si>
    <t>T2 CV017 Recyc Conv Track Mech Svce</t>
  </si>
  <si>
    <t>4M T2 CV017 Recyc Conv Track Mech Svce</t>
  </si>
  <si>
    <t>16347088</t>
  </si>
  <si>
    <t>T1 ML001 SAG Shell Flange Bolt Insp</t>
  </si>
  <si>
    <t>4M SAG Shell Flange Bolt Insp Scaff Erre</t>
  </si>
  <si>
    <t>4M SAG Shell Flange and Bolt Insp</t>
  </si>
  <si>
    <t>4M SAG Shell Flange Bolt Insp Scaff Stri</t>
  </si>
  <si>
    <t>16347090</t>
  </si>
  <si>
    <t>T2 ML004 Ball Mill Liner Mech Insp</t>
  </si>
  <si>
    <t>4M Liner Mech Insp Gas Test CSE</t>
  </si>
  <si>
    <t>4M Liner Mech Insp Sentry</t>
  </si>
  <si>
    <t>16347529</t>
  </si>
  <si>
    <t>T1 PU270 Suct Valve Leak FPM Repr</t>
  </si>
  <si>
    <t>T1 PU270 Suct Valve Leak FPM Repr 25T CD</t>
  </si>
  <si>
    <t>T1 PU270 Suct Valve Leak FPM Repr 25T RG</t>
  </si>
  <si>
    <t>16347560</t>
  </si>
  <si>
    <t>T1 PU033 Flash Flot Cleaner Mech Rebl</t>
  </si>
  <si>
    <t>4M Flash Flot Cleaner Pump OH CD Prep</t>
  </si>
  <si>
    <t>4M Flash Flot Cleaner Pump Mech Prep</t>
  </si>
  <si>
    <t>4M Flash Flot Cleaner Pump Mech Rebl</t>
  </si>
  <si>
    <t>4M Flash Flot Cleaner Pump Gland Insp</t>
  </si>
  <si>
    <t>16347687</t>
  </si>
  <si>
    <t>341FC012 Dart Shaft Mech Repl</t>
  </si>
  <si>
    <t>Flot Cell Dart Vlv Shaft Mech Prep</t>
  </si>
  <si>
    <t>Flot Cell Dart Vlv Shaf Gas Tester</t>
  </si>
  <si>
    <t>Flot Cell Dart Vlv Shaft Mech Repl</t>
  </si>
  <si>
    <t>Flot Cell Dart Vlv Shaft CS Sentry</t>
  </si>
  <si>
    <t>Flot Cell Dart Vlv Shaft  160T CD</t>
  </si>
  <si>
    <t>16347716</t>
  </si>
  <si>
    <t>341FC016 Rotor &amp; Stator Mech Repl</t>
  </si>
  <si>
    <t>Rotor Stator Stand Errect Scaff</t>
  </si>
  <si>
    <t>Rotor and Stator Mech Prep</t>
  </si>
  <si>
    <t>Rotor and Stator Repl Gas Test</t>
  </si>
  <si>
    <t>Rotor and Stator Ops Clean Cell</t>
  </si>
  <si>
    <t>Rotor and Stator Elec Disconect</t>
  </si>
  <si>
    <t>Rotor and Stator Mech Repl</t>
  </si>
  <si>
    <t>Rotor and Stator Sentry</t>
  </si>
  <si>
    <t>Rotor and Stator 160T CD</t>
  </si>
  <si>
    <t>Rotor and Stator 160T RG</t>
  </si>
  <si>
    <t>Rotor and Stator Elec Connect</t>
  </si>
  <si>
    <t>Rotor Stator Stand Remove Scaff</t>
  </si>
  <si>
    <t>16347725</t>
  </si>
  <si>
    <t>T1 FC017 Rotor Stator Mech Replace</t>
  </si>
  <si>
    <t>FC Inspect Lifting Frame &amp; Landing Frame</t>
  </si>
  <si>
    <t>FC Scaff Hard Barricade Install</t>
  </si>
  <si>
    <t>FC Agi Gridmesh &amp; Services Removal</t>
  </si>
  <si>
    <t>Agi Install lifting Frame &amp; Mech Remove</t>
  </si>
  <si>
    <t>Agi Install lifting Jig &amp; Remove 160T CD</t>
  </si>
  <si>
    <t>Agi Install lifting Jig &amp; Remove 160T RG</t>
  </si>
  <si>
    <t>FC Agi Rotor Mech Replace</t>
  </si>
  <si>
    <t>0095</t>
  </si>
  <si>
    <t>FC ADoor Mech Repair</t>
  </si>
  <si>
    <t>Agi Install &amp; Remove Lifting Jig Mech</t>
  </si>
  <si>
    <t>Agi Install &amp; Remove Lifting Jig 160T CD</t>
  </si>
  <si>
    <t>Agi Install &amp; Remove Lifting Jig 160T RG</t>
  </si>
  <si>
    <t>FC Agi Gridmesh &amp; Services Install</t>
  </si>
  <si>
    <t>FC Scaff Hard Barricade Remove</t>
  </si>
  <si>
    <t>16347746</t>
  </si>
  <si>
    <t>332ML002 T1 Ball Mill Liner Mech Insp</t>
  </si>
  <si>
    <t>16347747</t>
  </si>
  <si>
    <t>T1 Flot Pst Shut Dart Plug Calb</t>
  </si>
  <si>
    <t>4M T1 Post Shut Dart Plugs Elec Calib</t>
  </si>
  <si>
    <t>16347750</t>
  </si>
  <si>
    <t>T1 331 Ore Reclaim Lanyard Elec Stat</t>
  </si>
  <si>
    <t>13W 331 T1 Ore Reclaim Lanyard Elec Stat</t>
  </si>
  <si>
    <t>16347752</t>
  </si>
  <si>
    <t>T1 Scats Handlng Lanyard Elec Shut Stat</t>
  </si>
  <si>
    <t>4M T1 Scat Handling Lanyard Elec Stat</t>
  </si>
  <si>
    <t>16347756</t>
  </si>
  <si>
    <t>T1 SAG Motor Mill Floor Ops Clean</t>
  </si>
  <si>
    <t>Motor Drain Lines Under Mill Floor Clean</t>
  </si>
  <si>
    <t>16347849</t>
  </si>
  <si>
    <t>332ML004 Motor Hyd Hoses Mech Replace</t>
  </si>
  <si>
    <t>332ML004 Motor A Hyd Hoses Mech Replace</t>
  </si>
  <si>
    <t>332ML004 Motor B Hyd Hoses Mech Replace</t>
  </si>
  <si>
    <t>16347855</t>
  </si>
  <si>
    <t>341FC025 Stator and Rotor Mech Replace</t>
  </si>
  <si>
    <t>16347858</t>
  </si>
  <si>
    <t>T2 FC031 Access Door Mech Repr</t>
  </si>
  <si>
    <t>T2 FC031 Access Door Mech Repr Open Up</t>
  </si>
  <si>
    <t>T2 FC031 Access Door Mech Repr GT</t>
  </si>
  <si>
    <t>T2 FC031 Access Door Mech Repr CS Sentry</t>
  </si>
  <si>
    <t>T2 FC031 Access Door Mech Repr Close Up</t>
  </si>
  <si>
    <t>16347860</t>
  </si>
  <si>
    <t>341FC037 Dart Seat Mech Replace</t>
  </si>
  <si>
    <t>Flot Cell Dart Vlv Seat Plate Mech Prep</t>
  </si>
  <si>
    <t>Flot Cell Dart Vlv Seat Plate Gas Tester</t>
  </si>
  <si>
    <t>Flot Cell Dart Vlv Seat Plate Mech Repl</t>
  </si>
  <si>
    <t>Flot Cell Dart Vlv Seat Plate CS Sentry</t>
  </si>
  <si>
    <t>Flot Cell Dart Vlv Seat Plate 160T CD</t>
  </si>
  <si>
    <t>Flot Cell Dart Vlv Seat Plate 160T RG</t>
  </si>
  <si>
    <t>16348158</t>
  </si>
  <si>
    <t>T1 ML002 Girth Gear Access Hatch Instal</t>
  </si>
  <si>
    <t>T1 ML002 Girth Gear Access Hatch Prep</t>
  </si>
  <si>
    <t>T1 ML002 Girth Gear Access Scaff Up</t>
  </si>
  <si>
    <t>T1 ML002 Girth Gear Access Hatch 160T CD</t>
  </si>
  <si>
    <t>T1 ML002 Girth Gear Access Hatch 160T RG</t>
  </si>
  <si>
    <t>T1 ML002 Girth Gear Access Scaff Down</t>
  </si>
  <si>
    <t>16348277</t>
  </si>
  <si>
    <t>332SN011 Rubber Skirt Lining Mech Repair</t>
  </si>
  <si>
    <t>GEC</t>
  </si>
  <si>
    <t>16348454</t>
  </si>
  <si>
    <t>T1 FC001 Hatch latch Mech Repl</t>
  </si>
  <si>
    <t>16348506</t>
  </si>
  <si>
    <t>T1 FC020 Dart Seat Mech Repl</t>
  </si>
  <si>
    <t>16348509</t>
  </si>
  <si>
    <t>T2 GC006 Knife gate Mech Repl</t>
  </si>
  <si>
    <t>16348510</t>
  </si>
  <si>
    <t>T1 ML002 Thrust Pump Hyd Issues Mech Rep</t>
  </si>
  <si>
    <t>16348664</t>
  </si>
  <si>
    <t>T2 FC029 Rotor Blades Mech Repl</t>
  </si>
  <si>
    <t>T2 FC029 Rotor Blades Mech Repl Prep</t>
  </si>
  <si>
    <t>T2 FC029 Rotor Blades Elect Discon Motor</t>
  </si>
  <si>
    <t>T2 FC029 Rotor Blades Mech Repl GT</t>
  </si>
  <si>
    <t>T2 FC029 Rotor Blades Opps Drain Clean</t>
  </si>
  <si>
    <t>T2 FC029 Stator Realignment</t>
  </si>
  <si>
    <t>T2 FC029 Stator Base Rubber Repr</t>
  </si>
  <si>
    <t>T2 FC029 Rotor Blades Mech Repl CS Sentr</t>
  </si>
  <si>
    <t>T2 FC029 Rotor Blades Mech Repl 160T CD</t>
  </si>
  <si>
    <t>T2 FC029 Rotor Blades Mech Repl 160T RG</t>
  </si>
  <si>
    <t>T2 FC029 Rotor Blades Elect Recon Motor</t>
  </si>
  <si>
    <t>16348665</t>
  </si>
  <si>
    <t>T2 FC032 Dart Assembly Mech Repl</t>
  </si>
  <si>
    <t>T2 FC032 Dart Assembly Mech Repl Prep</t>
  </si>
  <si>
    <t>T2 FC032 Dart Assembly Elect Disc Proxi</t>
  </si>
  <si>
    <t>T2 FC032 Dart Assembly Mech Repl GT</t>
  </si>
  <si>
    <t>T2 FC032 Ops Drain Clean</t>
  </si>
  <si>
    <t>0031</t>
  </si>
  <si>
    <t>T2 FC032 Rotor &amp; Stator Alignment Check</t>
  </si>
  <si>
    <t>T2 FC032 Dart AssemblyMech Repl Sen</t>
  </si>
  <si>
    <t>T2 FC032 Dart Assembly Mech 160T CD</t>
  </si>
  <si>
    <t>T2 FC032 Dart Assembly Mech 160T RG</t>
  </si>
  <si>
    <t>0085</t>
  </si>
  <si>
    <t>T2 FC032 Dart Assem Elect Reconn Proxies</t>
  </si>
  <si>
    <t>16348666</t>
  </si>
  <si>
    <t>T2 FC035 Dart Seat Worn Mech Repl</t>
  </si>
  <si>
    <t>T2 FC035 Dart Seat Worn Mech Repl Prep</t>
  </si>
  <si>
    <t>T2 FC035 Dart Seat Worn Mech Repl GT</t>
  </si>
  <si>
    <t>T2 FC035 Dart Seat Worn Mech Sentry</t>
  </si>
  <si>
    <t>16348711</t>
  </si>
  <si>
    <t>T1 331 Reclaim Blocked Chute Elec Test</t>
  </si>
  <si>
    <t>4M Ore Reclaim Blocked Chute Elec Test</t>
  </si>
  <si>
    <t>16348712</t>
  </si>
  <si>
    <t>T2 331 Reclaim Blocked Chute Elec Test</t>
  </si>
  <si>
    <t>4M Ore Reclaim Blocked Chute Test</t>
  </si>
  <si>
    <t>16348715</t>
  </si>
  <si>
    <t>T1 FC001 Flash Flot Cell Con Mon Insp</t>
  </si>
  <si>
    <t>4M Flash Flot Cell Access Hatch Open</t>
  </si>
  <si>
    <t>4M Flash Flot Cell Ops Clean Out</t>
  </si>
  <si>
    <t>4M Flash Flot Rubber Repair</t>
  </si>
  <si>
    <t>4M Flash Flot Internal Cond Insp Sentry</t>
  </si>
  <si>
    <t>4M Flash Flot Cell Access Hatch Close</t>
  </si>
  <si>
    <t>16348716</t>
  </si>
  <si>
    <t>T2 FC004 Flash Flot Cell Con Mon Insp</t>
  </si>
  <si>
    <t>16348717</t>
  </si>
  <si>
    <t>T2 332 Mill Area Lube Mech Insp</t>
  </si>
  <si>
    <t>4M T2 Mill Area Lube Mech Insp Scaff Up</t>
  </si>
  <si>
    <t>4M T2 Mill Area Lube Mech Insp Scaff Dow</t>
  </si>
  <si>
    <t>4M Chiller Control Panel Elec Insp</t>
  </si>
  <si>
    <t>16348724</t>
  </si>
  <si>
    <t>T2 CO004 Chiller Cont Panel Elec Insp</t>
  </si>
  <si>
    <t>16348725</t>
  </si>
  <si>
    <t>T1 Conveyor Belts Rip Elec Test</t>
  </si>
  <si>
    <t>4M CV007 CV011 CV012 Belt Rip Elec Test</t>
  </si>
  <si>
    <t>16348726</t>
  </si>
  <si>
    <t>T2 Conveyor Belts Rip Elec Test</t>
  </si>
  <si>
    <t>4M CV008 CV016 CV017 Belt Rip Elec Test</t>
  </si>
  <si>
    <t>16348728</t>
  </si>
  <si>
    <t>T2 MT114 SAG Mill Motor Elec Svce</t>
  </si>
  <si>
    <t>4M SAG Mill Motor Elec Svce ERM</t>
  </si>
  <si>
    <t>16348729</t>
  </si>
  <si>
    <t>T2 VS201 Cyclo Converter Elec Insp</t>
  </si>
  <si>
    <t>4M Cyclo Conv VSD Elec Isolate</t>
  </si>
  <si>
    <t>4M Cyclo Conv VSD Elec Insp</t>
  </si>
  <si>
    <t>4M E House HV Side AC Rfrg Svce</t>
  </si>
  <si>
    <t>4M Cyclo Conv VSD Elec Deisolate</t>
  </si>
  <si>
    <t>16348730</t>
  </si>
  <si>
    <t>T1 PU031 CFP Disch Density Elec Calb</t>
  </si>
  <si>
    <t>4M CFP Disch Density Elec Calb</t>
  </si>
  <si>
    <t>16348732</t>
  </si>
  <si>
    <t>T2 BX009 Feed Cyc UFlow Mech Repr</t>
  </si>
  <si>
    <t>4M Feed Cyc UFlow Box Mech Insp Gas Test</t>
  </si>
  <si>
    <t>4M Feed Cyc UFlow Box Mech Repr Sentry</t>
  </si>
  <si>
    <t>16348737</t>
  </si>
  <si>
    <t>T2 BX019 Falcon Feed Box Mech Repr</t>
  </si>
  <si>
    <t>4M Falcon Feed Box Prep and Tool to Job</t>
  </si>
  <si>
    <t>4M Falcon Feed Box Tool Rigger</t>
  </si>
  <si>
    <t>4M Falcon Feed Box Gas Test CSE Permit</t>
  </si>
  <si>
    <t>4M Falcon Feed Box Ops Internal Clean</t>
  </si>
  <si>
    <t>4M Falcon Feed Box Repr Mech</t>
  </si>
  <si>
    <t>4M Falcon Feed Box Insp and Repr Sentry</t>
  </si>
  <si>
    <t>16348738</t>
  </si>
  <si>
    <t>T2 BX020 Falcon Feed Box Mech Repr</t>
  </si>
  <si>
    <t>4M Falcon Feed Box Repr Mech BM</t>
  </si>
  <si>
    <t>Falcon feed Box 20 Parent metal REPR</t>
  </si>
  <si>
    <t>16348740</t>
  </si>
  <si>
    <t>T1 BX023 Cyclone Oflow Thick Mech Ins</t>
  </si>
  <si>
    <t>4M Overflow Box Repr Scaff Errect</t>
  </si>
  <si>
    <t>4M Overflow Box Repr Tooling</t>
  </si>
  <si>
    <t>4M Overflow Box Repr Prep Tool OH RG</t>
  </si>
  <si>
    <t>4M Cycs to Fit UFlow Isol plug</t>
  </si>
  <si>
    <t>4M Overflow Box Repr Fit Isol plug OH RG</t>
  </si>
  <si>
    <t>4M Overflow Box Repr Fit Isol plug OH CD</t>
  </si>
  <si>
    <t>4M Overflow Box Unbolt Door</t>
  </si>
  <si>
    <t>4M Overflow Box Insp Gas Test CSE</t>
  </si>
  <si>
    <t>4M Overflow Box Insp Repair Sentry</t>
  </si>
  <si>
    <t>4M Overflow Box Ops Clean</t>
  </si>
  <si>
    <t>4M Overflow Box Repr Insp</t>
  </si>
  <si>
    <t>4M Overflow Box RL Repair</t>
  </si>
  <si>
    <t>4M Overflow Box QAQC</t>
  </si>
  <si>
    <t>4M Overflow Box Bolt Up Door</t>
  </si>
  <si>
    <t>4M Cycs to Remv UFlow Isol plug</t>
  </si>
  <si>
    <t>4M Overflow Box Repr Remv Iso plug OH RG</t>
  </si>
  <si>
    <t>4M Overflow Box Repr Remv Iso plug OH CD</t>
  </si>
  <si>
    <t>4M Overflow Box Close Permit OP's Insp</t>
  </si>
  <si>
    <t>4M Overflow Box Repr Scaff Strip</t>
  </si>
  <si>
    <t>4M Overflow Box Repr Post Tooling</t>
  </si>
  <si>
    <t>16348742</t>
  </si>
  <si>
    <t>T1 BX082 Grav Cons Tails Box Mech Rep</t>
  </si>
  <si>
    <t>4M Grav Con Tail Box Scaf Errec</t>
  </si>
  <si>
    <t>4M Grav ConTail Box Tools Prep</t>
  </si>
  <si>
    <t>4M Grav Con Tail Box Tool RG</t>
  </si>
  <si>
    <t>4M Grav ConTail Bx Gas Test CSE</t>
  </si>
  <si>
    <t>4M Grav ConTail Box Unbolt Door</t>
  </si>
  <si>
    <t>4M Grav ConTail Box Mech Repr</t>
  </si>
  <si>
    <t>4M Grav Con Tail Box Bolt Door</t>
  </si>
  <si>
    <t>4M Grav Con Tail Box Rep Sentry</t>
  </si>
  <si>
    <t>0115</t>
  </si>
  <si>
    <t>4M Grav ConTail Box Scaff Strip</t>
  </si>
  <si>
    <t>16348744</t>
  </si>
  <si>
    <t>T1 BX081 Grav Con Tail Box Mech Repr</t>
  </si>
  <si>
    <t>16348747</t>
  </si>
  <si>
    <t>T2 BX083 FineTails Collect Mech Repr</t>
  </si>
  <si>
    <t>4M Fine Tails Coll Box Scaff Errect</t>
  </si>
  <si>
    <t>4M Fine Tails Coll Box Mech Prep</t>
  </si>
  <si>
    <t>4M Fine Tails Coll Box Tool RG</t>
  </si>
  <si>
    <t>4M Fine Tails Coll Box Gas Test CSE</t>
  </si>
  <si>
    <t>4M Fine Tails Coll Box Ops Clean</t>
  </si>
  <si>
    <t>4M Fine Tails Coll Box Mech Repr</t>
  </si>
  <si>
    <t>4M Fine Tails Coll Box Sentry</t>
  </si>
  <si>
    <t>4M Fine Tails Coll Box Scaff Strip</t>
  </si>
  <si>
    <t>16348748</t>
  </si>
  <si>
    <t>T1 BX015 Fine Tails Collect Box Mech Rep</t>
  </si>
  <si>
    <t>16348750</t>
  </si>
  <si>
    <t>T2 ML003 Trom Uflw Chte Lining Mech Repl</t>
  </si>
  <si>
    <t>4M SAG Trom Uflow Chute Lining Gas Test</t>
  </si>
  <si>
    <t>4M SAG Trom Uflow Chute Lng Scaff Errect</t>
  </si>
  <si>
    <t>4M SAG Trom Uflow Chute Lng Scaff Strip</t>
  </si>
  <si>
    <t>4M SAG Trom Uflow Chute Lng Mech Sentry</t>
  </si>
  <si>
    <t>16348751</t>
  </si>
  <si>
    <t>T1 CH134 Ball Mill Disch Mech Repr</t>
  </si>
  <si>
    <t>4M BM Disch Chte Mech Repr Prep</t>
  </si>
  <si>
    <t>4M BM Disch Chte Mech Repr Gas Test CSE</t>
  </si>
  <si>
    <t>4M BM Disch Chte Mech Repr Scaf Inst</t>
  </si>
  <si>
    <t>4M BM Disch Chte Mech Repr</t>
  </si>
  <si>
    <t>4M BM Disch Chte Mech Repr Sentry</t>
  </si>
  <si>
    <t>4M BM Disch Chte Mech Repr Scaff Strp</t>
  </si>
  <si>
    <t>16348753</t>
  </si>
  <si>
    <t>T2 CH151 Ball Mill Disch Mech Repr</t>
  </si>
  <si>
    <t>16348755</t>
  </si>
  <si>
    <t>T2 CH160 Falcon Grav Con Uflow Mech Repr</t>
  </si>
  <si>
    <t>4M Uflow Falcon Chute Erect Scaff Ext</t>
  </si>
  <si>
    <t>4M Uflow Falcon Chute Tooling to Job</t>
  </si>
  <si>
    <t>4M Uflow Falcon Chute Liner Rep Clean</t>
  </si>
  <si>
    <t>4M Uflow Falcon Chte Gas Test CSE Per</t>
  </si>
  <si>
    <t>4M Uflow Falcon Chute Erect Scaff Int</t>
  </si>
  <si>
    <t>4M Uflow Falcon Chute Cons Repr</t>
  </si>
  <si>
    <t>4M Uflow Falcon Chute Strip Scaff Int</t>
  </si>
  <si>
    <t>4M Uflow Falcon Chute Repr Sentry</t>
  </si>
  <si>
    <t>4M Uflow Falcon Chute Strip Scaff Ext</t>
  </si>
  <si>
    <t>16348756</t>
  </si>
  <si>
    <t>T1 CH162 Trash Screen U/pan Mech Repr</t>
  </si>
  <si>
    <t>4M Trsh Scrn Upan Chute Mech Scaff Erct</t>
  </si>
  <si>
    <t>4M Trsh Scrn Upan Chute Mech Prep</t>
  </si>
  <si>
    <t>4M Trsh Scrn Upan Chte Mech Gas Test CSE</t>
  </si>
  <si>
    <t>4M Rem SN Panels for scaff ladd access</t>
  </si>
  <si>
    <t>4M Trsh Scrn Upan Chute Scaff Erct</t>
  </si>
  <si>
    <t>4M Trsh Scrn Upan Chute Mech Repr</t>
  </si>
  <si>
    <t>4M Trsh Scrn Upan Chute Mech Scaff Rmv</t>
  </si>
  <si>
    <t>4M Refit Scrn Panels</t>
  </si>
  <si>
    <t>4M Trsh Scrn Upan Chute Mech Repr Sentry</t>
  </si>
  <si>
    <t>16348757</t>
  </si>
  <si>
    <t>332CH164 T2 Trash Screen UPan Mech Repr</t>
  </si>
  <si>
    <t>16348758</t>
  </si>
  <si>
    <t>333CV017 T2 Recyc Conv Scraper Mech Svce</t>
  </si>
  <si>
    <t>4M T2 Recycle CV017 Scraper Mech Prep</t>
  </si>
  <si>
    <t>4M T2 Recycle CV017 Scraper Mech Svce</t>
  </si>
  <si>
    <t>16348760</t>
  </si>
  <si>
    <t>T2 CV017 Recyc Conv Skirtng Mech Insp</t>
  </si>
  <si>
    <t>8M Prep Liners Recycle Conveyor Repr</t>
  </si>
  <si>
    <t>8M Prep Liner Cage Recycle Conv 25T CD</t>
  </si>
  <si>
    <t>8M Prep Liners Recycle Conveyor Rigger</t>
  </si>
  <si>
    <t>8M Recycle Conveyor Skirting Mech Adjust</t>
  </si>
  <si>
    <t>8M Recycle Conveyor Pst Repr Insp</t>
  </si>
  <si>
    <t>16348762</t>
  </si>
  <si>
    <t>T2 CV017 Recyc Conv Roller Mech Repl</t>
  </si>
  <si>
    <t>4M Trans Rollers Forklift Driver</t>
  </si>
  <si>
    <t>4M Walk Conv and Position Rollers</t>
  </si>
  <si>
    <t>4M Recycle Roller Mech Repl</t>
  </si>
  <si>
    <t>4M Recycle Roller Repl EWP Spotter</t>
  </si>
  <si>
    <t>16348763</t>
  </si>
  <si>
    <t>T2 DI002 Cyclone Distrb Lid Mech Svce</t>
  </si>
  <si>
    <t>4M Cyclone Dist Lid Mech Serv Scaff Err</t>
  </si>
  <si>
    <t>4M Cyclone Distributor Lid Mech Remove</t>
  </si>
  <si>
    <t>4M Cycl Dist Isolate Valves Seals Inst</t>
  </si>
  <si>
    <t>4M Cyclone Distributor Lid Mech Refit</t>
  </si>
  <si>
    <t>4M Cyclone Dist Lid Mech Serv Scaff Stri</t>
  </si>
  <si>
    <t>16348764</t>
  </si>
  <si>
    <t>T1 DI001 Cyclone Dist Lid Mech Svce</t>
  </si>
  <si>
    <t>16348765</t>
  </si>
  <si>
    <t>T2 DI002 Cyc Distrib Liner Mech Repr</t>
  </si>
  <si>
    <t>4M Cyc Distrib Liners Mech Prep</t>
  </si>
  <si>
    <t>4M Cyc Distrib Liner Insp Gas Test</t>
  </si>
  <si>
    <t>4M Cyc Distrib Liners Insp Sentry</t>
  </si>
  <si>
    <t>4M Cyc Distrib Liners Mech OH CD</t>
  </si>
  <si>
    <t>4M Cyc Distrib Liners Mech OH RG</t>
  </si>
  <si>
    <t>4M Cyc Distrib Liners Mech Repr</t>
  </si>
  <si>
    <t>16348767</t>
  </si>
  <si>
    <t>T1 DI001 Cyc Distrib Liner Mech Repr</t>
  </si>
  <si>
    <t>16348768</t>
  </si>
  <si>
    <t>T1 LN001 Disch Spool Mech Replace</t>
  </si>
  <si>
    <t>16348769</t>
  </si>
  <si>
    <t>T1 DI011 Cyc Unflow Rubber Mech Repr</t>
  </si>
  <si>
    <t>4M Cyc Unflo DistribTools Prep</t>
  </si>
  <si>
    <t>4M Cyc Uflo Distrib GasTest CSE</t>
  </si>
  <si>
    <t>4M Cyc Unflo Distrib Repr Clean</t>
  </si>
  <si>
    <t>4M Cyc Unflo Distrib Rubb Repr</t>
  </si>
  <si>
    <t>4M Cyc Unflo Distr Rubb Sentry</t>
  </si>
  <si>
    <t>16348770</t>
  </si>
  <si>
    <t>T2 DI016 Cyc Unflow Rubber Mech Repr</t>
  </si>
  <si>
    <t>16348771</t>
  </si>
  <si>
    <t>T1 DI011 Cyc Dist Dart Valv Mech Repl</t>
  </si>
  <si>
    <t>4M Distrib Dart Valve Mech Prep</t>
  </si>
  <si>
    <t>4M Check Prod Level &amp; Vlv Isolation</t>
  </si>
  <si>
    <t>4M Distrib Dart Valve Gas Test CSE</t>
  </si>
  <si>
    <t>4M Distrib Small Dart Valve Mech Repl</t>
  </si>
  <si>
    <t>4M Distrib Dart Valve Repl Sentry</t>
  </si>
  <si>
    <t>16348772</t>
  </si>
  <si>
    <t>T2 DI016 Cyc Dist Dart Vlve Mech Repl</t>
  </si>
  <si>
    <t>16348773</t>
  </si>
  <si>
    <t>T1 DI012 Falcon Box Rubber Mech Repr</t>
  </si>
  <si>
    <t>4M Falcon Box Rubber Tools Prep</t>
  </si>
  <si>
    <t>4M Falcon Box Rubb Repr Clean</t>
  </si>
  <si>
    <t>4M Falcon Box Rubb Mech Repr</t>
  </si>
  <si>
    <t>4M Falcon Box Rubb Repr Sentry</t>
  </si>
  <si>
    <t>16348774</t>
  </si>
  <si>
    <t>T2 DI017 Falcon Box Rubber Mech Repr</t>
  </si>
  <si>
    <t>16348775</t>
  </si>
  <si>
    <t>T1 DI012 Falcon Dart Valve Mech Repl</t>
  </si>
  <si>
    <t>4M Falc Bx Dart Vv Prep Frk DR</t>
  </si>
  <si>
    <t>4M Falc Box Dart Valv Insp Repl</t>
  </si>
  <si>
    <t>4M Falc Bx Dart Valv Repl Sentr</t>
  </si>
  <si>
    <t>16348776</t>
  </si>
  <si>
    <t>T2 DI017 Falcon Dart Valve Mech Repl</t>
  </si>
  <si>
    <t>16348778</t>
  </si>
  <si>
    <t>T1 CH077 AF4 Hd Cht Wear Pl Mech Repl</t>
  </si>
  <si>
    <t>8M Trans Scaffold to Reclaim Tunnel</t>
  </si>
  <si>
    <t>8M Trans Liners Recl Tunnel Tool to Job</t>
  </si>
  <si>
    <t>8M Inspect Tunnel Feeders</t>
  </si>
  <si>
    <t>8M Apron Feeder Head Chute Gas Test CSE</t>
  </si>
  <si>
    <t>8M Apron Feeder Head Chute Erect Scaff</t>
  </si>
  <si>
    <t>8M Apron Feeder Wear Plates Mech Repl</t>
  </si>
  <si>
    <t>8M Apron Feeder Head Chute Strip Scaff</t>
  </si>
  <si>
    <t>8M Apron Feeder Wear Plates Repl Sentry</t>
  </si>
  <si>
    <t>16348780</t>
  </si>
  <si>
    <t>T1 CH078 AF5 Hd Cht Wear Pl Mech Repl</t>
  </si>
  <si>
    <t>16348781</t>
  </si>
  <si>
    <t>T1 CH079 AF6 Hd Cht Wear Pl Mech Repl</t>
  </si>
  <si>
    <t>16348782</t>
  </si>
  <si>
    <t>T1 CH080 AF7 Hd Cht Wear Pl Mech Repl</t>
  </si>
  <si>
    <t>16348783</t>
  </si>
  <si>
    <t>T1 CH081 AF8 Hd Cht Wear Pl Mech Repl</t>
  </si>
  <si>
    <t>16348784</t>
  </si>
  <si>
    <t>T1 CH082 AF9 Hd Cht Wear Pl Mech Repl</t>
  </si>
  <si>
    <t>16348785</t>
  </si>
  <si>
    <t>T2 CH097 AF10 Hd Cht Wear Plate Repl</t>
  </si>
  <si>
    <t>16348786</t>
  </si>
  <si>
    <t>T2 CH098 AF11 Hd Cht Wear Plate Repl</t>
  </si>
  <si>
    <t>16348788</t>
  </si>
  <si>
    <t>T2 CH099 AF12 Hd Cht Wear Plate Repl</t>
  </si>
  <si>
    <t>16348790</t>
  </si>
  <si>
    <t>T2 CH100 AF13 Hd Cht Wear Plate Repl</t>
  </si>
  <si>
    <t>16348792</t>
  </si>
  <si>
    <t>T2 CH101 AF14 Hd Cht Wear Plate Repl</t>
  </si>
  <si>
    <t>16348793</t>
  </si>
  <si>
    <t>T2 CH102 AF15 Hd Cht Wear Plate Repl</t>
  </si>
  <si>
    <t>16348794</t>
  </si>
  <si>
    <t>351FI001 Larox Flter Chamber Scaff Repl</t>
  </si>
  <si>
    <t>4M Larox Flter Chamber Erect Scaff</t>
  </si>
  <si>
    <t>4M Larox Flter Chamber Strip Scaff</t>
  </si>
  <si>
    <t>16348795</t>
  </si>
  <si>
    <t>T2 LN022 Cyc UFlow Launder Mech Repr</t>
  </si>
  <si>
    <t>4M Cyc Uflow Launder Prep</t>
  </si>
  <si>
    <t>4M Cyc Uflow O/Head RG</t>
  </si>
  <si>
    <t>4M Cyc Uflow O/Head OP</t>
  </si>
  <si>
    <t>4M Cyc Uflow Launder Repr Gas Test</t>
  </si>
  <si>
    <t>4M Cyc Uflow Launder Insp and Repr</t>
  </si>
  <si>
    <t>4M Cyc Uflow Launder Repr Sentry</t>
  </si>
  <si>
    <t>16348797</t>
  </si>
  <si>
    <t>T1 LN002 Cyc Oflow Launder Mech Insp</t>
  </si>
  <si>
    <t>4M Cyc Oflow Launder Repr 10T Gantry CD</t>
  </si>
  <si>
    <t>4M Cyc Oflow Launder Ops Clean Out</t>
  </si>
  <si>
    <t>4M Cyc Oflow Launder Gas Test</t>
  </si>
  <si>
    <t>4M Cyc Oflow Launder Repr Sentry</t>
  </si>
  <si>
    <t>16348798</t>
  </si>
  <si>
    <t>T2 LN021 Cyc OFlow Launder Mech Repr</t>
  </si>
  <si>
    <t>16348800</t>
  </si>
  <si>
    <t>332ML001 T1 SAG Mill Liner Mech Insp</t>
  </si>
  <si>
    <t>4M Mill Liner Mech  Gas Test CSE</t>
  </si>
  <si>
    <t>4M Mill Liner Mech Insp Mets</t>
  </si>
  <si>
    <t>4M Mill Liner Mech Insp Sentry</t>
  </si>
  <si>
    <t>16348801</t>
  </si>
  <si>
    <t>332ML003 T2 SAG Mill Liner Mech Insp</t>
  </si>
  <si>
    <t>16348803</t>
  </si>
  <si>
    <t>T1 ML001 SAG Trommel Panels Mech Repl</t>
  </si>
  <si>
    <t>4M Trommel Panels Gas Test CSE</t>
  </si>
  <si>
    <t>4M Trommel Panels Mech Repl</t>
  </si>
  <si>
    <t>4M Trommel Panels Repl Sentry</t>
  </si>
  <si>
    <t>4M Trunion Bolt Vis Insp</t>
  </si>
  <si>
    <t>16348807</t>
  </si>
  <si>
    <t>T1 ML102 SAG Feed Chute Mech Repl</t>
  </si>
  <si>
    <t>4M SAG Mill FChute Scaff Build H Barric</t>
  </si>
  <si>
    <t>4M SAG Mill Feed Chute GT</t>
  </si>
  <si>
    <t>4M SAG Mill Feed Chute Ops Cleanout</t>
  </si>
  <si>
    <t>4M SAG Mill Feed Chute Sentry</t>
  </si>
  <si>
    <t>4M SAG Mill Feed Chute Liners Repl</t>
  </si>
  <si>
    <t>4M SAG Mill Feed Chute Mech Repl</t>
  </si>
  <si>
    <t>4M SAG Mill Feed Chute Mech Repl BMR</t>
  </si>
  <si>
    <t>4M SAG Mill Feed Chute Repl 40T CD</t>
  </si>
  <si>
    <t>4M SAG Mill Feed Chute Repl 40T RG</t>
  </si>
  <si>
    <t>4M SAG Mill FChute Scaff Remove H Barric</t>
  </si>
  <si>
    <t>16348808</t>
  </si>
  <si>
    <t>T2 PU221 Cu Rougher Cons Pump Mech Ovhl</t>
  </si>
  <si>
    <t>4M 341PU221 Warman Pump Ovhl Prep</t>
  </si>
  <si>
    <t>4M 341PU221 Warman Pump Mech Ovhl</t>
  </si>
  <si>
    <t>4M 341PU221 Warman Pump Ovhl 20T CD</t>
  </si>
  <si>
    <t>4M 341PU221 Warman Pump Ovhl 20T RG</t>
  </si>
  <si>
    <t>16348810</t>
  </si>
  <si>
    <t>T2 PU229 Cu Cons Cleaner Mech Ovhl</t>
  </si>
  <si>
    <t>4M Cu Cons Cleaner PU229 Mech Ovhl Prep</t>
  </si>
  <si>
    <t>4M Cu Cons Cleaner PU229 Mech Ovhl</t>
  </si>
  <si>
    <t>4M Cu Cons Cleaner PU229 Ovhl 25T CD</t>
  </si>
  <si>
    <t>4M Cu Cons Cleaner PU229 Ovhl 25T RG</t>
  </si>
  <si>
    <t>4M Cu Cons Cleanr PU229 Glnd Strtup Insp</t>
  </si>
  <si>
    <t>16348813</t>
  </si>
  <si>
    <t>T2 PU278 Con Py Rougher Mech Ovhl</t>
  </si>
  <si>
    <t>4M Con Py Rougher PU278 Mech Ovhl</t>
  </si>
  <si>
    <t>4M Con Py Rougher PU278 Ovhl 25T CD</t>
  </si>
  <si>
    <t>4M Con Py Rougher PU278 Ovhl 25T RG</t>
  </si>
  <si>
    <t>4M Py Rougher PU278 Glnd Startup Insp</t>
  </si>
  <si>
    <t>16348819</t>
  </si>
  <si>
    <t>T2 FC004 Flash Rotor Stator Mech Repl</t>
  </si>
  <si>
    <t>Build Stator Stand</t>
  </si>
  <si>
    <t>0004</t>
  </si>
  <si>
    <t>4M Rotor And Stator Prep 25T RG</t>
  </si>
  <si>
    <t>4M Rotor And Stator Prep 25T CD</t>
  </si>
  <si>
    <t>4M Rotor Statr Elec Disconnect</t>
  </si>
  <si>
    <t>4M Rotr and Statr Gas Test CSE</t>
  </si>
  <si>
    <t>4M Rotor And Stator Scaff Install</t>
  </si>
  <si>
    <t>4M Rotor &amp; Stator Mech Remove</t>
  </si>
  <si>
    <t>4M Rotor Stator 10T Gant CD</t>
  </si>
  <si>
    <t>4M Rotor And Stator Mech Repl</t>
  </si>
  <si>
    <t>4M Rotor And Stator Repl Sentry</t>
  </si>
  <si>
    <t>4M Rotor Statr Elec Reconnect</t>
  </si>
  <si>
    <t>4M Rotor And Stator Scaff Dismantle</t>
  </si>
  <si>
    <t>16348821</t>
  </si>
  <si>
    <t>T1 ML001 SAG Mill Reline Labour</t>
  </si>
  <si>
    <t>8M SAG Mill Scaff Erect Edge Protect</t>
  </si>
  <si>
    <t>8M SAG Mill Scaff Erect Cover Motor</t>
  </si>
  <si>
    <t>0135</t>
  </si>
  <si>
    <t>8M SAG Mill Reline Labour Sentry</t>
  </si>
  <si>
    <t>8M SAG Mill Scaff Rmve Edge Protect</t>
  </si>
  <si>
    <t>8M SAG Mill Scaff Rmve Cover Motor</t>
  </si>
  <si>
    <t>16348822</t>
  </si>
  <si>
    <t>T2 ML003 SAG Mill Reline Labour</t>
  </si>
  <si>
    <t>16348824</t>
  </si>
  <si>
    <t>341PU191 T1 Cu Rougher Cons Mech Ovhl</t>
  </si>
  <si>
    <t>4M Cu Rougher PU191 Ovhl Prep</t>
  </si>
  <si>
    <t>4M Cons Cu Rougher PU191 Mech Ovhl</t>
  </si>
  <si>
    <t>4M Cons Cu Rougher PU191 Ovhl 20T RG</t>
  </si>
  <si>
    <t>4M Cons Cu Rougher PU191 Ovhl 20T CD</t>
  </si>
  <si>
    <t>4M Cu Rougher PU191 Gland Startup Insp</t>
  </si>
  <si>
    <t>16348825</t>
  </si>
  <si>
    <t>T1 PU193 T1 Cu Cleaner Scav Mech Ovhl</t>
  </si>
  <si>
    <t>4M 341PU193 Mech Prep</t>
  </si>
  <si>
    <t>4M 341PU193 Mech Ovhl</t>
  </si>
  <si>
    <t>4M 341PU193 Ovhl 20T CD</t>
  </si>
  <si>
    <t>4M 341PU193 Ovhl 20T RG</t>
  </si>
  <si>
    <t>4M 341PU193 PU193 Gland Startup Insp</t>
  </si>
  <si>
    <t>16348826</t>
  </si>
  <si>
    <t>T1 PU199 Cu Cleaner Cons Mech Ovhl</t>
  </si>
  <si>
    <t>4M 341PU199 Cu Cleaner Cons Mech Prep</t>
  </si>
  <si>
    <t>4M 341PU199 Cu Cleaner Cons Mech Ovhl</t>
  </si>
  <si>
    <t>4M 341PU199 Cu Cleaner Cons Ovhl 25T CD</t>
  </si>
  <si>
    <t>4M 341PU199 Cu Cleaner Cons Ovhl 25T RG</t>
  </si>
  <si>
    <t>4M 341PU199 Cu Clnr Gland Startup Insp</t>
  </si>
  <si>
    <t>16348827</t>
  </si>
  <si>
    <t>T1 PU712 Cons Cu Rougher Mech Ovhl</t>
  </si>
  <si>
    <t>4M 341PU712 Cons Cu Rougher Mech Prep</t>
  </si>
  <si>
    <t>4M 341PU712 Cons Cu Rougher Mech Ovhl</t>
  </si>
  <si>
    <t>4M 341PU712 Cons Cu Rougher Ovhl 25T CD</t>
  </si>
  <si>
    <t>4M 341PU712 Cons Cu Rougher Ovhl 25T RG</t>
  </si>
  <si>
    <t>4M 341PU712 Cu Rough Gland Startup Insp</t>
  </si>
  <si>
    <t>16348828</t>
  </si>
  <si>
    <t>389PU660 T1 Final Cu Con Mech Ovhl</t>
  </si>
  <si>
    <t>4M Final Cu Con Pump Ovhl Prep</t>
  </si>
  <si>
    <t>4M Final Cu Con Pump Mech Ovhl</t>
  </si>
  <si>
    <t>4M Final Cu Con Pump Gland Insp</t>
  </si>
  <si>
    <t>16348830</t>
  </si>
  <si>
    <t>389PU661 Cu Rough Sample Feed Mech Ovhl</t>
  </si>
  <si>
    <t>4M Cu Rough Sample PU661 Pump Ovhl Prep</t>
  </si>
  <si>
    <t>4M Cu Rough Sample Feed PU661 Mech Ovhl</t>
  </si>
  <si>
    <t>4M Cu Rough Sample PU661 Ovhl 20 CD</t>
  </si>
  <si>
    <t>4M Cu Rough PU661 Gland Startup Insp</t>
  </si>
  <si>
    <t>16348831</t>
  </si>
  <si>
    <t>T2 4M PU662 Final Cu Con Mech Ovhl</t>
  </si>
  <si>
    <t>16348832</t>
  </si>
  <si>
    <t>342PU720 Py Rough Cons Sample Mech Ovhl</t>
  </si>
  <si>
    <t>4M Cons Py Rougher PU720 Mech Ovhl</t>
  </si>
  <si>
    <t>16348833</t>
  </si>
  <si>
    <t>T1 341 Cu Rough Cells Minor Wear Repr</t>
  </si>
  <si>
    <t>4M Cu Rough Flots Scaff Access Build</t>
  </si>
  <si>
    <t>4M Cu Rough Flots Cell Hatch Mech Open</t>
  </si>
  <si>
    <t>4M Cu Rough Flots Drain Vlv Mech Remove</t>
  </si>
  <si>
    <t>4M Cu Rough Flots Cell Ops Gas Test</t>
  </si>
  <si>
    <t>4M Cu Rough Flots Cell Rubber Repairs</t>
  </si>
  <si>
    <t>4M Cu Rough Flots Cell Minor Mech Repr</t>
  </si>
  <si>
    <t>4M Cu Rough Float Cell Insp Sentry</t>
  </si>
  <si>
    <t>4M Cu Rough Flots Cell Hatch Mech Close</t>
  </si>
  <si>
    <t>4M Cu Rough Flots Drain Vlv Mech Install</t>
  </si>
  <si>
    <t>4M Cu Rough Flots Scaff Access Remove</t>
  </si>
  <si>
    <t>16348834</t>
  </si>
  <si>
    <t>T2 341 Cu Rough Cells Minor Wear Repr</t>
  </si>
  <si>
    <t>16348835</t>
  </si>
  <si>
    <t>T1 342 Py Rough Cells Minor Wear Repr</t>
  </si>
  <si>
    <t>4M Py Flots Scaff Access Build</t>
  </si>
  <si>
    <t>4M Py Flots Cell Hatch Mech Open</t>
  </si>
  <si>
    <t>4M Py Flots Drain Vlv Mech Remove</t>
  </si>
  <si>
    <t>4M Py Flots Full Cell Ops Clean Out</t>
  </si>
  <si>
    <t>4M Py Flots Cell Ops Gas Test</t>
  </si>
  <si>
    <t>4M Py Flots Cell Rubber Repairs</t>
  </si>
  <si>
    <t>4M Py Flots Cell Minor Mech Repr</t>
  </si>
  <si>
    <t>4M Py Flots Cell Insp Sentry</t>
  </si>
  <si>
    <t>4M Py Flots Cell Hatch Mech Close</t>
  </si>
  <si>
    <t>4M Py Flots Drain Vlv Mech Install</t>
  </si>
  <si>
    <t>4M Py Flots Scaff Access Remove</t>
  </si>
  <si>
    <t>16348836</t>
  </si>
  <si>
    <t>T2 342 Py Rough Cells Minor Wear Repr</t>
  </si>
  <si>
    <t>16348839</t>
  </si>
  <si>
    <t>T2 FC004 Flash Flot Chunky Vlv Mech Insp</t>
  </si>
  <si>
    <t>8M Flash Chunky Valve Prep Fork Drv</t>
  </si>
  <si>
    <t>8M Flash Chunky Valve 10T Gant CD</t>
  </si>
  <si>
    <t>8M Flash Chunky Valve Elec Disconnect</t>
  </si>
  <si>
    <t>8M Flash Flot Cell Chunky Valve Repl</t>
  </si>
  <si>
    <t>8M Flash Chunky Valve Elec Reconnect</t>
  </si>
  <si>
    <t>8M Flash Chunky Valve Elec Calibrate</t>
  </si>
  <si>
    <t>16348841</t>
  </si>
  <si>
    <t>T1 FC06 Jamo Air Header Ops Clean</t>
  </si>
  <si>
    <t>4M Jameson Slurry Header Unbolt Mech</t>
  </si>
  <si>
    <t>4M Jameson Slurry Header Re-Bolt Mech</t>
  </si>
  <si>
    <t>16348844</t>
  </si>
  <si>
    <t>T1 CH143 Falcon Gravity Uflow Repr</t>
  </si>
  <si>
    <t>16348846</t>
  </si>
  <si>
    <t>T1 CH141 Falcon Grav Uflow Mech Repr</t>
  </si>
  <si>
    <t>16348848</t>
  </si>
  <si>
    <t>T1 ML002 BM Spare Feed Chute Mech Rebl</t>
  </si>
  <si>
    <t>4M BM Feed Chute Transport 25T CD</t>
  </si>
  <si>
    <t>4M BM Feed Chute Transport 25T RG</t>
  </si>
  <si>
    <t>16348850</t>
  </si>
  <si>
    <t>T2 ML302 SAG Feed Chute Spare Mech Rebl</t>
  </si>
  <si>
    <t>4M SAG Feed Chute Transport 25T CD</t>
  </si>
  <si>
    <t>4M SAG Feed Chute Transport 25T RG</t>
  </si>
  <si>
    <t>16348851</t>
  </si>
  <si>
    <t>T1 SAG Mill Feed Chute Spare Mech Rebl</t>
  </si>
  <si>
    <t>SAG Feed Chute Scaff Access erect/dis</t>
  </si>
  <si>
    <t>16348853</t>
  </si>
  <si>
    <t>T2 331 Ore Reclaim Lanyard Elec Stat</t>
  </si>
  <si>
    <t>17W 331 T2 Ore Reclaim Lanyard Elec Stat</t>
  </si>
  <si>
    <t>16348972</t>
  </si>
  <si>
    <t>T2 341 Cu Roughers Dart Guide Mech Repl</t>
  </si>
  <si>
    <t>8M T2 341 Cu Rough Dart Guide Mech Prep</t>
  </si>
  <si>
    <t>8M T2 341 Cu Rough Dart Guide Gas Test</t>
  </si>
  <si>
    <t>8M T2 341 Cu Rough Dart Guide Sentry</t>
  </si>
  <si>
    <t>8M T2 341 Cu Rough Dart Guide Mech Repl</t>
  </si>
  <si>
    <t>16348974</t>
  </si>
  <si>
    <t>T2 342 Py Roughers Dart Guide Mech Repl</t>
  </si>
  <si>
    <t>8M T2 342FC058/60 Discah Scaff Build</t>
  </si>
  <si>
    <t>8M T2 342 Py Rough Dart Guide Mech Prep</t>
  </si>
  <si>
    <t>8M T2 342FC58/60 Disch Pipe Mech Remv</t>
  </si>
  <si>
    <t>8M T2 342FC58/60 Disch Pipe Remv 160 CD</t>
  </si>
  <si>
    <t>8M T2 342FC58/60 Disch Pipe Remv 160 RG</t>
  </si>
  <si>
    <t>8M T2 342 Py Rough Dart Guide Gas Test</t>
  </si>
  <si>
    <t>8M T2 342 Py Rough Dart Guide Sentry</t>
  </si>
  <si>
    <t>8M T2 342 Py Rough Dart Guide Mech Repl</t>
  </si>
  <si>
    <t>8M T2 342FC058/60 Disch Pipe Mech Instl</t>
  </si>
  <si>
    <t>8M T2 342FC58/60 Disch Pipe Inst 160 CD</t>
  </si>
  <si>
    <t>8M T2 342FC58/60 Disch Pipe Inst 160 RG</t>
  </si>
  <si>
    <t>8M T2 342FC58/60 Discah Scaff Dismantle</t>
  </si>
  <si>
    <t>16349093</t>
  </si>
  <si>
    <t>MSA Raw Water Pipe Mech Replace</t>
  </si>
  <si>
    <t>Water pipe holed Mech Repr</t>
  </si>
  <si>
    <t>16349094</t>
  </si>
  <si>
    <t>T2 SAG Rotor Knife Sw Door Elec Repr</t>
  </si>
  <si>
    <t>T2 SAG Rotor Knife Sw Door Elec Repair</t>
  </si>
  <si>
    <t>16349104</t>
  </si>
  <si>
    <t>T2 CV008 SAG Feed Tracking Mech Svce</t>
  </si>
  <si>
    <t>4M SAG Feed Conveyor Tracking Mech Svce</t>
  </si>
  <si>
    <t>16349552</t>
  </si>
  <si>
    <t>T1 ML002 BMill Retain Ring Mech Repl</t>
  </si>
  <si>
    <t>12M BM Retain Ring Mech Prep</t>
  </si>
  <si>
    <t>12M BM Retain Rng Mech Repl Gas Test CSE</t>
  </si>
  <si>
    <t>12M BM Retain Ring Mech Repl</t>
  </si>
  <si>
    <t>12M BM Retain Ring Mech Repl Sentry</t>
  </si>
  <si>
    <t>16349860</t>
  </si>
  <si>
    <t>341FC062 Air/Feed Manifold Mech Inspect</t>
  </si>
  <si>
    <t>341FC062 Air/Feed Manifold Mech Remove</t>
  </si>
  <si>
    <t>341FC062 Air/Feed Manifold Mech Install</t>
  </si>
  <si>
    <t>16349971</t>
  </si>
  <si>
    <t>T1 BX011 T1 Ball M Fd Bx Lnr Mech Repl</t>
  </si>
  <si>
    <t>8M FeedBox Liner Repl Prep</t>
  </si>
  <si>
    <t>8M Ladder From Box Erect Scaff</t>
  </si>
  <si>
    <t>8M Box Mech Inspect</t>
  </si>
  <si>
    <t>8M FeedBox Ops Clean</t>
  </si>
  <si>
    <t>8M FeedBox Remove Isolation Plate</t>
  </si>
  <si>
    <t>8M FeedBox Liner Repl Gas Test CSE</t>
  </si>
  <si>
    <t>8M FeedBox Liner Insp and Repl</t>
  </si>
  <si>
    <t>8M FeedBox Liner Repl Sentry</t>
  </si>
  <si>
    <t>8M FeedBox Install Isolation Plate</t>
  </si>
  <si>
    <t>8M Labyrinth Liners Insp and Repl</t>
  </si>
  <si>
    <t>8M Labyrinth Liners EWP Spotter</t>
  </si>
  <si>
    <t>8M Ladder From Box Strip Scaff</t>
  </si>
  <si>
    <t>16350003</t>
  </si>
  <si>
    <t>T1 CV011 Recyc Conv Skirt Mech Insp</t>
  </si>
  <si>
    <t>8M Prep Liner Cage Recycle Conv 25T RG</t>
  </si>
  <si>
    <t>16350004</t>
  </si>
  <si>
    <t>T2 CV016 Conv Skirt Mech Adjustment</t>
  </si>
  <si>
    <t>16350005</t>
  </si>
  <si>
    <t>T1 CV007 SAG Feed Conv Tracking Svce</t>
  </si>
  <si>
    <t>16350007</t>
  </si>
  <si>
    <t>T2 ML004 Ball Mill IR Window Elec Repl</t>
  </si>
  <si>
    <t>4M Ball Mill IR Sensor Window Elec Insp</t>
  </si>
  <si>
    <t>16350008</t>
  </si>
  <si>
    <t>T2 PU095 CFP Disch Density Elec Calb</t>
  </si>
  <si>
    <t>16350011</t>
  </si>
  <si>
    <t>T2 BX017 BMill Feed Box Liner Repl</t>
  </si>
  <si>
    <t>16350014</t>
  </si>
  <si>
    <t>T2 CV008 Head Chute Liner Mech Repl</t>
  </si>
  <si>
    <t>8M SAG Conv Hd Chute Liner Mech Prep</t>
  </si>
  <si>
    <t>8M SAG Conv Hd Chute Liner Gas Test</t>
  </si>
  <si>
    <t>8M SAG Conv Hd Chute Scaff Errect &amp; Ladr</t>
  </si>
  <si>
    <t>8M SAG Conv Hd Chute Lnr Mech Repl</t>
  </si>
  <si>
    <t>8M SAG Conv Hd Chute Lnr Mech BM</t>
  </si>
  <si>
    <t>8M SAG Conv Hd Chute Scaff Strip</t>
  </si>
  <si>
    <t>8M SAG Conv Hd Chute Lnr Mech Sentry</t>
  </si>
  <si>
    <t>16350015</t>
  </si>
  <si>
    <t>T2 CV016 Recyc Conv Scraper Mech Svce</t>
  </si>
  <si>
    <t>4M T2 Recycle Conv Scraper Prep</t>
  </si>
  <si>
    <t>4M T2 Recycle Conveyor Scraper Mech Svc</t>
  </si>
  <si>
    <t>16350350</t>
  </si>
  <si>
    <t>Final Cu Cons TA118 Mech Insp</t>
  </si>
  <si>
    <t>0042</t>
  </si>
  <si>
    <t>0083</t>
  </si>
  <si>
    <t>16350361</t>
  </si>
  <si>
    <t>351FI001 Larox Plate 2 LH Mech Replace</t>
  </si>
  <si>
    <t>16M Transport Plates to Larox 25T CD</t>
  </si>
  <si>
    <t>16M Inspect New Larox Plates</t>
  </si>
  <si>
    <t>16M Larox LH Filter Plate Full Mech Repl</t>
  </si>
  <si>
    <t>16M Larox Filter Plate Scissor Lift Spot</t>
  </si>
  <si>
    <t>16M Transport Plates to FPM 25T CD</t>
  </si>
  <si>
    <t>16350486</t>
  </si>
  <si>
    <t>332PU031 T1 CFP Disch Spool Mech Inspect</t>
  </si>
  <si>
    <t>8M CFP Disch Spool Mech Inspect</t>
  </si>
  <si>
    <t>16350636</t>
  </si>
  <si>
    <t>332ML001 Tr1 SMill Trun Liner Mech Repl</t>
  </si>
  <si>
    <t>1Y Trunnion Liners Mech Prep</t>
  </si>
  <si>
    <t>1Y Trunnion Liners Gas Test CSE</t>
  </si>
  <si>
    <t>1Y Trunnion Liners Mech Repl</t>
  </si>
  <si>
    <t>1Y Trunnion Liners Sentry</t>
  </si>
  <si>
    <t>1Y Trunnion Liners Mech Demob</t>
  </si>
  <si>
    <t>16350640</t>
  </si>
  <si>
    <t>332ML002 Tr1 DE Trunnion Brg Mech Insp</t>
  </si>
  <si>
    <t>1Y 332 BM DE Trunnion Brg Scaff Errect</t>
  </si>
  <si>
    <t>1Y 332 BM DE Trunn Brg Mech Insp</t>
  </si>
  <si>
    <t>1Y 332 BM DE Trunnion Brg Scaff Strip</t>
  </si>
  <si>
    <t>16350641</t>
  </si>
  <si>
    <t>332ML210 Tr1 FE Trun Brg Flow Dvd Mech R</t>
  </si>
  <si>
    <t>2Y 332ML Trun Brg Flow Dvd Mech Repl</t>
  </si>
  <si>
    <t>16350643</t>
  </si>
  <si>
    <t>332ML211 Tr1 Trun Brg Disc Flow/Div Repl</t>
  </si>
  <si>
    <t>2Y Trun Brg Disc Flow Divider Mech Prep</t>
  </si>
  <si>
    <t>2Y Trun Brg Disc Flow Divider Mech Repl</t>
  </si>
  <si>
    <t>16350645</t>
  </si>
  <si>
    <t>332ML306 Tr2 Trun Brg Feed Flow/Div Repl</t>
  </si>
  <si>
    <t>16350646</t>
  </si>
  <si>
    <t>332ML004 Ball Trunnion Brg Feed End Insp</t>
  </si>
  <si>
    <t>1Y 332 BM FE Trunnion Brg Scaff Errect</t>
  </si>
  <si>
    <t>1Y 332 BM FE Trunnion Brg Mech Insp</t>
  </si>
  <si>
    <t>1Y 332 BM FE Trunnion Brg Scaff Strip</t>
  </si>
  <si>
    <t>16350647</t>
  </si>
  <si>
    <t>332ML004 Ball Trunn Brg Disch End Insp</t>
  </si>
  <si>
    <t>16350651</t>
  </si>
  <si>
    <t>T2 ML407 BMill Feed Chute Mech Rebl</t>
  </si>
  <si>
    <t>T2 Ball Mill Feed Chute Transport 25T CD</t>
  </si>
  <si>
    <t>T2 Ball Mill Feed Chute Transport 25T RG</t>
  </si>
  <si>
    <t>16350661</t>
  </si>
  <si>
    <t>Sub 2 341MC105 Cu Flot T1 MCC Elec Insp</t>
  </si>
  <si>
    <t>12M 341MC105 Sub 2 MCC Elec Insp</t>
  </si>
  <si>
    <t>12M 341MC105 Sub 2 MCC Elec Contractor</t>
  </si>
  <si>
    <t>12M Clean Top of 341MC105 MCC</t>
  </si>
  <si>
    <t>12M Clean Top of 341MC105 Contractor</t>
  </si>
  <si>
    <t>16350665</t>
  </si>
  <si>
    <t>T2 ML003 SAG Trommel Panels Mech Repl</t>
  </si>
  <si>
    <t>16350668</t>
  </si>
  <si>
    <t>T2 ML003 SAG Mill Trom Trun Mech Insp</t>
  </si>
  <si>
    <t>4M SAG M Trom to Trun Mech Insp</t>
  </si>
  <si>
    <t>0320</t>
  </si>
  <si>
    <t>0330</t>
  </si>
  <si>
    <t>0350</t>
  </si>
  <si>
    <t>0380</t>
  </si>
  <si>
    <t>0390</t>
  </si>
  <si>
    <t>0420</t>
  </si>
  <si>
    <t>16350678</t>
  </si>
  <si>
    <t>341FC062 T2 Jamo Air Header Ops Clean</t>
  </si>
  <si>
    <t>16350680</t>
  </si>
  <si>
    <t>332PJ212 CFP Disch Pipe Bend 1 And 2 Rpl</t>
  </si>
  <si>
    <t>24M Disch Bend 1 And 2 Scaff Erect</t>
  </si>
  <si>
    <t>24M Disch Bend 1 And 2 Mech Assemble</t>
  </si>
  <si>
    <t>24M Disch Bend 1 And 2 Transprt 25T CD</t>
  </si>
  <si>
    <t>24M Disch Bend 1 And 2 Transprt 25T RG</t>
  </si>
  <si>
    <t>24M Disch Bend 1 And 2 Mech Rplce</t>
  </si>
  <si>
    <t>24M Disch Bend 1 And 2 Scaff Modify</t>
  </si>
  <si>
    <t>24M Disch Bend 1 And 2 320T RG</t>
  </si>
  <si>
    <t>24M Disch Bend 1 And 2 320T CD</t>
  </si>
  <si>
    <t>24M Disch Bend 1 And 2 Scaff Strip</t>
  </si>
  <si>
    <t>16350808</t>
  </si>
  <si>
    <t>T1 332 Flash Air Add Instr Elec Calb</t>
  </si>
  <si>
    <t>12M T1 Flash Air Add Instr Elec Calb</t>
  </si>
  <si>
    <t>16350811</t>
  </si>
  <si>
    <t>T2 ML004A Ball Mill Mtr A Brush Insp</t>
  </si>
  <si>
    <t>4M Bal Mill Mot Brus Elec Insp ERM</t>
  </si>
  <si>
    <t>16351055</t>
  </si>
  <si>
    <t>Replace T2 CFP DE Bearing RTD</t>
  </si>
  <si>
    <t>16351106</t>
  </si>
  <si>
    <t>332CY018 T1 Cyc Feed Valve Mech Repl</t>
  </si>
  <si>
    <t>16351393</t>
  </si>
  <si>
    <t>T1 ML002 Full Mech Alignment Check</t>
  </si>
  <si>
    <t>ML002 Girth Gear Guards Mech EWP Spot</t>
  </si>
  <si>
    <t>0214</t>
  </si>
  <si>
    <t>T1 ML002 Full Mech Alignment 250T CD</t>
  </si>
  <si>
    <t>T1 ML002 Full Mech Alignment 250T RG</t>
  </si>
  <si>
    <t>16351568</t>
  </si>
  <si>
    <t>T2 ML003 SAG Mill Brake Mech Svce</t>
  </si>
  <si>
    <t>8M SAG Mill Disc Brake Scaff Build</t>
  </si>
  <si>
    <t>8M SAG Mill Disc Brake Mech Repr GHD</t>
  </si>
  <si>
    <t>8M SAG Mill Disc Brake Scaff Strip</t>
  </si>
  <si>
    <t>16351569</t>
  </si>
  <si>
    <t>T1 SN005 Pebble Screen Panel Mech Repl</t>
  </si>
  <si>
    <t>8M Pebble Screen Panels Erect Scaff</t>
  </si>
  <si>
    <t>8M Pebble Screen Panels Dismantle Scaff</t>
  </si>
  <si>
    <t>16351572</t>
  </si>
  <si>
    <t>T2 DI002 Cyclone Valves Elec Svce</t>
  </si>
  <si>
    <t>4M Disconnect Cyclone Pressure TX</t>
  </si>
  <si>
    <t>4M Calibrate Cyclone Pressure TX</t>
  </si>
  <si>
    <t>4M Reconnect Cyclone Pressure TX</t>
  </si>
  <si>
    <t>4M Align and test valve proxies</t>
  </si>
  <si>
    <t>Note Carry Out When T1 is Shutdown</t>
  </si>
  <si>
    <t>16351584</t>
  </si>
  <si>
    <t>T2 CT017 Cooling Tower Rfrg Clean</t>
  </si>
  <si>
    <t>16351586</t>
  </si>
  <si>
    <t>T1 FC061 Jameson Cell Elec Insp</t>
  </si>
  <si>
    <t>4M 341FC061 Jameson Cell  Elec Insp</t>
  </si>
  <si>
    <t>16351587</t>
  </si>
  <si>
    <t>T2 FC062 Jameson Cell Elec Insp</t>
  </si>
  <si>
    <t>4M Jameson Cell 341FC062 Elec Insp</t>
  </si>
  <si>
    <t>16351588</t>
  </si>
  <si>
    <t>T1 MT100 SAG Mill Motor Elec Svce</t>
  </si>
  <si>
    <t>16351590</t>
  </si>
  <si>
    <t>T1 ML002 Ball Mill IR Sensor Insp</t>
  </si>
  <si>
    <t>16351591</t>
  </si>
  <si>
    <t>T1 ML002A Ball Mill Mtr A Brush Insp</t>
  </si>
  <si>
    <t>16351592</t>
  </si>
  <si>
    <t>T1 ML002B Ball Mill Mtr B Brush Insp</t>
  </si>
  <si>
    <t>16351593</t>
  </si>
  <si>
    <t>T2 ML004B Ball Mill Mtr B Brush Insp</t>
  </si>
  <si>
    <t>16351594</t>
  </si>
  <si>
    <t>T1 BX010 Feed Cyc UFlow Bx Mech Repr</t>
  </si>
  <si>
    <t>4M BX010 Box Mech Insp</t>
  </si>
  <si>
    <t>4M BX010 Box Mech Insp Opps Clean</t>
  </si>
  <si>
    <t>4M BX010 Box Mech Repr Gas Test CSE</t>
  </si>
  <si>
    <t>4M BX010 Box Mech Insp and Repr</t>
  </si>
  <si>
    <t>4M BX010 Box Mech Insp Disch Pipe</t>
  </si>
  <si>
    <t>4M BX010 Box Mech Repr Sentry</t>
  </si>
  <si>
    <t>16351597</t>
  </si>
  <si>
    <t>T1 CH130 Trom Unflow Lining Mech Repl</t>
  </si>
  <si>
    <t>16351599</t>
  </si>
  <si>
    <t>332CH131 T1 SAG Disch Lining Mech Repr</t>
  </si>
  <si>
    <t>4M SAG Disch Chute Liner Mech Clean</t>
  </si>
  <si>
    <t>4M SAG Disch Chute Gas Test CSE Permit</t>
  </si>
  <si>
    <t>4M SAG Disch Chute Lining Sentry</t>
  </si>
  <si>
    <t>16351600</t>
  </si>
  <si>
    <t>T2 CH148 SAG Disch Lining Mech Repr</t>
  </si>
  <si>
    <t>16351601</t>
  </si>
  <si>
    <t>T1 CV007 SAG Feed Skirt Mech Insp/Repl</t>
  </si>
  <si>
    <t>4M Mill Feed Conv Skirt Mech Repl Prep</t>
  </si>
  <si>
    <t>4M Mill Feed Conv Skirt Scaff Erec</t>
  </si>
  <si>
    <t>4M Mill Feed Conv Skirt Mech Insp/Repl</t>
  </si>
  <si>
    <t>4M Mill Feed Conv Skirt Mech Sentry</t>
  </si>
  <si>
    <t>4M Mill Feed Conv Skirt Scaff Strip</t>
  </si>
  <si>
    <t>16351603</t>
  </si>
  <si>
    <t>T2 CV008 SAG Feed Skirt Mech Insp/Repl (</t>
  </si>
  <si>
    <t>4M Mill Feed Conv Skirt Mech Insp/Repl B</t>
  </si>
  <si>
    <t>4M Mill Feed Conv Skirt Mech Insp/Repl F</t>
  </si>
  <si>
    <t>16351604</t>
  </si>
  <si>
    <t>T1 CV007 SAG Feed Conv Scraper Mech Svce</t>
  </si>
  <si>
    <t>4M SAG Feed Conv Scraper Mech Svce Prep</t>
  </si>
  <si>
    <t>4M SAG Feed Conv Scraper Mech Svce</t>
  </si>
  <si>
    <t>16351607</t>
  </si>
  <si>
    <t>T2 CV008 SAG Feed Conv Scraper Mech Svce</t>
  </si>
  <si>
    <t>16351609</t>
  </si>
  <si>
    <t>T1 CV007 SAG Mill Feed Rollers Mech Repl</t>
  </si>
  <si>
    <t>4M SAG Mill Feed Conv Rollers Mech Prep</t>
  </si>
  <si>
    <t>4M SAG Mill Feed Conv Rollers Mech Repl</t>
  </si>
  <si>
    <t>4M SAG Mill Feed Conv Rollers Clean up</t>
  </si>
  <si>
    <t>16351611</t>
  </si>
  <si>
    <t>T2 CV008 Sag Feed Rollers Mech Repl</t>
  </si>
  <si>
    <t>16351612</t>
  </si>
  <si>
    <t>333CV011 T1 Recyc Conv Scraper Mech Svce</t>
  </si>
  <si>
    <t>4M T1 CV011 Recy Conv Scraper Prep</t>
  </si>
  <si>
    <t>4M T1 CV011 Recy Conv Scrape Mech Svce</t>
  </si>
  <si>
    <t>16351613</t>
  </si>
  <si>
    <t>T1 CV011 Recyc Conv Rollers Mech Repl</t>
  </si>
  <si>
    <t>4M Recyle Conv Prep And Postion Rollrs</t>
  </si>
  <si>
    <t>4M Recyle Conv Roller Mech Repl</t>
  </si>
  <si>
    <t>4M Recyle Conv Roller Mech Repl Spot</t>
  </si>
  <si>
    <t>16351616</t>
  </si>
  <si>
    <t>T2 CV016 Recyc Conv Rollers Mech Repl</t>
  </si>
  <si>
    <t>16351618</t>
  </si>
  <si>
    <t>T1 CH171 CV11 Head Chute Liner Mech Repl</t>
  </si>
  <si>
    <t>8M Recy Cnv Head Chte  Prep 25T CD</t>
  </si>
  <si>
    <t>8M Recy Cnv Head Chte Gas Test</t>
  </si>
  <si>
    <t>8M Recy Cnv Head Chte Liner Sentry</t>
  </si>
  <si>
    <t>16351619</t>
  </si>
  <si>
    <t>T2 CH195 CV16 Head Chute Liner Mech Repl</t>
  </si>
  <si>
    <t>16351620</t>
  </si>
  <si>
    <t>T1 CV012 Recyc Conv Skirt Mech Insp</t>
  </si>
  <si>
    <t>4M Recycle Conv Skirt Prep CD</t>
  </si>
  <si>
    <t>4M Recycle Conv Skirt Prep RG</t>
  </si>
  <si>
    <t>16351621</t>
  </si>
  <si>
    <t>T1 CV012 T1 Recyc Conv Scraper Mech Svce</t>
  </si>
  <si>
    <t>4M T1 Recycle Conv Scraper Prep</t>
  </si>
  <si>
    <t>4M T1 Recyc Conv Scra Mech Svce</t>
  </si>
  <si>
    <t>16351623</t>
  </si>
  <si>
    <t>T1 CV012 Recyc Conv Roller Mech Repl</t>
  </si>
  <si>
    <t>16351624</t>
  </si>
  <si>
    <t>T1 FC001 Ceramic Insert Mech Svce</t>
  </si>
  <si>
    <t>4M Chunky Vlv Elec Disconnect</t>
  </si>
  <si>
    <t>4M Ceramic Insert Svce OH CD</t>
  </si>
  <si>
    <t>4M Ceramic Insert Svce OH RG</t>
  </si>
  <si>
    <t>4M Ceramic Insert Svce Gas Test</t>
  </si>
  <si>
    <t>4M Remove Spools &amp; Elbow</t>
  </si>
  <si>
    <t>4M Cell Ceramic Insert Mech Svce</t>
  </si>
  <si>
    <t>4M Spools &amp; Chg Elbow SENTRY</t>
  </si>
  <si>
    <t>4M Install Spools &amp; Elbow</t>
  </si>
  <si>
    <t>4M Ceramic Insert Svce 10T Gant CD</t>
  </si>
  <si>
    <t>4M Chunky Vlv Elec Reconnect</t>
  </si>
  <si>
    <t>16351625</t>
  </si>
  <si>
    <t>T2 FC004 Ceramic Insert Mech Svce</t>
  </si>
  <si>
    <t>16351629</t>
  </si>
  <si>
    <t>T1 LN001 Cyc Uflow Launder Mech Repr</t>
  </si>
  <si>
    <t>16351631</t>
  </si>
  <si>
    <t>Mill Maint Shut Mobile Equip Mech Insp</t>
  </si>
  <si>
    <t>4M Shut Mobile Equip Mech Insp</t>
  </si>
  <si>
    <t>4M Mobile Lighting Tower Mech Svce</t>
  </si>
  <si>
    <t>16351632</t>
  </si>
  <si>
    <t>T2 ML003 SAG Shell Flange Bolt Insp</t>
  </si>
  <si>
    <t>16351633</t>
  </si>
  <si>
    <t>T2 ML302 SAG Feed Chute Mech Repl</t>
  </si>
  <si>
    <t>16351637</t>
  </si>
  <si>
    <t>T1 ML002 BMill Tromel Panel Mech Inspl</t>
  </si>
  <si>
    <t>4M Trommel Panel Mech Prep</t>
  </si>
  <si>
    <t>4M Trommel Panel Gas Test CSE</t>
  </si>
  <si>
    <t>4M Trommel Panel Insp and Repl</t>
  </si>
  <si>
    <t>4M Trommel Panel Repl Sentry</t>
  </si>
  <si>
    <t>16351639</t>
  </si>
  <si>
    <t>T1 ML001 SAG Mill Trom Trun Mech Insp</t>
  </si>
  <si>
    <t>16351642</t>
  </si>
  <si>
    <t>T2 SN009 Pebble Scrn V Belt Mech Repl</t>
  </si>
  <si>
    <t>4M Pebble Screen V Belt  Mech Repl</t>
  </si>
  <si>
    <t>16351643</t>
  </si>
  <si>
    <t>T1 SN005 Pebble Scrn V Belt Mech Repl</t>
  </si>
  <si>
    <t>16351644</t>
  </si>
  <si>
    <t>T1 ML002 BM Girth Gear Cond MPI</t>
  </si>
  <si>
    <t>4M Ball Mill Girth Gear Elec Disconnect</t>
  </si>
  <si>
    <t>4M Ball Mill Girth Gear EWP Spotter</t>
  </si>
  <si>
    <t>4M Remove Guarding and Install Platform</t>
  </si>
  <si>
    <t>4M Remove Guarding Install Platf 250T CD</t>
  </si>
  <si>
    <t>4M Remove Guarding Install Platf 250T RG</t>
  </si>
  <si>
    <t>4M Ball Mill Girth Gear Cond MPI</t>
  </si>
  <si>
    <t>4M Remove Platform and Install Guarding</t>
  </si>
  <si>
    <t>4M BM Grth Gear Guard Install 250T CD</t>
  </si>
  <si>
    <t>4M BM Grth Gear Guard Install 250T RG</t>
  </si>
  <si>
    <t>4M Ball Mill Girth Gear Elec Reconnect</t>
  </si>
  <si>
    <t>16351651</t>
  </si>
  <si>
    <t>T1 HF101 3rd and 4th Harm Filter Ins</t>
  </si>
  <si>
    <t>8M Isol T1 3rd 4th Harmonic Filter</t>
  </si>
  <si>
    <t>8M Set Up JT Elec For Harmonic Yard Ins</t>
  </si>
  <si>
    <t>8M T1 3rd 4th Harmonic Filter Elec Insp</t>
  </si>
  <si>
    <t>8M Deisolate T1 3rd 4th Harmonic Filter</t>
  </si>
  <si>
    <t>16351652</t>
  </si>
  <si>
    <t>T1 HF102 5th and 7th Harm Filter Insp</t>
  </si>
  <si>
    <t>8M Isol T1 5th 7th Harmonic Filter</t>
  </si>
  <si>
    <t>8M T1 5th 7th Harmonic Filter Elec Insp</t>
  </si>
  <si>
    <t>8M Deisolate T1 5th 7th Harmonic Filter</t>
  </si>
  <si>
    <t>16351653</t>
  </si>
  <si>
    <t>388HF201 T2 3rd 4th Harm Flter Elec Insp</t>
  </si>
  <si>
    <t>8M Isol T2 3rd 4th Harmonic Filter</t>
  </si>
  <si>
    <t>8M Set Up Elec For Harmonic Yard Ins</t>
  </si>
  <si>
    <t>8M T2 3rd 4th Harmonic Filter Elec Insp</t>
  </si>
  <si>
    <t>8M Deisolate T2 3rd 4th Harmonic Filter</t>
  </si>
  <si>
    <t>16351654</t>
  </si>
  <si>
    <t>388HF202 T2 5th 7th Harm Flter Elec Insp</t>
  </si>
  <si>
    <t>8M T2 5th 7th Harmonic Fltr Elec Isolate</t>
  </si>
  <si>
    <t>8M T2 5th 7th Harmonic Filter Elec Insp</t>
  </si>
  <si>
    <t>8M T2 5th 7th Harmonic Fltr Elec Deisolt</t>
  </si>
  <si>
    <t>16351656</t>
  </si>
  <si>
    <t>341FC062 T2 Jameson Cell Valve Mech Insp</t>
  </si>
  <si>
    <t>8M Jameson Cell Remove Hatch</t>
  </si>
  <si>
    <t>8M Jameson Cell Mech Repair</t>
  </si>
  <si>
    <t>8M Jameson Cell Replace Hatch</t>
  </si>
  <si>
    <t>16351657</t>
  </si>
  <si>
    <t>T1 BX024 Uflow Gravity Box Mech Insp</t>
  </si>
  <si>
    <t>8M 332 Uflow Gravity Box Scaff Errect</t>
  </si>
  <si>
    <t>8M 332 Uflow Gravity Box Tooling to Job</t>
  </si>
  <si>
    <t>8M 332 Uflow Gas Test and CSE Permit</t>
  </si>
  <si>
    <t>8M 332 Uflow Thickness Mech Repr</t>
  </si>
  <si>
    <t>8M 332 Uflow Thick Insp Sentry</t>
  </si>
  <si>
    <t>8M 332 Uflow Gravity Box Scaff Strip</t>
  </si>
  <si>
    <t>16351658</t>
  </si>
  <si>
    <t>T2 BX086 Uflow Gravty Box Mech Insp</t>
  </si>
  <si>
    <t>16351660</t>
  </si>
  <si>
    <t>T2 BX085 Cyc Ovrflow Thick Mech Insp</t>
  </si>
  <si>
    <t>16351661</t>
  </si>
  <si>
    <t>T1 CH138 Pebble Scrn OSize Mech Repr</t>
  </si>
  <si>
    <t>8M Ovrsize Chute Repr Erect Scaff</t>
  </si>
  <si>
    <t>8M Ovrsize Chute Gas Tst CSE Prmit</t>
  </si>
  <si>
    <t>8M Ovrsize Chute Repr Ops Clean Chute</t>
  </si>
  <si>
    <t>8M Ovrsize Chute BM Repair</t>
  </si>
  <si>
    <t>8M Ovrsize Chute Liners Mech replace</t>
  </si>
  <si>
    <t>8M Ovrsize Chute Repr Sentry</t>
  </si>
  <si>
    <t>8M Ovrsize Chute Repr Strip Scaff</t>
  </si>
  <si>
    <t>16351663</t>
  </si>
  <si>
    <t>T2 CH198 Mag Disch Chute Mech Repl</t>
  </si>
  <si>
    <t>8M Disch Cht Liner Repl Sentry</t>
  </si>
  <si>
    <t>8M Disch Cht Liner Repl  Gas Test</t>
  </si>
  <si>
    <t>16351664</t>
  </si>
  <si>
    <t>333CH174 T1 Mag Liner Disch Chute Mech R</t>
  </si>
  <si>
    <t>16351666</t>
  </si>
  <si>
    <t>332ML002 Ball Mill Sandwheel Seal Mech R</t>
  </si>
  <si>
    <t>8M Sandwheel Mech Repl</t>
  </si>
  <si>
    <t>16351668</t>
  </si>
  <si>
    <t>332ML004 T2 BMill Sandwheel Mech Seal Re</t>
  </si>
  <si>
    <t>16351669</t>
  </si>
  <si>
    <t>332ML003 T2 SAGMill Tromel Lip Mech Repl</t>
  </si>
  <si>
    <t>8M SAG Trom Lip Piece Mech Prep</t>
  </si>
  <si>
    <t>8M SAG Trom Lip Piece Gas Tester</t>
  </si>
  <si>
    <t>8M SAG Trom Lip Piece Repl Sentry</t>
  </si>
  <si>
    <t>16351672</t>
  </si>
  <si>
    <t>332PU095 T2 CFP Disch Spool Mech Repl</t>
  </si>
  <si>
    <t>8M CFP Disch Spool Tool to Job</t>
  </si>
  <si>
    <t>8M CFP Disch Spool Mech Repl</t>
  </si>
  <si>
    <t>8M CFP Disch Spool Repl 25T CD</t>
  </si>
  <si>
    <t>8M CFP Disch Spool Repl 25T RG</t>
  </si>
  <si>
    <t>16351674</t>
  </si>
  <si>
    <t>341 T1 Cu Clean Flotation Area Cond Insp</t>
  </si>
  <si>
    <t>8M Cu Clean Floats Vlv Access Scaff Bld</t>
  </si>
  <si>
    <t>8M Cu Clean Floats Cell Hatch Mech Open</t>
  </si>
  <si>
    <t>8M Cu Clean Floats Drain Valve Mech Remv</t>
  </si>
  <si>
    <t>8M Cu Clean Flot Cell Ops Clean Out</t>
  </si>
  <si>
    <t>8M Cu Clean Flot Cell Ops Gas Test</t>
  </si>
  <si>
    <t>8M Float Cell Internal Insp Sentry</t>
  </si>
  <si>
    <t>8M Cu Clean Floats Cell Hatch Mech Close</t>
  </si>
  <si>
    <t>8M Cu Clean Floats Drain Valve Mech Inst</t>
  </si>
  <si>
    <t>8M Cu Clean Floats Vlv Access Scaff Rmv</t>
  </si>
  <si>
    <t>16351683</t>
  </si>
  <si>
    <t>T1 ML207 Ball Feed Cht Spar Mech Repl</t>
  </si>
  <si>
    <t>4M BM Feed Chute Transport WkShp 25t CD</t>
  </si>
  <si>
    <t>4M BM FChute Scaff Build H Barric</t>
  </si>
  <si>
    <t>0006</t>
  </si>
  <si>
    <t>4M BM Feed Chute Ops Cleanout</t>
  </si>
  <si>
    <t>4M BM Mill Feed Chute GT</t>
  </si>
  <si>
    <t>4M BM Mill Feed Chute Sentry</t>
  </si>
  <si>
    <t>4M BM Feed Chute Mech Repl BMR</t>
  </si>
  <si>
    <t>4M BM Feed Chute Label Attach</t>
  </si>
  <si>
    <t>4M BM Feed Chute Mech Repl 40T CD</t>
  </si>
  <si>
    <t>4M BM Feed Chute Mech Repl 40T RG</t>
  </si>
  <si>
    <t>4M BM FChute Scaff Remove H Barric</t>
  </si>
  <si>
    <t>16351684</t>
  </si>
  <si>
    <t>332ML407 T2 Ball Feed Cht Spar Mech Repl</t>
  </si>
  <si>
    <t>4M BM Feed Chute Mech Repl</t>
  </si>
  <si>
    <t>16351687</t>
  </si>
  <si>
    <t>332BX021 T1 Trash Screen Thick Mech Insp</t>
  </si>
  <si>
    <t>8M Box Trash Scrn Repr Erect Scaff</t>
  </si>
  <si>
    <t>8M Box Trash Scrn Tooling to Job</t>
  </si>
  <si>
    <t>8M Box Trash Scrn Gas Tst CSE Permit</t>
  </si>
  <si>
    <t>8M Box Trash Scrn Unbolt Door</t>
  </si>
  <si>
    <t>8M Box Trash Scrn Ops Clean</t>
  </si>
  <si>
    <t>8M Box Trash Scrn Insp and Repair</t>
  </si>
  <si>
    <t>8M Box Trash Scrn Insp Sentry</t>
  </si>
  <si>
    <t>8M Box Trash Scrn Bolt Up Door</t>
  </si>
  <si>
    <t>8M Box Trash Scrn Repr Strip Scaff</t>
  </si>
  <si>
    <t>16351688</t>
  </si>
  <si>
    <t>T2 BX022 Trash Screen Feed Mech Insp</t>
  </si>
  <si>
    <t>16351978</t>
  </si>
  <si>
    <t>T2BX087 Gravity Con Box 1 Mech Insp</t>
  </si>
  <si>
    <t>8M Grav Cons Box Thick Insp Erect Scaff</t>
  </si>
  <si>
    <t>8M Grav Cons Box Tools Prep</t>
  </si>
  <si>
    <t>8M Grav Cons Box Thick Insp Set Rigging</t>
  </si>
  <si>
    <t>8M Grav Cons Box Unbolt Door</t>
  </si>
  <si>
    <t>8M Gravity Con Box Thick Insp Gas Tester</t>
  </si>
  <si>
    <t>8M Gravity Cons Box Thickness Mech Insp</t>
  </si>
  <si>
    <t>8M Gravity Cons Box Thick Insp Sentry</t>
  </si>
  <si>
    <t>8M Grav Cons Box Bolt Up Door</t>
  </si>
  <si>
    <t>8M Grav Cons Box Thick Insp Strip Scaff</t>
  </si>
  <si>
    <t>16351979</t>
  </si>
  <si>
    <t>T2 BX088 Gravity Con Box Mech Insp</t>
  </si>
  <si>
    <t>16352434</t>
  </si>
  <si>
    <t>T2 CV008 Couplng Instru Switch Elec Calb</t>
  </si>
  <si>
    <t>52W T2 Coupling Instru Switch Elec Calb</t>
  </si>
  <si>
    <t>16352435</t>
  </si>
  <si>
    <t>T1 Mill Area Chiller Instr Elec Calb</t>
  </si>
  <si>
    <t>2Y T1 Mill Area Chiller Instr Elec Calb</t>
  </si>
  <si>
    <t>16352437</t>
  </si>
  <si>
    <t>T2 332FC Flash Flot Cell Inst Elec Calb</t>
  </si>
  <si>
    <t>12M T2 Flash Flot Cell Instr Elec Calb</t>
  </si>
  <si>
    <t>16352439</t>
  </si>
  <si>
    <t>386SS100 Tr1 Grinding Sub Elec Insp</t>
  </si>
  <si>
    <t>12M Tr1 Grinding Sub 100 Elec Insp</t>
  </si>
  <si>
    <t>16352441</t>
  </si>
  <si>
    <t>332CY012 T1 Cyc Feed Valve Mech Repl</t>
  </si>
  <si>
    <t>16352446</t>
  </si>
  <si>
    <t>T1 341BX025 Instrument Elec Insp</t>
  </si>
  <si>
    <t>12M T1 341BX025 Instrument Elec Insp</t>
  </si>
  <si>
    <t>16352597</t>
  </si>
  <si>
    <t>342FC059 Drive Motor Mech Replace</t>
  </si>
  <si>
    <t>OK150TC Flot Cell Motor Mech Prep</t>
  </si>
  <si>
    <t>Mader</t>
  </si>
  <si>
    <t>OK150TC Flot Cell Motor Elec Disconnect</t>
  </si>
  <si>
    <t>OK150TC Flot Cell Motor Mech Repl</t>
  </si>
  <si>
    <t>OK150TC Flot Cell Motor Repl RG</t>
  </si>
  <si>
    <t>OK150TC Flot Cell Motor Repl CD</t>
  </si>
  <si>
    <t>OK150TC Flot Cell Motor Elec Reconnect</t>
  </si>
  <si>
    <t>OK150TC Flot Cell Rotable Motor Clean</t>
  </si>
  <si>
    <t>16352871</t>
  </si>
  <si>
    <t>342TA009 O/Flow Box Mech Repl</t>
  </si>
  <si>
    <t>342TA009 O/Flow Box Mech Repl Scaff Up</t>
  </si>
  <si>
    <t>342TA009 O/Flow Box Mech Repl Scaff Int</t>
  </si>
  <si>
    <t>342TA009 O/Flow Box Strip Rubber</t>
  </si>
  <si>
    <t>342TA009 O/Flow Box Mech Remv</t>
  </si>
  <si>
    <t>342TA009 O/Flow Box Mech Inst New Box</t>
  </si>
  <si>
    <t>342TA009 O/Flow Box Rubber Line</t>
  </si>
  <si>
    <t>342TA009 O/Flow Box Mech Repl Scaff Remv</t>
  </si>
  <si>
    <t>342TA009 O/Flow Box Mech Repl Sentry</t>
  </si>
  <si>
    <t>342TA009 O/Flow Box Mech Repl Scaff Down</t>
  </si>
  <si>
    <t>16352906</t>
  </si>
  <si>
    <t>T1 CH258 Gravity Elbow Mech Svce</t>
  </si>
  <si>
    <t>12M 332CH258 Ni-Hard Bend Mech Prep</t>
  </si>
  <si>
    <t>12M 332CH258 Ni-Hard Bend Install Scaff</t>
  </si>
  <si>
    <t>12M 332CH258 Ni-Hard Bend Mech Repl</t>
  </si>
  <si>
    <t>12M 332CH258 Ni-Hard Bend Repl 250T CD</t>
  </si>
  <si>
    <t>12M 332CH258 Ni-Hard Bend Repl 250T RG</t>
  </si>
  <si>
    <t>12M 332CH258 Ni-Hard Bend Remove Scaff</t>
  </si>
  <si>
    <t>16353201</t>
  </si>
  <si>
    <t>T1 341 Cu Cleaners Dart Guide Mech Repl</t>
  </si>
  <si>
    <t>4M T1 Cu Cleaners Dart Guide Mech Prep</t>
  </si>
  <si>
    <t>4M T1 Cu Cleaners Dart Guide Gas Test</t>
  </si>
  <si>
    <t>4M T1 Cu Cleaners Dart Guide Sentry</t>
  </si>
  <si>
    <t>4M T1 Cu Cleaners Dart Guide Mech Repl</t>
  </si>
  <si>
    <t>16353623</t>
  </si>
  <si>
    <t>T1 DI011 Poly Breather Pipe Mech Repl</t>
  </si>
  <si>
    <t>16353624</t>
  </si>
  <si>
    <t>T1 DI016 Poly Breather Pipe Mech Repl</t>
  </si>
  <si>
    <t>16354090</t>
  </si>
  <si>
    <t>T2 PU097 Flash Flot Cleaner Mech Rebl</t>
  </si>
  <si>
    <t>16354259</t>
  </si>
  <si>
    <t>T1CuCon 389TA118 &amp; TA119 Pipe Mech Repl</t>
  </si>
  <si>
    <t>T1CuCon 389TA118 &amp; TA119 Pipe Prep</t>
  </si>
  <si>
    <t>T1CuCon 389TA118 &amp; TA119 Scaff Up</t>
  </si>
  <si>
    <t>T1CuCon 389TA118 &amp; TA119 Scaff Down</t>
  </si>
  <si>
    <t>16355009</t>
  </si>
  <si>
    <t>T2 332PU678 Pump Mech Seal Repl</t>
  </si>
  <si>
    <t>332PU678 Pump Elec Discon EL</t>
  </si>
  <si>
    <t>332PU678 Mech Seal Repl</t>
  </si>
  <si>
    <t>332PU678 Pump Repl 20T CD</t>
  </si>
  <si>
    <t>332PU678 Pump Elec connect EL</t>
  </si>
  <si>
    <t>16355491</t>
  </si>
  <si>
    <t>332CH259 T2 Grav return Mech Rotate Pipe</t>
  </si>
  <si>
    <t>4M Gravity Pipe Scaff Build</t>
  </si>
  <si>
    <t>4M Gravity Pipe Prep Mech</t>
  </si>
  <si>
    <t>4M Conc Scrn Gravity Pipes Mech Rotate</t>
  </si>
  <si>
    <t>4M Conc Scrn Gravity Pipe Mech Rotate RG</t>
  </si>
  <si>
    <t>4M Gravity Pipe Remove Rigging Mech</t>
  </si>
  <si>
    <t>4M Gravity Pipe Scaff Dismantle</t>
  </si>
  <si>
    <t>16355850</t>
  </si>
  <si>
    <t>332ML002 Gear Guard Instro Elec Calb</t>
  </si>
  <si>
    <t>1Y 332ML002 Lower Scaff Access</t>
  </si>
  <si>
    <t>1Y 332ML002 Gear Guard Instro Elec Calb</t>
  </si>
  <si>
    <t>1Y 332ML002 Remove Scaff</t>
  </si>
  <si>
    <t>16356571</t>
  </si>
  <si>
    <t>T1 ML002 Ball Mill Bolt Mech Insp</t>
  </si>
  <si>
    <t>8M Ball Mill Bolt Mech Insp</t>
  </si>
  <si>
    <t>8M Ball Mill Bolt Mech Scaff</t>
  </si>
  <si>
    <t>16356622</t>
  </si>
  <si>
    <t>Sub 2 342MC106 Py Flot T1 MCC Elec Insp</t>
  </si>
  <si>
    <t>12M 342MC106 Sub 2 MCC Elec Insp</t>
  </si>
  <si>
    <t>12M Clean Top of 342MC106 MCC</t>
  </si>
  <si>
    <t>16356625</t>
  </si>
  <si>
    <t>T2 ML004 Ball Mill Bolt Mech Insp</t>
  </si>
  <si>
    <t>16356850</t>
  </si>
  <si>
    <t>Reline Equipment Preshut Mech Insp</t>
  </si>
  <si>
    <t>4M Reline Equipment Preshut Insp 25T CD</t>
  </si>
  <si>
    <t>16356884</t>
  </si>
  <si>
    <t>332ML003 Accumulators Mech Repl</t>
  </si>
  <si>
    <t>332ML003 Accumulators Mech Replace</t>
  </si>
  <si>
    <t>332ML003 Accumulators 160T CD</t>
  </si>
  <si>
    <t>332ML003 Accumulators 160T RG</t>
  </si>
  <si>
    <t>16356886</t>
  </si>
  <si>
    <t>T2 FC062 Jamo Slurry Feed Manifold Repl</t>
  </si>
  <si>
    <t>341FC062 Jamo Slurry Feed Manifold Prep</t>
  </si>
  <si>
    <t>341FC062 Jamo Slurry Feed Manifold Remov</t>
  </si>
  <si>
    <t>341FC062 Jamo Slurry Feed Mani 160T CD</t>
  </si>
  <si>
    <t>341FC062 Jamo Slurry Feed Mani 160T RG</t>
  </si>
  <si>
    <t>341FC062 Jamo Slurry Feed Mani Instal FT</t>
  </si>
  <si>
    <t>16356887</t>
  </si>
  <si>
    <t>342FC060 Dart Seat Worn Mech Repl</t>
  </si>
  <si>
    <t>FC Dart Valve Seat Mech Prep</t>
  </si>
  <si>
    <t>FC Discharge Spool Scaff Build</t>
  </si>
  <si>
    <t>FC Dart Valve Elec Remove</t>
  </si>
  <si>
    <t>FC Discharge Spool Mech Remove</t>
  </si>
  <si>
    <t>FC Discharge Spool 160T Crane CD</t>
  </si>
  <si>
    <t>FC Discharge Spool 160T Crane RG</t>
  </si>
  <si>
    <t>FC Dart Valve Mech Remove</t>
  </si>
  <si>
    <t>FC Dart Valve Seat Gas Test</t>
  </si>
  <si>
    <t>FC Dart Valve Seat Sentry</t>
  </si>
  <si>
    <t>FC Dart Valve Seat Mech Replace</t>
  </si>
  <si>
    <t>FC Dart Valve Mech Replace</t>
  </si>
  <si>
    <t>FC Dart Valve Elec Install</t>
  </si>
  <si>
    <t>FC Discharge Spool Mech Install</t>
  </si>
  <si>
    <t>FC Discharge Spool Scaff Dismantle</t>
  </si>
  <si>
    <t>16357039</t>
  </si>
  <si>
    <t>T2 CV008 Head Chute Ledge GMRS Rpr</t>
  </si>
  <si>
    <t>T2 CV008 Head Chute Ledge GMRS GT</t>
  </si>
  <si>
    <t>T2 CV008 Head Chute Ledge GMRS Sentry</t>
  </si>
  <si>
    <t>16357059</t>
  </si>
  <si>
    <t>T1 CH258 Grav Return Pipe Mech Rotate</t>
  </si>
  <si>
    <t>16357067</t>
  </si>
  <si>
    <t>332HO095 T2 Mill Disch Hopper Mech Insp</t>
  </si>
  <si>
    <t>4M 332 Mill Disch Hopper Insp Gas Test</t>
  </si>
  <si>
    <t>4M 332 Mill Disch Hopper Scaff Errect</t>
  </si>
  <si>
    <t>4M 332 Mill Disch Hopper Insp Sentry</t>
  </si>
  <si>
    <t>4M 332 Mill Disch Hopper Scaff Strip</t>
  </si>
  <si>
    <t>16357068</t>
  </si>
  <si>
    <t>332HO031 T1 Mill Disch Hopper Mech Insp</t>
  </si>
  <si>
    <t>16357070</t>
  </si>
  <si>
    <t>351FI001 Larox Plate 10 LH Mech Replace</t>
  </si>
  <si>
    <t>16357084</t>
  </si>
  <si>
    <t>351FI001 Larox Plate 12 LH Mech Replace</t>
  </si>
  <si>
    <t>16357085</t>
  </si>
  <si>
    <t>351FI001 Larox Plate 9 RH Mech Replace</t>
  </si>
  <si>
    <t>16M Larox Filter Plate RH Full Mech Repl</t>
  </si>
  <si>
    <t>16357086</t>
  </si>
  <si>
    <t>351FI001 Larox Plate 11 RH Mech Repl</t>
  </si>
  <si>
    <t>16357144</t>
  </si>
  <si>
    <t>T2 Ball Mill Trommel Mech Repl</t>
  </si>
  <si>
    <t>4Y 332 Scaff Trommel Hood Build</t>
  </si>
  <si>
    <t>4Y 332 Trommel Mech Prep</t>
  </si>
  <si>
    <t>4Y 332 Trommel Truck Lift 160T CD Remove</t>
  </si>
  <si>
    <t>4Y 332 Trommel Hood BM Remove</t>
  </si>
  <si>
    <t>4Y 332 Trommel Hood Mech Remove</t>
  </si>
  <si>
    <t>4Y 332 Trommel Hood 320T CD Remove</t>
  </si>
  <si>
    <t>4Y 332 Trommel Hood 320T RG Remove</t>
  </si>
  <si>
    <t>4Y 332 Trommel Retain Ring Mech Remv</t>
  </si>
  <si>
    <t>4Y 332 Trommel BM Remove</t>
  </si>
  <si>
    <t>4Y 332 Trommel Mech Remove</t>
  </si>
  <si>
    <t>4Y 332 Trommel 320T CD Remove</t>
  </si>
  <si>
    <t>4Y 332 Trommel 320T RG Remove</t>
  </si>
  <si>
    <t>4Y 332 Trommel Sentry Remove</t>
  </si>
  <si>
    <t>4Y 332 Trommel Gast Test Remove</t>
  </si>
  <si>
    <t>4Y 332 Trommel BM Install</t>
  </si>
  <si>
    <t>4Y 332 Trommel Mech Install</t>
  </si>
  <si>
    <t>4Y 332 Trommel 320T CD Install</t>
  </si>
  <si>
    <t>4Y 332 Trommel 320T RG Install</t>
  </si>
  <si>
    <t>4Y 332 Trommel Sentry Install</t>
  </si>
  <si>
    <t>4Y 332 Trommel Gast Test Install</t>
  </si>
  <si>
    <t>4Y 332 Trommel Hood BM Install</t>
  </si>
  <si>
    <t>4Y 332 Trommel Hood Mech Install</t>
  </si>
  <si>
    <t>4Y 332 Trommel Hood 300T CD Install</t>
  </si>
  <si>
    <t>4Y 332 Trommel Hood 300T RG Install</t>
  </si>
  <si>
    <t>4Y 332 Trommel Retain Ring Mech Inst</t>
  </si>
  <si>
    <t>4Y 332 Trommel Truck Lift 160T CD Load</t>
  </si>
  <si>
    <t>4Y 332 Scaff Trommel Hood Remove</t>
  </si>
  <si>
    <t>16357168</t>
  </si>
  <si>
    <t>332HO031 T1 CFP Hopper Rubber Repr</t>
  </si>
  <si>
    <t>332HO031 T1 CFP Hopper Opps Clean</t>
  </si>
  <si>
    <t>332HO031 T1 CFP Hopper Scaff Build</t>
  </si>
  <si>
    <t>332HO031 T1 CFP Hopper Rubber Sentry</t>
  </si>
  <si>
    <t>332HO031 T1 CFP Hopper Scaff Dismantle</t>
  </si>
  <si>
    <t>16357482</t>
  </si>
  <si>
    <t>Train 2 Sag Mill Cycloconvertor Flow SW</t>
  </si>
  <si>
    <t>Train 2 Sag mill cycloconvertor flow swi</t>
  </si>
  <si>
    <t>16357483</t>
  </si>
  <si>
    <t>VI332992F Elect Insp Repr</t>
  </si>
  <si>
    <t>16357484</t>
  </si>
  <si>
    <t>VI332991A Elect Insp Repr</t>
  </si>
  <si>
    <t>16357785</t>
  </si>
  <si>
    <t>T2 331CV008 GTU Shedder Rubber Repl</t>
  </si>
  <si>
    <t>331CV008 GTU Shedder Scaff inst</t>
  </si>
  <si>
    <t>331CV008 GTU Shedder Mech Replace BT</t>
  </si>
  <si>
    <t>331CV008 GTU Shedder Mech Replace BM</t>
  </si>
  <si>
    <t>331CV008 GTU Shedder Scaff Remove</t>
  </si>
  <si>
    <t>16357799</t>
  </si>
  <si>
    <t>T1 FC-042 Pulleys Mech Repl</t>
  </si>
  <si>
    <t>T1 FC-042 Pulleys Mech Repl 160T CD</t>
  </si>
  <si>
    <t>T1 FC-042 Pulleys Mech Repl RG</t>
  </si>
  <si>
    <t>16357802</t>
  </si>
  <si>
    <t>T2 HO227 Mech Repl</t>
  </si>
  <si>
    <t>T2 341HO227 SMS Scaff Inst</t>
  </si>
  <si>
    <t>T2 341HO227 Hopper Mech Prep</t>
  </si>
  <si>
    <t>T2 341HO227 Electrical Remove</t>
  </si>
  <si>
    <t>T2 341HO227 160T Crane Driver</t>
  </si>
  <si>
    <t>T2 341HO227 160T Rigger</t>
  </si>
  <si>
    <t>T2 341HO227 Pipe Work Mech Remove</t>
  </si>
  <si>
    <t>T2 341HO227 Platform Mech Remove</t>
  </si>
  <si>
    <t>T2 341HO227 Platform BM Remove</t>
  </si>
  <si>
    <t>T2 341HO227 Hopper Mech Remove</t>
  </si>
  <si>
    <t>T2 341HO227 Hopper Footing Mech Prep</t>
  </si>
  <si>
    <t>T2 341HO227 Hopper Mech Install</t>
  </si>
  <si>
    <t>T2 341HO227 Platform Mech Install</t>
  </si>
  <si>
    <t>T2 341HO227 Pipe Work Mech Install</t>
  </si>
  <si>
    <t>T2 341HO227 Electrical Install</t>
  </si>
  <si>
    <t>T2 341HO227 Mech Clean up</t>
  </si>
  <si>
    <t>T2 341HO227 SMS Scaff Rem</t>
  </si>
  <si>
    <t>16357803</t>
  </si>
  <si>
    <t>T1 ML001 Dischg Oil Leak Mech Repr</t>
  </si>
  <si>
    <t>16357913</t>
  </si>
  <si>
    <t>T2 333CV016 H&amp;B Skirt Upgrade Repl</t>
  </si>
  <si>
    <t>T2 333CV016 H&amp;B Skirt Remove Mech</t>
  </si>
  <si>
    <t>T2 333CV016 H&amp;B Skirt Remove BM</t>
  </si>
  <si>
    <t>T2 333CV016 H&amp;B Skirt Remove RG</t>
  </si>
  <si>
    <t>T2 333CV016 H&amp;B Skirt Remove Spotter</t>
  </si>
  <si>
    <t>T2 333CV016 H&amp;B Upgrade Franna 25T CD</t>
  </si>
  <si>
    <t>T2 333CV016 H&amp;B Upgrade Franna 25T RG</t>
  </si>
  <si>
    <t>T2 333CV016 H&amp;B Skirt Install Mech</t>
  </si>
  <si>
    <t>T2 333CV016 H&amp;B Skirt Install BM</t>
  </si>
  <si>
    <t>T2 333CV016 H&amp;B Skirt Install RG</t>
  </si>
  <si>
    <t>T2 333CV016 H&amp;B Skirt Install Spotter</t>
  </si>
  <si>
    <t>16358094</t>
  </si>
  <si>
    <t>T2 FC062 Hole in FC Mech Repr</t>
  </si>
  <si>
    <t>T2 FC062 Hole in FC Mech Repr Prep</t>
  </si>
  <si>
    <t>0022</t>
  </si>
  <si>
    <t>T2 FC062 Hole in FC Mech Repr GT</t>
  </si>
  <si>
    <t>T2 FC062 Hole in FC Mech Scaff In</t>
  </si>
  <si>
    <t>T2 FC062 Hole in FC Mech Parent M Repr</t>
  </si>
  <si>
    <t>T2 FC062 Hole in FC Mech Rubber Line</t>
  </si>
  <si>
    <t>T2 FC062 Hole in FC Mech Repr CS Sentry</t>
  </si>
  <si>
    <t>T2 FC062 Hole in FC Mech Scaff Out</t>
  </si>
  <si>
    <t>16359108</t>
  </si>
  <si>
    <t>T2 332PU678 Bearing Barrel Mech Repl</t>
  </si>
  <si>
    <t>332PU678 Brg Barrel  Mech Prep FT</t>
  </si>
  <si>
    <t>332PU678 Brg Barrel Mech Repl FT</t>
  </si>
  <si>
    <t>16359113</t>
  </si>
  <si>
    <t>T1 PU712 Suction spool Mech Repl</t>
  </si>
  <si>
    <t>T1 PU712 suction spools Mech Repl</t>
  </si>
  <si>
    <t>DTH</t>
  </si>
  <si>
    <t>T1 PU712  suction spools Repl 25T CD</t>
  </si>
  <si>
    <t>T1 PU712  suction spools Repl 25T RG</t>
  </si>
  <si>
    <t>16359117</t>
  </si>
  <si>
    <t>332CH134 Access door lower frame REPR</t>
  </si>
  <si>
    <t>332CH134 Access door lower frame BM</t>
  </si>
  <si>
    <t>332CH134 Access door lower Sentry</t>
  </si>
  <si>
    <t>332CH134 Access door lower frame Rub</t>
  </si>
  <si>
    <t>16359299</t>
  </si>
  <si>
    <t>332BX015 Elbow Leaking Mech Repl</t>
  </si>
  <si>
    <t>332BX015 Elbow Leaking Scaff Build</t>
  </si>
  <si>
    <t>332BX015 Elbow Leaking Scaff Remove</t>
  </si>
  <si>
    <t>16359306</t>
  </si>
  <si>
    <t>T1 Cycln UF Distr Box Mech Inspect</t>
  </si>
  <si>
    <t>T1 Cycln UF Distr Box Hose Out</t>
  </si>
  <si>
    <t>T1 Cycln UF Distr Box Sentry</t>
  </si>
  <si>
    <t>16359452</t>
  </si>
  <si>
    <t>381PU638 Straub Leaking Repair Mech</t>
  </si>
  <si>
    <t>381PU638 Straub &amp; Spool Mech Remove</t>
  </si>
  <si>
    <t>381PU638 Spool Rubber Repair</t>
  </si>
  <si>
    <t>381PU638 Straub &amp; Spool Mech Install</t>
  </si>
  <si>
    <t>381PU638 Straub &amp; Spool Franna 25T CD</t>
  </si>
  <si>
    <t>381PU638 Straub &amp; Spool Franna 25T RG</t>
  </si>
  <si>
    <t>16359699</t>
  </si>
  <si>
    <t>341PU712 Discharge Valve Mech Replace</t>
  </si>
  <si>
    <t>341PU712 Discharge Valve Mech Remove FT</t>
  </si>
  <si>
    <t>341PU712 Discharge Valve Mech Install FT</t>
  </si>
  <si>
    <t>16360012</t>
  </si>
  <si>
    <t>341FC024 Noisy Drive Belts Mech Repl</t>
  </si>
  <si>
    <t>341FC024 Noisy Drive Belts Mech Replace</t>
  </si>
  <si>
    <t>341FC024 Noisy Drive Belts Mech Repl CD</t>
  </si>
  <si>
    <t>341FC024 Noisy Drive Belts Mech Repl RG</t>
  </si>
  <si>
    <t>16360013</t>
  </si>
  <si>
    <t>341FC028 Noisy Drive Belts Mech Repl</t>
  </si>
  <si>
    <t>341FC028 Noisy Drive Belts Mech Replace</t>
  </si>
  <si>
    <t>341FC028 Noisy Drive Belts Mech Repl CD</t>
  </si>
  <si>
    <t>341FC028 Noisy Drive Belts Mech Repl RG</t>
  </si>
  <si>
    <t>16360014</t>
  </si>
  <si>
    <t>342FC054 Noisy Drive Belts Mech Repl</t>
  </si>
  <si>
    <t>342FC054 Noisy Drive Belts Mech Replace</t>
  </si>
  <si>
    <t>342FC054 Noisy Drive Belts Mech Repl CD</t>
  </si>
  <si>
    <t>342FC054 Noisy Drive Belts Mech Repl RG</t>
  </si>
  <si>
    <t>16360196</t>
  </si>
  <si>
    <t>332ML003 SAG Mill Feed End Leak Repr</t>
  </si>
  <si>
    <t>332ML003 SAG Mill Feed End Leak Mech</t>
  </si>
  <si>
    <t>332ML003 SAG Mill FeedEnd Leak Repr</t>
  </si>
  <si>
    <t>16360332</t>
  </si>
  <si>
    <t>341FC014 Gutter INST</t>
  </si>
  <si>
    <t>341FC014 Discharge Gutter Scaff Install</t>
  </si>
  <si>
    <t>341FC014 Discharge Gutter Install Fitter</t>
  </si>
  <si>
    <t>341FC014 Discharge Gutter Sealing</t>
  </si>
  <si>
    <t>341FC014 Discharge Gutter 160t CD</t>
  </si>
  <si>
    <t>341FC014 Discharge Gutter 160t RG</t>
  </si>
  <si>
    <t>341FC014 Discharge Gutter Scaff Dismantl</t>
  </si>
  <si>
    <t>16360467</t>
  </si>
  <si>
    <t>341FC015 Dart Seat Mech Repl</t>
  </si>
  <si>
    <t>16360630</t>
  </si>
  <si>
    <t>T1 ML002 Girth Gear Pinion Seal Mech Rep</t>
  </si>
  <si>
    <t>T1 ML002 Pinion Seal Mech Replace</t>
  </si>
  <si>
    <t>16360808</t>
  </si>
  <si>
    <t>T2 CH158 Falcon Grav Con Uflow Mech Repr</t>
  </si>
  <si>
    <t>16360943</t>
  </si>
  <si>
    <t>341FC024 and FC025 Full Clean CM Insp</t>
  </si>
  <si>
    <t>12M Cu Rough Scaff Drain Access Platform</t>
  </si>
  <si>
    <t>12M Cu Rough Flots Cell Hatch Mech Open</t>
  </si>
  <si>
    <t>12M Cu Rough Drain Vv D Section Rmve</t>
  </si>
  <si>
    <t>12M Cu Rough Flots Cell Ops Gas Test</t>
  </si>
  <si>
    <t>12M Cu Rough Float Cell Rubber Repair</t>
  </si>
  <si>
    <t>12M Cu Rough Cell Minor Mech Repairs</t>
  </si>
  <si>
    <t>12M Cu Rough Float Cell Insp Sentry</t>
  </si>
  <si>
    <t>12M Cu Rugh Full Flot Cell Ops Clean Out</t>
  </si>
  <si>
    <t>12M Cu Rough Drain Vv D Section Rplc</t>
  </si>
  <si>
    <t>12M Cu Rough Flots Cell Hatch Mech Close</t>
  </si>
  <si>
    <t>12M Cu Rough Scaff Platform Remove</t>
  </si>
  <si>
    <t>16360945</t>
  </si>
  <si>
    <t>T1 ML001 Mono Rail Mech Service</t>
  </si>
  <si>
    <t>4M Hang Winches &amp; Reline Equip as Req</t>
  </si>
  <si>
    <t>4M 250kg Rattle Gun Trolley Mech Insp</t>
  </si>
  <si>
    <t>16360946</t>
  </si>
  <si>
    <t>T2 ML003 Mono Rail Mech Service</t>
  </si>
  <si>
    <t>16360947</t>
  </si>
  <si>
    <t>T1 SAG Rotor Stator Megger Elec Test</t>
  </si>
  <si>
    <t>12M SAG ROTOR STATOR MEGGER TEST</t>
  </si>
  <si>
    <t>16360953</t>
  </si>
  <si>
    <t>T1 342 Py Rough 3M Agi Reverse Switch</t>
  </si>
  <si>
    <t>4M T1 342 Alternate Agi Switches</t>
  </si>
  <si>
    <t>16360954</t>
  </si>
  <si>
    <t>T2 342 Py Rough 4M Agi Reverse Switch</t>
  </si>
  <si>
    <t>4M T2 342 Alternate Agi Switches</t>
  </si>
  <si>
    <t>16360957</t>
  </si>
  <si>
    <t>T1 332PU033 Flow Meter Elec Inspect</t>
  </si>
  <si>
    <t>4M Flash Cleaner Pump Flow Meter Insp</t>
  </si>
  <si>
    <t>16361261</t>
  </si>
  <si>
    <t>341PU199 Drain Valve Mech Repl</t>
  </si>
  <si>
    <t>16361262</t>
  </si>
  <si>
    <t>341PU191 Drain Valve Mech Replace</t>
  </si>
  <si>
    <t>16361481</t>
  </si>
  <si>
    <t>332ML004 HX Temp Gauges Mech Replace</t>
  </si>
  <si>
    <t>332ML004 Conditioning HX Gauge Mech Repl</t>
  </si>
  <si>
    <t>332ML004 Gearbox HX Gauge Mech Repl</t>
  </si>
  <si>
    <t>16361482</t>
  </si>
  <si>
    <t>T2 ML003 HX Temp Gauges Mech Repl</t>
  </si>
  <si>
    <t>16361483</t>
  </si>
  <si>
    <t>332ML002 HX Temp Gauges Mech Replace</t>
  </si>
  <si>
    <t>332ML002 HX  Temp Gauges Mech Disconnect</t>
  </si>
  <si>
    <t>332ML002 Condition Temp Gauges Mech Repl</t>
  </si>
  <si>
    <t>332ML002 Gearbox Temp Gauges Mech Repl</t>
  </si>
  <si>
    <t>16361484</t>
  </si>
  <si>
    <t>332ML001 HX Temp Gauges Mech Replace</t>
  </si>
  <si>
    <t>16361492</t>
  </si>
  <si>
    <t>TR1 &amp; TR2 Rittal Cab Cooler Rfrg Repl</t>
  </si>
  <si>
    <t>TR1 &amp; TR2 Rittal Cab Cooler Repl Refrig</t>
  </si>
  <si>
    <t>16361670</t>
  </si>
  <si>
    <t>332ML002A&amp;B Brush Spring Replace</t>
  </si>
  <si>
    <t>16361672</t>
  </si>
  <si>
    <t>332ML004A&amp;B Brush Spring Replace</t>
  </si>
  <si>
    <t>16361675</t>
  </si>
  <si>
    <t>T1 Zone 1 MSA Slurry Tank Mech Replace</t>
  </si>
  <si>
    <t>T1 Zone 1 MSA Slurry Tank Scaff Build</t>
  </si>
  <si>
    <t>T1 Zone 1 MSA Slurry Tank Mech Remove</t>
  </si>
  <si>
    <t>T1 Zone 1 MSA Parent Steel Repair</t>
  </si>
  <si>
    <t>T1 Zone 1 MSA Hot Works Spotter</t>
  </si>
  <si>
    <t>T1 Zone 1 MSA Slurry Tank Mech Install</t>
  </si>
  <si>
    <t>T1 Zone 1 MSA Scaff Dismantle</t>
  </si>
  <si>
    <t>16361834</t>
  </si>
  <si>
    <t>332CH155 Pebble Scrn OSize Chute Repl</t>
  </si>
  <si>
    <t>Oversize Chute Erect Scaff</t>
  </si>
  <si>
    <t>Oversize Chute Elec Disconnect</t>
  </si>
  <si>
    <t>Oversize Chute Mech Remove</t>
  </si>
  <si>
    <t>Oversize Chute Mech Install</t>
  </si>
  <si>
    <t>0043</t>
  </si>
  <si>
    <t>Oversize Chute Elec Reconnect</t>
  </si>
  <si>
    <t>Oversize Chute 300T CD</t>
  </si>
  <si>
    <t>Oversize Chute 300T RG</t>
  </si>
  <si>
    <t>Oversize Chute Strip Scaff</t>
  </si>
  <si>
    <t>16361852</t>
  </si>
  <si>
    <t>T1 BX011 8M Insert Nozzle Mech Repl</t>
  </si>
  <si>
    <t>8M BX011 Insert Nozzle Mech Prep</t>
  </si>
  <si>
    <t>8M BX011 Insert Nozzle Mech Repl</t>
  </si>
  <si>
    <t>16361853</t>
  </si>
  <si>
    <t>T1 341 Cu Roughers Dart Guide Mech Repl</t>
  </si>
  <si>
    <t>8M Cu Rough Dart Guide Mech Prep</t>
  </si>
  <si>
    <t>8M Cu Rough Dart Guide Gas Test</t>
  </si>
  <si>
    <t>8M Cu Rough Dart Guide Sentry</t>
  </si>
  <si>
    <t>8M Cu Rough Dart Guide Mech Repl</t>
  </si>
  <si>
    <t>16361855</t>
  </si>
  <si>
    <t>T1 342 Py Roughers Dart Guide Mech Repl</t>
  </si>
  <si>
    <t>8M FC046 Discaharge Scaff Build</t>
  </si>
  <si>
    <t>8M Py Rough Dart Guide Mech Prep</t>
  </si>
  <si>
    <t>8M FC046 Discharge Pipe Remove Mech</t>
  </si>
  <si>
    <t>8M FC046 Discharge Pipe Remove 160 CD</t>
  </si>
  <si>
    <t>8M FC046 Discharge Pipe Remove 160 RG</t>
  </si>
  <si>
    <t>8M Py Rough Dart Guide Gas Test</t>
  </si>
  <si>
    <t>8M Py Rough Dart Guide Sentry</t>
  </si>
  <si>
    <t>8M Py Rough Dart Guide Mech Repl</t>
  </si>
  <si>
    <t>8M FC046 Discharge Pipe Install Mech</t>
  </si>
  <si>
    <t>8M FC46 Discharge Pipe Install 160 CD</t>
  </si>
  <si>
    <t>8M FC46 Discharge Pipe Install 160 RG</t>
  </si>
  <si>
    <t>8M FC046 Discaharge Scaff Dismantle</t>
  </si>
  <si>
    <t>16361857</t>
  </si>
  <si>
    <t>4M Major Mill Equipment Return</t>
  </si>
  <si>
    <t>4M Impact Hire Equipment Return</t>
  </si>
  <si>
    <t>4M KSB Hire Equipment Return</t>
  </si>
  <si>
    <t>4M Mader Hire Equipment Return</t>
  </si>
  <si>
    <t>4M GMRS Hire Equipment Return</t>
  </si>
  <si>
    <t>4M TMS Hire Equipment Return</t>
  </si>
  <si>
    <t>16361858</t>
  </si>
  <si>
    <t>T1 341 Cu Rough 3M Agi Reverse Switch</t>
  </si>
  <si>
    <t>4M T1 341 Alternate Agi Switches</t>
  </si>
  <si>
    <t>16361861</t>
  </si>
  <si>
    <t>T2 Scats Handlng Lanyards Elec Shut Stat</t>
  </si>
  <si>
    <t>4M T2 Scats Hndlng Lanyard Elec Stat</t>
  </si>
  <si>
    <t>16362090</t>
  </si>
  <si>
    <t>341BX025 Spool 16 Replace Mech</t>
  </si>
  <si>
    <t>T1 BX025 Spool 16 Mech Repl Prep</t>
  </si>
  <si>
    <t>T1 BX025 Spool 16 Mech Repl Scaff Up</t>
  </si>
  <si>
    <t>T1 BX025 Spool Mech Repl Platform remov</t>
  </si>
  <si>
    <t>T1 BX025 Spool 16 Mech Repl</t>
  </si>
  <si>
    <t>T1 BX025 Spools Mech Repl 160T CD</t>
  </si>
  <si>
    <t>T1 BX025 Spools Mech Repl 160T RG</t>
  </si>
  <si>
    <t>T1 BX025 Spools Mech Repl Platform Insta</t>
  </si>
  <si>
    <t>T1 BX025 Spools Mech Repl Scaff Down</t>
  </si>
  <si>
    <t>16362213</t>
  </si>
  <si>
    <t>351PU324 Discharge Y spool and Valves Me</t>
  </si>
  <si>
    <t>351PU324 Y Piece and Disc v/v 40T CD</t>
  </si>
  <si>
    <t>351PU324 Y Piece and Disc v/v 40T RG</t>
  </si>
  <si>
    <t>16362362</t>
  </si>
  <si>
    <t>T2 FC033 Air Isolation Valve Mech Repl</t>
  </si>
  <si>
    <t>16363071</t>
  </si>
  <si>
    <t>4M T1 Sag Trom Discharge Seal Insp</t>
  </si>
  <si>
    <t>4M Sag Trom Discharge Seal Prep</t>
  </si>
  <si>
    <t>4M Sag Trom Discharge Seal Insp</t>
  </si>
  <si>
    <t>4M Sag Trom Discharge EWP Spott</t>
  </si>
  <si>
    <t>16363072</t>
  </si>
  <si>
    <t>4M T2 Sag Trom Discharge Seal Insp</t>
  </si>
  <si>
    <t>16363090</t>
  </si>
  <si>
    <t>389PU660 Suction Valve Mech Repl</t>
  </si>
  <si>
    <t>389PU660 Suction Valve Mech Remo V/v FT</t>
  </si>
  <si>
    <t>389PU660 Suction Valve Mech Remo V/v CD</t>
  </si>
  <si>
    <t>389PU660 Suction Valve Mech Remo V/v RG</t>
  </si>
  <si>
    <t>389PU660 Suction Valve Mech Insta V/v FT</t>
  </si>
  <si>
    <t>389PU660 Suction Valve Mech Insta V/v CD</t>
  </si>
  <si>
    <t>389PU660 Suction Valve Mech Insta V/v RG</t>
  </si>
  <si>
    <t>16363353</t>
  </si>
  <si>
    <t>T1 MG005 Ball Magnet Chute Mech Repr</t>
  </si>
  <si>
    <t>T1 MG005 Ball Magnet Chute Scaff In</t>
  </si>
  <si>
    <t>T1 MG005 Ball Magnet Chute Rubber Line</t>
  </si>
  <si>
    <t>T1 MG005 Ball Magnet Chute Scaff Out</t>
  </si>
  <si>
    <t>16363476</t>
  </si>
  <si>
    <t>T2 PU095 VSD Hose Elect Repl</t>
  </si>
  <si>
    <t>16363645</t>
  </si>
  <si>
    <t>341FC031 2 x Positioner Replacement</t>
  </si>
  <si>
    <t>16363998</t>
  </si>
  <si>
    <t>T1 ML001 Sag Brake Accumulator Mech Repl</t>
  </si>
  <si>
    <t>T1 ML001 Sag Brake Accumulator 300T CD</t>
  </si>
  <si>
    <t>T1 ML001 Sag Brake Accumulator 300T RG</t>
  </si>
  <si>
    <t>16363999</t>
  </si>
  <si>
    <t>T1 ML104 Accumulator Mech Repl</t>
  </si>
  <si>
    <t>332ML104 Bleed Oil Back to Sump</t>
  </si>
  <si>
    <t>332ML104 Remove &amp; Replace Accumulator 1</t>
  </si>
  <si>
    <t>332ML104 Remove &amp; Replace Accumulator 2</t>
  </si>
  <si>
    <t>332ML104 Remove &amp; Replace Accumulator 3</t>
  </si>
  <si>
    <t>332ML104 Remove &amp; Replace Accumulator 4</t>
  </si>
  <si>
    <t>Remove &amp; Replace Accumulator Franna CD</t>
  </si>
  <si>
    <t>Remove &amp; Replace Accumulator Franna RG</t>
  </si>
  <si>
    <t>16364000</t>
  </si>
  <si>
    <t>332ML208 Accumulator Mech Repl</t>
  </si>
  <si>
    <t>332ML208 Bleed Oil Back to Sump</t>
  </si>
  <si>
    <t>332ML208 Remove &amp; Replace Accumulator 1</t>
  </si>
  <si>
    <t>332ML208 Remove &amp; Replace Accumulator 2</t>
  </si>
  <si>
    <t>332ML208 Remove &amp; Replace Accumulator 3</t>
  </si>
  <si>
    <t>332ML208 Remove &amp; Replace Accumulator 4</t>
  </si>
  <si>
    <t>16364001</t>
  </si>
  <si>
    <t>T2 ML304 Accumulator Mech Repl</t>
  </si>
  <si>
    <t>T2 ML304 Bleed Oil Back to Sump</t>
  </si>
  <si>
    <t>T2 ML304 Remove &amp; Replace Accumulator 1</t>
  </si>
  <si>
    <t>T2 ML304 Remove &amp; Replace Accumulator 2</t>
  </si>
  <si>
    <t>T2 ML304 Remove &amp; Replace Accumulator 3</t>
  </si>
  <si>
    <t>T2 ML304 Remove &amp; Replace Accumulator 4</t>
  </si>
  <si>
    <t>16364007</t>
  </si>
  <si>
    <t>T1 333CV012 Return Roller Mech Repl</t>
  </si>
  <si>
    <t>333CV012 Replace Return Roller Mech RT</t>
  </si>
  <si>
    <t>16364086</t>
  </si>
  <si>
    <t>T2 FC031 Dart Chamber Intern Mech Repr</t>
  </si>
  <si>
    <t>T2 FC031 Dart Chamber Intern Repr Prep</t>
  </si>
  <si>
    <t>T2 FC031 Dart Chamber Intern Repr GT</t>
  </si>
  <si>
    <t>T2 FC031 Dart Chamber Opps Drain Wash</t>
  </si>
  <si>
    <t>T2 FC031 Dart Chamber Rubber Remove</t>
  </si>
  <si>
    <t>T2 FC031 Dart Chamber Parent Met Repr</t>
  </si>
  <si>
    <t>T2 FC031 Dart Chamber Rubber Line Repr</t>
  </si>
  <si>
    <t>T2 FC031 Dart Chamber Intern CS Sentry</t>
  </si>
  <si>
    <t>16364106</t>
  </si>
  <si>
    <t>T2 ML408 Accumulator Mech Repl</t>
  </si>
  <si>
    <t>T2 ML408 Bleed Oil Back to Sump</t>
  </si>
  <si>
    <t>T2 ML408 Remove &amp; Replace Accumulator 1</t>
  </si>
  <si>
    <t>T2 ML408 Remove &amp; Replace Accumulator 2</t>
  </si>
  <si>
    <t>T2 ML408 Remove &amp; Replace Accumulator 3</t>
  </si>
  <si>
    <t>T2 ML408 Remove &amp; Replace Accumulator 4</t>
  </si>
  <si>
    <t>T2 ML408 Accumulator Mech Repl 25T CD</t>
  </si>
  <si>
    <t>T2 ML408 Accumulator Mech Repl 25T RG</t>
  </si>
  <si>
    <t>16364117</t>
  </si>
  <si>
    <t>T2 332CH259 Square To Round Mech Repl</t>
  </si>
  <si>
    <t>T2 332CH259 Square To Round RG</t>
  </si>
  <si>
    <t>16364136</t>
  </si>
  <si>
    <t>351FI001 Plate #1 Mech Repl</t>
  </si>
  <si>
    <t>351FI128 Plate #1 Mech Repl</t>
  </si>
  <si>
    <t>16364138</t>
  </si>
  <si>
    <t>T2 FC026 Belt Mech Repl</t>
  </si>
  <si>
    <t>T2 FC026 Belt Scaff Hand Rail</t>
  </si>
  <si>
    <t>T2 FC026 Belt Replace 160T CD</t>
  </si>
  <si>
    <t>T2 FC026 Belt Replace 160T RG</t>
  </si>
  <si>
    <t>T2 FC026 Belt Scaff Remove</t>
  </si>
  <si>
    <t>16364295</t>
  </si>
  <si>
    <t>332ML001 SAG Conduit Replace</t>
  </si>
  <si>
    <t>332ML001 Elect Pre Shut Fabrication</t>
  </si>
  <si>
    <t>332ML001 Erect Scaffold</t>
  </si>
  <si>
    <t>332ML001Elec Replace Conduit &amp; Ladder</t>
  </si>
  <si>
    <t>332ML001 Dismantle Scaffold</t>
  </si>
  <si>
    <t>16364860</t>
  </si>
  <si>
    <t>332DI011 Floor Hot Spot Mech Repr</t>
  </si>
  <si>
    <t>332DI011 Pre Shut Scaff Access to Repair</t>
  </si>
  <si>
    <t>332DI011 Gas Test and Sentry</t>
  </si>
  <si>
    <t>332DI011 Remove Rubber Lining</t>
  </si>
  <si>
    <t>332DI011 Parent Steel Repair BM</t>
  </si>
  <si>
    <t>332DI011 Install Rubber Lining</t>
  </si>
  <si>
    <t>332DI011 Post Shut Scaff Dismantle</t>
  </si>
  <si>
    <t>16365180</t>
  </si>
  <si>
    <t>341FC031 Spillage Gutter Mech Install</t>
  </si>
  <si>
    <t>T2 FC031 Spillage Gutter Mech Inst Scaff</t>
  </si>
  <si>
    <t>T2 FC031 Spillage Gutter Mech Inst Fab</t>
  </si>
  <si>
    <t>T2 FC031 Spillage Gutter Mech Inst</t>
  </si>
  <si>
    <t>341FC031 discharge Gutter 160t CD</t>
  </si>
  <si>
    <t>341FC031 discharge Gutter 160t RG</t>
  </si>
  <si>
    <t>16365181</t>
  </si>
  <si>
    <t>T1 CV007 Weightmtr Rollers Mech inst</t>
  </si>
  <si>
    <t>T1 CV007 Weightmtr Rollers Belt Tech</t>
  </si>
  <si>
    <t>T1 CV007 Weightmtr Rollers Mech inst FT</t>
  </si>
  <si>
    <t>T1 CV007 Weightmtr Rollers Mech inst RG</t>
  </si>
  <si>
    <t>16365318</t>
  </si>
  <si>
    <t>T2 CV008 PT Max Rtn Frm 55 MPV Mech</t>
  </si>
  <si>
    <t>T2 CV008 PT Max Rtn Frm Repl</t>
  </si>
  <si>
    <t>16365320</t>
  </si>
  <si>
    <t>T1 CV012 RTN Trk Roller Mech Repl</t>
  </si>
  <si>
    <t>T1 CV012 RTN Trk Roller Mech Repl RG</t>
  </si>
  <si>
    <t>16365802</t>
  </si>
  <si>
    <t>SIM2023.3320.002_CF Hopper Halfcell test</t>
  </si>
  <si>
    <t>332HO031 Scaff Access Around Hopper</t>
  </si>
  <si>
    <t>332HO031 Half Cell Testing (DS ONLY)</t>
  </si>
  <si>
    <t>332HO031 Scaff Dismantle Around Hopper</t>
  </si>
  <si>
    <t>16366143</t>
  </si>
  <si>
    <t>352SA071 Holed Cutter Mech Replace</t>
  </si>
  <si>
    <t>352SA071 Holed Cutter Sentry</t>
  </si>
  <si>
    <t>16366226</t>
  </si>
  <si>
    <t>381PU639 Discharge elbow Mech Repl</t>
  </si>
  <si>
    <t>381PU639 Discharge Elbow 25T Franna CD</t>
  </si>
  <si>
    <t>381PU639 Discharge Elbow 25T Franna RG</t>
  </si>
  <si>
    <t>16366336</t>
  </si>
  <si>
    <t>332GC002 Feed Elbow Mech Repl</t>
  </si>
  <si>
    <t>332GC006 Feed Elbow Scaff Erect</t>
  </si>
  <si>
    <t>332GC006 Feed Elbow Scaff Strip</t>
  </si>
  <si>
    <t>16366486</t>
  </si>
  <si>
    <t>T1 341PU712 Sampler Teapot Mech Repr</t>
  </si>
  <si>
    <t>16366771</t>
  </si>
  <si>
    <t>T2 SN009 Spray Bar Mech Serv</t>
  </si>
  <si>
    <t>T2 SN009 Spray Bar Mech Serv Prep</t>
  </si>
  <si>
    <t>16366775</t>
  </si>
  <si>
    <t>Tr2 Ehouse Roof Replace</t>
  </si>
  <si>
    <t>332 Tr2 E-house Roof Scaffold Install</t>
  </si>
  <si>
    <t>332 Tr2 E-house Roof Mech Repl</t>
  </si>
  <si>
    <t>332 Tr2 E-house Roof Franner 25T CD</t>
  </si>
  <si>
    <t>332 Tr2 E-house Roof Franner 25T RG</t>
  </si>
  <si>
    <t>332 Tr2 E-house Roof Scaffold Removal</t>
  </si>
  <si>
    <t>16366988</t>
  </si>
  <si>
    <t>332ML003 T2SAG Trunion splash Guard INST</t>
  </si>
  <si>
    <t>T2 SAG Splash Guard Scaff Build</t>
  </si>
  <si>
    <t>T2 SAG Splash Guard Remove</t>
  </si>
  <si>
    <t>T2 SAG Splash Guard  Paint</t>
  </si>
  <si>
    <t>T2 SAG Splash Guard  Install</t>
  </si>
  <si>
    <t>T2 SAG Splash Guard Scaff Dismantle</t>
  </si>
  <si>
    <t>16366989</t>
  </si>
  <si>
    <t>332ML001 T1SAG Trunion splash Guard INST</t>
  </si>
  <si>
    <t>T1 SAG Trunion splash Guard -SCAFF</t>
  </si>
  <si>
    <t>T1 SAG Trunion splash Guard Remove</t>
  </si>
  <si>
    <t>T1 SAG Trunion splash Guard  Paint</t>
  </si>
  <si>
    <t>T1 SAG Trunion splash Guard  Install</t>
  </si>
  <si>
    <t>T1 SAG Trunion splash Guard scaff remove</t>
  </si>
  <si>
    <t>16367288</t>
  </si>
  <si>
    <t>341FC062 T2 Jamo Parent Metal Repairs</t>
  </si>
  <si>
    <t>341FC062 T2 Jamo Scaff Build Access</t>
  </si>
  <si>
    <t>341FC062 T2 Jamo Hatch Open</t>
  </si>
  <si>
    <t>341FC062 T2 Jamo Rubber Remove RL</t>
  </si>
  <si>
    <t>341FC062 T2 Jamo Steel Repairs BM</t>
  </si>
  <si>
    <t>341FC062 T2 Jamo Rubber Install RL</t>
  </si>
  <si>
    <t>341FC062 T2 Jamo Sentry</t>
  </si>
  <si>
    <t>341FC062 T2 Jamo Hatch Close</t>
  </si>
  <si>
    <t>341FC062 T2 Jamo Scaff Dismantle</t>
  </si>
  <si>
    <t>16367643</t>
  </si>
  <si>
    <t>T1 FC001 Flash Flot Chunky Vlv Mech Insp</t>
  </si>
  <si>
    <t>4M Flash Flot Cell Chunky Valve Inspect</t>
  </si>
  <si>
    <t>4M Flash Chunky Valve Elec Calibrate</t>
  </si>
  <si>
    <t>16367982</t>
  </si>
  <si>
    <t>T1 CV007 Tert 1 Scraper Mech Sevice</t>
  </si>
  <si>
    <t>16367984</t>
  </si>
  <si>
    <t>T1 CV011 Secondary Scraper Mech Service</t>
  </si>
  <si>
    <t>16367987</t>
  </si>
  <si>
    <t>T1 CV012 Secondary Scraper Mech Service</t>
  </si>
  <si>
    <t>16368420</t>
  </si>
  <si>
    <t>T2 CV008 Tert 1 Scraper Mech Sevice</t>
  </si>
  <si>
    <t>16368436</t>
  </si>
  <si>
    <t>T1 CV007-UT Inspection of Pulley Shafts</t>
  </si>
  <si>
    <t>T1 CV007-UT Inspection Check Inst Scaff</t>
  </si>
  <si>
    <t>T1 CV007-UT Inspection Check Scaff Down</t>
  </si>
  <si>
    <t>16368437</t>
  </si>
  <si>
    <t>T2 CV008-UT Inspection of Pulley Shafts</t>
  </si>
  <si>
    <t>T2 CV008-UT Inspection Check Inst Scaff</t>
  </si>
  <si>
    <t>T2 CV008-UT Inspection Check Scaff Down</t>
  </si>
  <si>
    <t>16368438</t>
  </si>
  <si>
    <t>T1 CV011-UT Inspection of Pulley Shafts</t>
  </si>
  <si>
    <t>T1 CV011-UT Inspection Check Inst Scaff</t>
  </si>
  <si>
    <t>T1 CV011-UT Inspection Check Scaff Down</t>
  </si>
  <si>
    <t>16368439</t>
  </si>
  <si>
    <t>T1 CV012-UT Inspection of Pulley Shafts</t>
  </si>
  <si>
    <t>T1 CV012-UT Inspection Check Inst Scaff</t>
  </si>
  <si>
    <t>T1 CV012-UT Inspection Check Scaff Down</t>
  </si>
  <si>
    <t>16368440</t>
  </si>
  <si>
    <t>T2 CV016-UT Inspection of Pulley Shafts</t>
  </si>
  <si>
    <t>T2 CV016-UT Inspection Check Inst Scaff</t>
  </si>
  <si>
    <t>T2 CV016-UT Inspection Check Scaff Down</t>
  </si>
  <si>
    <t>16368441</t>
  </si>
  <si>
    <t>T2 CV017-UT Inspection of Pulley Shafts</t>
  </si>
  <si>
    <t>T2 CV017-UT Inspection Check Inst Scaff</t>
  </si>
  <si>
    <t>T2 CV017-UT Inspection Check Scaff Down</t>
  </si>
  <si>
    <t>16368443</t>
  </si>
  <si>
    <t>T2 CV018-UT Inspection of Pulley Shafts</t>
  </si>
  <si>
    <t>T2 CV018-UT Inspection Check Inst Scaff</t>
  </si>
  <si>
    <t>T2 CV018-UT Inspection Check Scaff Down</t>
  </si>
  <si>
    <t>16368444</t>
  </si>
  <si>
    <t>T1 CV046-UT Inspection of Pulley Shafts</t>
  </si>
  <si>
    <t>T2 CV046-UT Inspection Check Inst Scaff</t>
  </si>
  <si>
    <t>T2 CV046-UT Inspection Check Scaff Down</t>
  </si>
  <si>
    <t>16368445</t>
  </si>
  <si>
    <t>T2 CV047-UT Inspection of Pulley Shafts</t>
  </si>
  <si>
    <t>T2 CV047-UT Inspection Check Inst Scaff</t>
  </si>
  <si>
    <t>T2 CV047-UT Inspection Check Scaff Down</t>
  </si>
  <si>
    <t>16368446</t>
  </si>
  <si>
    <t>T1 MG007-UT Inspection of Pulley Shafts</t>
  </si>
  <si>
    <t>T1 MG007-UT Inspection Check Inst Scaff</t>
  </si>
  <si>
    <t>T1 MG007-UT Inspection Check Scaff Down</t>
  </si>
  <si>
    <t>16368465</t>
  </si>
  <si>
    <t>T2 CV017 Secondary Scraper Mech Service</t>
  </si>
  <si>
    <t>16368467</t>
  </si>
  <si>
    <t>T2 CV016 Secondary Scraper Mech Service</t>
  </si>
  <si>
    <t>16368558</t>
  </si>
  <si>
    <t>T1 CV007 Plough Services Mech</t>
  </si>
  <si>
    <t>16368559</t>
  </si>
  <si>
    <t>T2 CV008 Plough Services Mech</t>
  </si>
  <si>
    <t>16368560</t>
  </si>
  <si>
    <t>T1 CV011 Plough Services Mech</t>
  </si>
  <si>
    <t>16368561</t>
  </si>
  <si>
    <t>T1 CV012 Plough Services Mech</t>
  </si>
  <si>
    <t>16368562</t>
  </si>
  <si>
    <t>T2 CV016 Plough Services Mech</t>
  </si>
  <si>
    <t>16368563</t>
  </si>
  <si>
    <t>T2 MG009-UT Inspection of Pulley Shafts</t>
  </si>
  <si>
    <t>T2 MG009-UT Inspection Check Inst Scaff</t>
  </si>
  <si>
    <t>T2 MG009-UT Inspection Check Scaff Down</t>
  </si>
  <si>
    <t>16368564</t>
  </si>
  <si>
    <t>T2 CV017 Plough Services Mech</t>
  </si>
  <si>
    <t>16368567</t>
  </si>
  <si>
    <t>T1 PU193 Belts And Pulleys Mech Repl</t>
  </si>
  <si>
    <t>16368788</t>
  </si>
  <si>
    <t>T2 FC032 Cu Rough Con V/V to Cleanrs Mec</t>
  </si>
  <si>
    <t>T2 FC032 Cu Rough Con V/V to Clnrs Prep</t>
  </si>
  <si>
    <t>T2 FC032 Cu Rough Con V/V Scaff Up</t>
  </si>
  <si>
    <t>T2 FC032 Cu Rou Con V/V Clnrs Mech Repl</t>
  </si>
  <si>
    <t>T2 FC032 Cu Rou Con V/V Clnrs 160T CD</t>
  </si>
  <si>
    <t>T2 FC032 Cu Rou Con V/V Clnrs 160T RG</t>
  </si>
  <si>
    <t>T2 FC032 Cu Rough Con V/V Scaff Down</t>
  </si>
  <si>
    <t>16368925</t>
  </si>
  <si>
    <t>332SN009 T2 Mill Pebble Screen Mech Repl</t>
  </si>
  <si>
    <t>4M Pebble Scrn Panels Mech Inspect</t>
  </si>
  <si>
    <t>4M Screen Spray Bar Mech Inspect</t>
  </si>
  <si>
    <t>4M Pebble Scrn Panels Parts Prep</t>
  </si>
  <si>
    <t>4M Pebble Screen Panels Erect Scaff</t>
  </si>
  <si>
    <t>4M Pebble Scrn Panels Mech Replace</t>
  </si>
  <si>
    <t>4M Pebble Screen Panels Dismantle Scaff</t>
  </si>
  <si>
    <t>16370069</t>
  </si>
  <si>
    <t>341PU222 Jamo Belt Guards Mech Repair</t>
  </si>
  <si>
    <t>341PU222 Jamo Belt Guards 25T Franna CD</t>
  </si>
  <si>
    <t>341PU222 Jamo Belt Guards 25T Franna RG</t>
  </si>
  <si>
    <t>16370684</t>
  </si>
  <si>
    <t>332ML002 TR1 BM FE Lub Ret Line Mch Fab/</t>
  </si>
  <si>
    <t>Tr1 ML002 Lube Return Pipe Scaff Prep</t>
  </si>
  <si>
    <t>Tr1 ML002 Lube Return Pipe Measure &amp; Cut</t>
  </si>
  <si>
    <t>Tr1 ML002 Lube Pipe Fit Flange &amp; Spools</t>
  </si>
  <si>
    <t>Tr1 ML002 Lube Return Pipe Repl 25T CD</t>
  </si>
  <si>
    <t>Tr1 ML002 Lube Return Pipe Repl 25T RG</t>
  </si>
  <si>
    <t>Tr1 ML002 Lube Return Pipe Scaff Remove</t>
  </si>
  <si>
    <t>16370733</t>
  </si>
  <si>
    <t>332ML001 SAG Brake calipers Mech Repl</t>
  </si>
  <si>
    <t>T1 SAG Brake Caliper Repl Prep</t>
  </si>
  <si>
    <t>T1 SAG Brake Install Scaff Platform</t>
  </si>
  <si>
    <t>T1 SAG Brake Caliper Mech Repl</t>
  </si>
  <si>
    <t>T1 SAG Brake Caliper 160T CD</t>
  </si>
  <si>
    <t>T1 SAG Brake Remove Scaff Platform</t>
  </si>
  <si>
    <t>16371036</t>
  </si>
  <si>
    <t>341FC007 and FC008 Full Clean CM Insp</t>
  </si>
  <si>
    <t>16371037</t>
  </si>
  <si>
    <t>342TA005 and TA006 Full Clean CM Insp</t>
  </si>
  <si>
    <t>16371038</t>
  </si>
  <si>
    <t>342TA010 and TA011 Full Clean CM Insp</t>
  </si>
  <si>
    <t>16371155</t>
  </si>
  <si>
    <t>T2 341 Cu Rough 3M Agi Reverse Switch</t>
  </si>
  <si>
    <t>16371165</t>
  </si>
  <si>
    <t>10050FI128 Filter Plates Seals Repl</t>
  </si>
  <si>
    <t>10050FI128 Filter Plates Seals Repalce</t>
  </si>
  <si>
    <t>16371310</t>
  </si>
  <si>
    <t>T2 TA111 POLY line Mech Repr</t>
  </si>
  <si>
    <t>16371510</t>
  </si>
  <si>
    <t>332TA137 Top up valve Mech Repl</t>
  </si>
  <si>
    <t>Electrical Disconnect Actuator</t>
  </si>
  <si>
    <t>Remove &amp; Replace Valve 1 &amp; Actuator</t>
  </si>
  <si>
    <t>Remove &amp; Replace Valve 2</t>
  </si>
  <si>
    <t>Electrical Reconnect Actuator</t>
  </si>
  <si>
    <t>16372018</t>
  </si>
  <si>
    <t>332BX013/14 Water ADD Isol valve INST</t>
  </si>
  <si>
    <t>332BX013/14 Water ADD steel pipe REMOVE</t>
  </si>
  <si>
    <t>332BX013/14 Water ADD poly FAB INST</t>
  </si>
  <si>
    <t>16372041</t>
  </si>
  <si>
    <t>T1 333CV011 P5 RH-side Bearing Mech Repl</t>
  </si>
  <si>
    <t>T1 333CV011 Pulley Brng Rplce Mech Prep</t>
  </si>
  <si>
    <t>T1 333CV011 Counterweight Mech Lift</t>
  </si>
  <si>
    <t>T1 333CV011 Counterweight Lift 160T CD</t>
  </si>
  <si>
    <t>T1 333CV011 Counterweight Lift 160T RG</t>
  </si>
  <si>
    <t>T1 333CV011 Pulley Brng Mech Rplce</t>
  </si>
  <si>
    <t>T1 333CV011 Counterweight Mech Lower</t>
  </si>
  <si>
    <t>T1 333CV011 Counterweight Lower 160T CD</t>
  </si>
  <si>
    <t>T1 333CV011 Counterweight Lower 160T RG</t>
  </si>
  <si>
    <t>16372327</t>
  </si>
  <si>
    <t>332CV007 Trial Grid mesh platform inst</t>
  </si>
  <si>
    <t>16372769</t>
  </si>
  <si>
    <t>T1 DI011 Inlet Spigot Parent Metal Mech</t>
  </si>
  <si>
    <t>T1 DI011 Inlet Spigot Parent Metal Prep</t>
  </si>
  <si>
    <t>T1 DI011 Inlet Spigot Parent Metal GT</t>
  </si>
  <si>
    <t>T1 DI011 Inlet Spigot Parent Rubber Line</t>
  </si>
  <si>
    <t>T1 DI011 Inlet Spigot Parent Metal Sentr</t>
  </si>
  <si>
    <t>16373233</t>
  </si>
  <si>
    <t>332ML308 Trunnion grease line Mech Repr</t>
  </si>
  <si>
    <t>16373531</t>
  </si>
  <si>
    <t>T1 CV007 Tert 2 Scraper Tips Mech Repl</t>
  </si>
  <si>
    <t>16373532</t>
  </si>
  <si>
    <t>T2 CV008 Tert 2 Scraper Tips Mech Repl</t>
  </si>
  <si>
    <t>16373533</t>
  </si>
  <si>
    <t>T1 CV011 Tert 1 Scraper Tips Mech Repl</t>
  </si>
  <si>
    <t>16373534</t>
  </si>
  <si>
    <t>T2 CV016 Tert 1 Scraper Tips Mech Repl</t>
  </si>
  <si>
    <t>Welder</t>
  </si>
  <si>
    <t>Rhett Eylward</t>
  </si>
  <si>
    <t>Jesus Eclarino</t>
  </si>
  <si>
    <t>Victor Itchon</t>
  </si>
  <si>
    <t>Rolando Ola</t>
  </si>
  <si>
    <t>Neil Nopueto</t>
  </si>
  <si>
    <t>Renato Navales</t>
  </si>
  <si>
    <t>Boltprep</t>
  </si>
  <si>
    <t>Kenneth 	Gray</t>
  </si>
  <si>
    <t>Darren 	Lee</t>
  </si>
  <si>
    <t>Paul 	Sant</t>
  </si>
  <si>
    <t>Kalen 	Di Re</t>
  </si>
  <si>
    <t>Elia 	Giller</t>
  </si>
  <si>
    <t>Richard 	Hittmann</t>
  </si>
  <si>
    <t>Coordinator</t>
  </si>
  <si>
    <t>Crane Op 320T</t>
  </si>
  <si>
    <t>Vanja Sankovic</t>
  </si>
  <si>
    <t>Benjamin Dougan</t>
  </si>
  <si>
    <t>Alhassan Koromah</t>
  </si>
  <si>
    <t>Aidan Taylor</t>
  </si>
  <si>
    <t>Herwin Herwin</t>
  </si>
  <si>
    <t>Steve Mackintosh</t>
  </si>
  <si>
    <t>Egidio De Freitas</t>
  </si>
  <si>
    <t>Eron Edwards</t>
  </si>
  <si>
    <t>Gilies Sudrot</t>
  </si>
  <si>
    <t>Tanirau Paki</t>
  </si>
  <si>
    <t>Tommi Harkins</t>
  </si>
  <si>
    <t>Shannon McGregor</t>
  </si>
  <si>
    <t>William Berry</t>
  </si>
  <si>
    <t>Robert Jones</t>
  </si>
  <si>
    <t xml:space="preserve">Maruariki Lucky </t>
  </si>
  <si>
    <t>Thomas Speck</t>
  </si>
  <si>
    <t>Sean Doherty</t>
  </si>
  <si>
    <t>David O'Brien</t>
  </si>
  <si>
    <t>Jamie Hartley</t>
  </si>
  <si>
    <t>Madeleine Davidson</t>
  </si>
  <si>
    <t>Simon Tanti</t>
  </si>
  <si>
    <t>Richard Chambers</t>
  </si>
  <si>
    <t>CIBS</t>
  </si>
  <si>
    <t>Jamie	Abbott-Hemsley</t>
  </si>
  <si>
    <t>Soufiane	 El Bouaazizi</t>
  </si>
  <si>
    <t>Jonathan Gevers</t>
  </si>
  <si>
    <t>Gregory 	Cooper</t>
  </si>
  <si>
    <t>Craig Thomas</t>
  </si>
  <si>
    <t>Moses Salipupe</t>
  </si>
  <si>
    <t>Wade Sutherland</t>
  </si>
  <si>
    <t>Craig Matthews</t>
  </si>
  <si>
    <t>Evan Capell</t>
  </si>
  <si>
    <t>Charles Egwurugwu</t>
  </si>
  <si>
    <t>Peng Jiang</t>
  </si>
  <si>
    <t>Yanan Wang</t>
  </si>
  <si>
    <t>Joselito	 Resurreccion</t>
  </si>
  <si>
    <t xml:space="preserve">Jean-Paul 	Bessell
</t>
  </si>
  <si>
    <t xml:space="preserve">Gary	Hullen </t>
  </si>
  <si>
    <t>Sean Hayden</t>
  </si>
  <si>
    <t>Jovencio Ogana</t>
  </si>
  <si>
    <t>John Ladra</t>
  </si>
  <si>
    <t>Nikola Movre</t>
  </si>
  <si>
    <t>Joel Forward</t>
  </si>
  <si>
    <t>Renan Galang</t>
  </si>
  <si>
    <t>Robert Cabingas</t>
  </si>
  <si>
    <t>Ivan Movre</t>
  </si>
  <si>
    <t>ERM</t>
  </si>
  <si>
    <t>Technician</t>
  </si>
  <si>
    <t>Electrician</t>
  </si>
  <si>
    <t>Gavin Parker</t>
  </si>
  <si>
    <t>Daniel Butcher</t>
  </si>
  <si>
    <t>Brodie Dorotich</t>
  </si>
  <si>
    <t>Chad Zahradnik</t>
  </si>
  <si>
    <t>Michael Rogowski</t>
  </si>
  <si>
    <t>Craig Bell</t>
  </si>
  <si>
    <t>Cameron Dailey</t>
  </si>
  <si>
    <t>Elih Bonfield</t>
  </si>
  <si>
    <t>Flynn Callum</t>
  </si>
  <si>
    <t>Joshua Maley</t>
  </si>
  <si>
    <t>Geraldton Hydraulics</t>
  </si>
  <si>
    <t xml:space="preserve">Hydraulic Technican </t>
  </si>
  <si>
    <t>Leading Hand</t>
  </si>
  <si>
    <t>Samuel Pluchke</t>
  </si>
  <si>
    <t>Jack Pluschke</t>
  </si>
  <si>
    <t>Kahill Hipper</t>
  </si>
  <si>
    <t>GMR Services</t>
  </si>
  <si>
    <t>Liam Flannigan</t>
  </si>
  <si>
    <t>Jake Davis</t>
  </si>
  <si>
    <t>Michael Evans</t>
  </si>
  <si>
    <t>Jorge Baeza</t>
  </si>
  <si>
    <t>Jahvik Leng-Ware</t>
  </si>
  <si>
    <t>Paul Dean</t>
  </si>
  <si>
    <t>Oliver Kobler</t>
  </si>
  <si>
    <t>Daniel Meyer</t>
  </si>
  <si>
    <t>Jack Bell</t>
  </si>
  <si>
    <t>Quentin Peikriszwili Smith</t>
  </si>
  <si>
    <t>Scott Jones</t>
  </si>
  <si>
    <t>Reynaldo Atienza</t>
  </si>
  <si>
    <t>Alberto Eulogio</t>
  </si>
  <si>
    <t>Craig Duff</t>
  </si>
  <si>
    <t>Paul Hardy</t>
  </si>
  <si>
    <t>Jamie Woodward</t>
  </si>
  <si>
    <t>Isaac Cheyne</t>
  </si>
  <si>
    <t>Brendo Calawa</t>
  </si>
  <si>
    <t xml:space="preserve">Jefferson Valcueba
</t>
  </si>
  <si>
    <t>Khalid Carlos Salmani</t>
  </si>
  <si>
    <t>Jamie Quinn</t>
  </si>
  <si>
    <t>Jayden Watkins</t>
  </si>
  <si>
    <t>Samuel Foster</t>
  </si>
  <si>
    <t>Ethan Maitland</t>
  </si>
  <si>
    <t>Allan Spencer</t>
  </si>
  <si>
    <t>Jason Jeanes</t>
  </si>
  <si>
    <t>Jordan Chesson</t>
  </si>
  <si>
    <t>Nicholas Barker</t>
  </si>
  <si>
    <t xml:space="preserve">Impact </t>
  </si>
  <si>
    <t>Rubber Liner</t>
  </si>
  <si>
    <t>Jacob Pollock</t>
  </si>
  <si>
    <t>Ethan Cox</t>
  </si>
  <si>
    <t>Rhys Kirkland</t>
  </si>
  <si>
    <t>Chris Hewinson</t>
  </si>
  <si>
    <t>Zane Singelton</t>
  </si>
  <si>
    <t>Matthew Cappelluti</t>
  </si>
  <si>
    <t>Noel Scanlon</t>
  </si>
  <si>
    <t>Daniel Moss</t>
  </si>
  <si>
    <t>Joshua Mader</t>
  </si>
  <si>
    <t>Rhys Owen</t>
  </si>
  <si>
    <t>Haresh Butani</t>
  </si>
  <si>
    <t>Instrowest</t>
  </si>
  <si>
    <t>Intercom</t>
  </si>
  <si>
    <t>Jaidyn	Wilson</t>
  </si>
  <si>
    <t>Adrian	Butler</t>
  </si>
  <si>
    <t xml:space="preserve">Kieran 	Walsh </t>
  </si>
  <si>
    <t>Jaco 	De Jager</t>
  </si>
  <si>
    <t>Carl 	Richardson</t>
  </si>
  <si>
    <t>Calum Fletcher</t>
  </si>
  <si>
    <t>Jacob Silverman</t>
  </si>
  <si>
    <t>Hein Wessels</t>
  </si>
  <si>
    <t>Christian Deysel</t>
  </si>
  <si>
    <t>Braydon Richardson</t>
  </si>
  <si>
    <t>Pieter Corné De Wit</t>
  </si>
  <si>
    <t>Richardt McLachlan</t>
  </si>
  <si>
    <t>Peter Mollentze</t>
  </si>
  <si>
    <t>Thomas  Robertson</t>
  </si>
  <si>
    <t>KSB</t>
  </si>
  <si>
    <t>Pump Technician</t>
  </si>
  <si>
    <t xml:space="preserve">Conveyor Tech </t>
  </si>
  <si>
    <t>Cowen Stokes</t>
  </si>
  <si>
    <t>Owen Barrett</t>
  </si>
  <si>
    <t>Jarod Brown</t>
  </si>
  <si>
    <t>James Austin</t>
  </si>
  <si>
    <t>Kurtz Tia</t>
  </si>
  <si>
    <t>Elis Cotter</t>
  </si>
  <si>
    <t>Adam Rayson</t>
  </si>
  <si>
    <t>Trent Bradford</t>
  </si>
  <si>
    <t>Samuel Cox</t>
  </si>
  <si>
    <t>Nicholas Sfetsos</t>
  </si>
  <si>
    <t>Miguel Gross</t>
  </si>
  <si>
    <t>Corey Reade</t>
  </si>
  <si>
    <t>Callum Mcdonald</t>
  </si>
  <si>
    <t>Jaedyn Fisher</t>
  </si>
  <si>
    <t>Sebastien Lebreton</t>
  </si>
  <si>
    <t>Benjamine McCue</t>
  </si>
  <si>
    <t>John (Jack) Maude</t>
  </si>
  <si>
    <t>Jarod Steinmann</t>
  </si>
  <si>
    <t>Stuart Brewster</t>
  </si>
  <si>
    <t>Lorenzo Bendetti</t>
  </si>
  <si>
    <t>Callum Baker</t>
  </si>
  <si>
    <t>Yannick Hofman</t>
  </si>
  <si>
    <t>Connor Henwood</t>
  </si>
  <si>
    <t>Lewis Foster</t>
  </si>
  <si>
    <t>Bjarne Schneider</t>
  </si>
  <si>
    <t>Juergen Allikmaa</t>
  </si>
  <si>
    <t>Cameron Jones</t>
  </si>
  <si>
    <t>Cedric Puffer</t>
  </si>
  <si>
    <t>Edward Reeves</t>
  </si>
  <si>
    <t>Lloyd Rego</t>
  </si>
  <si>
    <t>Paul Taylor</t>
  </si>
  <si>
    <t>Jan Hildebrand</t>
  </si>
  <si>
    <t>Joshua Mills</t>
  </si>
  <si>
    <t>Shivam Marwaha</t>
  </si>
  <si>
    <t>Mohamed Sambou</t>
  </si>
  <si>
    <t>Samir Bouarioua</t>
  </si>
  <si>
    <t>Florian Chavot</t>
  </si>
  <si>
    <t>Alan Jones</t>
  </si>
  <si>
    <t>David Newman</t>
  </si>
  <si>
    <t>Prowest Electrical</t>
  </si>
  <si>
    <t>Terence Kelly</t>
  </si>
  <si>
    <t>Charlie Hill</t>
  </si>
  <si>
    <t>Beau Gillam</t>
  </si>
  <si>
    <t>Joshua Byl</t>
  </si>
  <si>
    <t>Supervisor Sentry</t>
  </si>
  <si>
    <t xml:space="preserve">Sentry Control </t>
  </si>
  <si>
    <t xml:space="preserve">Supervisor Scaff </t>
  </si>
  <si>
    <t xml:space="preserve">Forklift Driver </t>
  </si>
  <si>
    <t>Sentry/ Gas tester</t>
  </si>
  <si>
    <t>Admin</t>
  </si>
  <si>
    <t>Jacqueline  	Mather</t>
  </si>
  <si>
    <t xml:space="preserve">Kioni 	James </t>
  </si>
  <si>
    <t>Christopher Maloney</t>
  </si>
  <si>
    <t>Ralph Mclelland</t>
  </si>
  <si>
    <t>Kevin Parrott</t>
  </si>
  <si>
    <t>Casey Pompey</t>
  </si>
  <si>
    <t>Russell Tawaka</t>
  </si>
  <si>
    <t>Ariel 	Ini</t>
  </si>
  <si>
    <t>Aymeric Boulme</t>
  </si>
  <si>
    <t xml:space="preserve">Gautier Badibanga </t>
  </si>
  <si>
    <t>Anthony Shirren</t>
  </si>
  <si>
    <t>Raphael 	Monet</t>
  </si>
  <si>
    <t>Thomas Neidecker</t>
  </si>
  <si>
    <t>Paul Corkill</t>
  </si>
  <si>
    <t>Suparach Kanjrak</t>
  </si>
  <si>
    <t>Jacob 	Stanton</t>
  </si>
  <si>
    <t>Lee Elliot</t>
  </si>
  <si>
    <t>Boon Faatagi</t>
  </si>
  <si>
    <t>Bonggi 	Cho</t>
  </si>
  <si>
    <t>Lewis Cadle</t>
  </si>
  <si>
    <t>Mathieu Savelli</t>
  </si>
  <si>
    <t>Andre Basset-Torrisheba</t>
  </si>
  <si>
    <t xml:space="preserve">Joshua 	Fitzgerald </t>
  </si>
  <si>
    <t>Martin Ray Cooper</t>
  </si>
  <si>
    <t>Robert Downs</t>
  </si>
  <si>
    <t>Enrique - Alario	 Gillies</t>
  </si>
  <si>
    <t>Maxime 	Moutama</t>
  </si>
  <si>
    <t>Nuno 	Viana</t>
  </si>
  <si>
    <t>Douglas Chigot</t>
  </si>
  <si>
    <t>Kodi Kemp</t>
  </si>
  <si>
    <t>Wayne- David Hetaraka</t>
  </si>
  <si>
    <t>Kahu 	Ngataki Prattley</t>
  </si>
  <si>
    <t>Mathieu Brehier</t>
  </si>
  <si>
    <t xml:space="preserve">Nicolas 	Fleury </t>
  </si>
  <si>
    <t xml:space="preserve">Ayrton 	Cena </t>
  </si>
  <si>
    <t xml:space="preserve">Denise 	Meaney </t>
  </si>
  <si>
    <t>Meliwan Chanthalavong</t>
  </si>
  <si>
    <t>Francois Artis</t>
  </si>
  <si>
    <t>Lucie Artis</t>
  </si>
  <si>
    <t>Dinnesh Hari</t>
  </si>
  <si>
    <t xml:space="preserve">Chloe 	Cameron </t>
  </si>
  <si>
    <t xml:space="preserve">Alix 	Garnier </t>
  </si>
  <si>
    <t>Gail Hendriksen</t>
  </si>
  <si>
    <t xml:space="preserve">Rochelle 	Luppino </t>
  </si>
  <si>
    <t>Jasper 	Mcgregor</t>
  </si>
  <si>
    <t xml:space="preserve">Camila 	Gisfredi </t>
  </si>
  <si>
    <t xml:space="preserve">Melanie 	Benz </t>
  </si>
  <si>
    <t>Jhessy Costa</t>
  </si>
  <si>
    <t>Chelsea Finch</t>
  </si>
  <si>
    <t>Andrea Caruso</t>
  </si>
  <si>
    <t xml:space="preserve">Macode 	Gomis </t>
  </si>
  <si>
    <t>Marie Mariscal</t>
  </si>
  <si>
    <t>Leide 	Kerr</t>
  </si>
  <si>
    <t>Marina Sanchez</t>
  </si>
  <si>
    <t xml:space="preserve">Giovana Oliveira </t>
  </si>
  <si>
    <t>Te Raukohe Kingi</t>
  </si>
  <si>
    <t xml:space="preserve">Elizabeth 	Williams </t>
  </si>
  <si>
    <t>Dallas Rage</t>
  </si>
  <si>
    <t>Silvia 	Lopez Feliu</t>
  </si>
  <si>
    <t>Celia 	Rousseeu</t>
  </si>
  <si>
    <t xml:space="preserve">Alexandra 	Pruneau </t>
  </si>
  <si>
    <t>Abegail 	Landicho</t>
  </si>
  <si>
    <t>Eloise Edman</t>
  </si>
  <si>
    <t>Thi Tam Trinh</t>
  </si>
  <si>
    <t xml:space="preserve">Joshua 	Button </t>
  </si>
  <si>
    <t xml:space="preserve">Maeva 	Charriere </t>
  </si>
  <si>
    <t>Andrew Cox</t>
  </si>
  <si>
    <t>Illia Battistessa</t>
  </si>
  <si>
    <t>Michael Patrick</t>
  </si>
  <si>
    <t>Ross Graham</t>
  </si>
  <si>
    <t>Riccardo Manna</t>
  </si>
  <si>
    <t>Maxwell Gundill</t>
  </si>
  <si>
    <t>Ram Grinberg</t>
  </si>
  <si>
    <t>Leonie Morley</t>
  </si>
  <si>
    <t>Manuel 	Wagner</t>
  </si>
  <si>
    <t>Renato	Tubat</t>
  </si>
  <si>
    <t>Serzan Baba</t>
  </si>
  <si>
    <t>Tony Morley</t>
  </si>
  <si>
    <t>Komalpreet Singh</t>
  </si>
  <si>
    <t>Justin 	Okuefuna</t>
  </si>
  <si>
    <t>Peter Boutrus</t>
  </si>
  <si>
    <t>John 	Strother</t>
  </si>
  <si>
    <t>Rajendra 	Gujalwad</t>
  </si>
  <si>
    <t xml:space="preserve">	
Martin 	Illyes	
</t>
  </si>
  <si>
    <t>Rohit 	Pawar</t>
  </si>
  <si>
    <t>Alberto 	Cassetta</t>
  </si>
  <si>
    <t>Gaetano Mannello</t>
  </si>
  <si>
    <t>Dean Naisbitt</t>
  </si>
  <si>
    <t>Stephen Yeates</t>
  </si>
  <si>
    <t>Marius Oosthuizen</t>
  </si>
  <si>
    <t>Royston Burns</t>
  </si>
  <si>
    <t>Dorian Massol</t>
  </si>
  <si>
    <t>Joel Tarchini</t>
  </si>
  <si>
    <t>Fabian Schäfer</t>
  </si>
  <si>
    <t xml:space="preserve">Joshuer Thompson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</si>
  <si>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Merjay Reyes</t>
  </si>
  <si>
    <t>David Fust</t>
  </si>
  <si>
    <t>Vinny 	Meek</t>
  </si>
  <si>
    <t>Mattis Moeller</t>
  </si>
  <si>
    <t>James Kilby</t>
  </si>
  <si>
    <t>Renan Sanchez</t>
  </si>
  <si>
    <t>Rafik Tahir</t>
  </si>
  <si>
    <t>Clovis Mamwanga Wawa</t>
  </si>
  <si>
    <t>Fletcher 	Wilkinson</t>
  </si>
  <si>
    <t>George Mathew</t>
  </si>
  <si>
    <t>Dylan 	Walsh</t>
  </si>
  <si>
    <t>Bodie Butler</t>
  </si>
  <si>
    <t>Paul Woodcock</t>
  </si>
  <si>
    <t>Milena Peloux</t>
  </si>
  <si>
    <t>Twomeys</t>
  </si>
  <si>
    <t>Damian Davies</t>
  </si>
  <si>
    <t>Anthony Bailey</t>
  </si>
  <si>
    <t>Jesse Ellis</t>
  </si>
  <si>
    <t>Elliot Smith</t>
  </si>
  <si>
    <t xml:space="preserve">APMS </t>
  </si>
  <si>
    <t xml:space="preserve">PO </t>
  </si>
  <si>
    <t>GHD</t>
  </si>
  <si>
    <t>GMRS</t>
  </si>
  <si>
    <t>Impact</t>
  </si>
  <si>
    <t>Prowest</t>
  </si>
  <si>
    <t>16348714</t>
  </si>
  <si>
    <t>16348852</t>
  </si>
  <si>
    <t>16364137</t>
  </si>
  <si>
    <t>16373266</t>
  </si>
  <si>
    <t>16347739</t>
  </si>
  <si>
    <t>16347741</t>
  </si>
  <si>
    <t>16348719</t>
  </si>
  <si>
    <t>16351579</t>
  </si>
  <si>
    <t>16351580</t>
  </si>
  <si>
    <t>16351635</t>
  </si>
  <si>
    <t>16356848</t>
  </si>
  <si>
    <t>16356910</t>
  </si>
  <si>
    <t>16371373</t>
  </si>
  <si>
    <t>16351686</t>
  </si>
  <si>
    <t>0118</t>
  </si>
  <si>
    <t>T1 DI001 Cyclone Valves Elec Svce</t>
  </si>
  <si>
    <t>342PU270 Cons Py Rougher Mech Ovhl</t>
  </si>
  <si>
    <t>341FC012 Belts Twisted Mech Repl</t>
  </si>
  <si>
    <t>332CY036 Feed Valve Mech Repl</t>
  </si>
  <si>
    <t>T1 Mill Shut Contractor Supv Allocation</t>
  </si>
  <si>
    <t>T2 Mill Shut Contractor Supv Allocation</t>
  </si>
  <si>
    <t>Mill Maint Post Shut Clean Up Allocation</t>
  </si>
  <si>
    <t>4M Mill Maint Pre Shut Ops Allocation</t>
  </si>
  <si>
    <t>Mill Shut Contract Stand Down Allocation</t>
  </si>
  <si>
    <t>Mill Shutdown Contract Travel Allocation</t>
  </si>
  <si>
    <t>Mill Pre Shut Contract Review Allocation</t>
  </si>
  <si>
    <t>Mill Pre Shut Kit and Stage Allocation</t>
  </si>
  <si>
    <t>T2 PU229 Cu Cons Cleaner ORIFICE install</t>
  </si>
  <si>
    <t>Contrct Supv Pre Shut Briefing Allocatio</t>
  </si>
  <si>
    <t>4M 6E AHF Warman Pump Ops Isolate</t>
  </si>
  <si>
    <t>4M 6E AHF Warman Pump Mech Ovhl</t>
  </si>
  <si>
    <t>4M 6E AHF Warman Pump Ovhl 20T CD</t>
  </si>
  <si>
    <t>4M 6E AHF Warman Pump Ops Deisolate</t>
  </si>
  <si>
    <t>341FC012 Belts Twisted Scaff Handrail</t>
  </si>
  <si>
    <t>341FC012 Belts Twisted CD Shut</t>
  </si>
  <si>
    <t>Repl feed valve</t>
  </si>
  <si>
    <t>4M Minor Mill Shut SMS SC Supervision</t>
  </si>
  <si>
    <t>4M Minor Mill Shut APMS Supervision</t>
  </si>
  <si>
    <t>4M Minor Mill Shut BoltPrep Supervision</t>
  </si>
  <si>
    <t>4M Minor Mill Shut Boom Supervision</t>
  </si>
  <si>
    <t>4M Minor Mill Shut CIBS Supervision</t>
  </si>
  <si>
    <t>4M Minor Mill Shut GMRS Supervision</t>
  </si>
  <si>
    <t>4M Minor Mill Shut Impact Supervision</t>
  </si>
  <si>
    <t>4M Minor Mill Shut Intercom Supervision</t>
  </si>
  <si>
    <t>4M Minor Mill Shut KSB Supervision</t>
  </si>
  <si>
    <t>4M Minor Mill Shut MPV Supervision</t>
  </si>
  <si>
    <t>4M Minor Mill Shut SMS Coordinator</t>
  </si>
  <si>
    <t>4M Minor Mill Shut SMS SE Supervision</t>
  </si>
  <si>
    <t>4M Minor Mill Shut TMS Coordinator</t>
  </si>
  <si>
    <t>4M Minor Mill Shut TMS Supervision</t>
  </si>
  <si>
    <t>4M Shut Down Clean Up GMRS Mech</t>
  </si>
  <si>
    <t>4M Shut Down Clean Up Franna 25T CD</t>
  </si>
  <si>
    <t>4M Mill Shut Sentry Down Time</t>
  </si>
  <si>
    <t>4M Mill Shut Scaffolder Down Time</t>
  </si>
  <si>
    <t>4M Mill Shut Franna Driver Down Time</t>
  </si>
  <si>
    <t>4M Travel &amp; Onboard SMS Scaff Supervisor</t>
  </si>
  <si>
    <t>4M Travel &amp; Onboard SMS SentrySupervisor</t>
  </si>
  <si>
    <t>4M Travel &amp; Onboard SMS Scaff</t>
  </si>
  <si>
    <t>4M Travel &amp; Onboard SMS Sentry</t>
  </si>
  <si>
    <t>4M Travel &amp; Onboard TMS Supervisor</t>
  </si>
  <si>
    <t>4M Travel &amp; Onboard TMS Mech</t>
  </si>
  <si>
    <t>4M Travel &amp; Onboard TMS BM</t>
  </si>
  <si>
    <t>4M Travel &amp; Onboard KSB Supervisor</t>
  </si>
  <si>
    <t>4M Travel &amp; Onboard KSB Mech</t>
  </si>
  <si>
    <t>4M Travel &amp; Onboard Impact Supervisor</t>
  </si>
  <si>
    <t>4M Travel &amp; Onboard Impact RL</t>
  </si>
  <si>
    <t>4M Travel &amp; Onboard Gero Hydrualics</t>
  </si>
  <si>
    <t>4M Travel &amp; Onboard Boom Supervisor</t>
  </si>
  <si>
    <t>4M Travel &amp; Onboard Boom CD</t>
  </si>
  <si>
    <t>4M Travel &amp; Onboard Boom RG</t>
  </si>
  <si>
    <t>4M Travel &amp; Onboard MPV Supervisor</t>
  </si>
  <si>
    <t>4M Travel &amp; Onboard MPV Mech</t>
  </si>
  <si>
    <t>4M Travel &amp; Onboard MPV Belt Tech</t>
  </si>
  <si>
    <t>4M Travel &amp; Onboard MPV Boily</t>
  </si>
  <si>
    <t>4M Mill Shut Gantt and WO Review Impact</t>
  </si>
  <si>
    <t>4M Mill Shut Gantt and WO Review MPV</t>
  </si>
  <si>
    <t>4M Mill Shut Gantt and WO Review BOOM</t>
  </si>
  <si>
    <t>4M Mill Shut Gantt and WO Review SMS</t>
  </si>
  <si>
    <t>4M Mill Shut Gantt and WO Review Inter</t>
  </si>
  <si>
    <t>4M Mill Shut Gantt and WO Review TMS</t>
  </si>
  <si>
    <t>4M Mill Shut Gantt and WO Review GEC</t>
  </si>
  <si>
    <t>4M Mill Pre Shutdown Kitting and Staging</t>
  </si>
  <si>
    <t>4M Mill Pre Shutdown 25T CD</t>
  </si>
  <si>
    <t>Erect Handrail Extension &amp; Platform</t>
  </si>
  <si>
    <t>PU229 ORIFICE Rubber Gasket Fab &amp; Glue</t>
  </si>
  <si>
    <t>PU229 Cu Cons Cleaner ORIFICE Install</t>
  </si>
  <si>
    <t>4M Contr Supv Pre Shut Debrief Boom</t>
  </si>
  <si>
    <t>4M Contr Supv Pre Shut Debrief Intercom</t>
  </si>
  <si>
    <t>4M Contr Supv Pre Shut Debrief Impact</t>
  </si>
  <si>
    <t>4M Contr Supv Pre Shut Debrief SMS</t>
  </si>
  <si>
    <t>4M Contr Supv Pre Shut Debrief TMS</t>
  </si>
  <si>
    <t>4M Contr Supv Pre Shut Debrief KSB</t>
  </si>
  <si>
    <t>4M Contr Supv Pre Shut Debrief Bolt Prep</t>
  </si>
  <si>
    <t>4M Contr Supv Pre Shut Debrief MPV</t>
  </si>
  <si>
    <t>4M Contr Supv Pre Shut Debrief Linkforce</t>
  </si>
  <si>
    <t>277SUSS</t>
  </si>
  <si>
    <t>114SWCD</t>
  </si>
  <si>
    <t>114SURG</t>
  </si>
  <si>
    <t>000SWSP</t>
  </si>
  <si>
    <t>271SUME</t>
  </si>
  <si>
    <t>020SUSS2</t>
  </si>
  <si>
    <t>020SUSC</t>
  </si>
  <si>
    <t>114SUCD</t>
  </si>
  <si>
    <t>272SUME</t>
  </si>
  <si>
    <t>020SUSS1</t>
  </si>
  <si>
    <t>000SWCS</t>
  </si>
  <si>
    <t>015SUSS</t>
  </si>
  <si>
    <t>114SUSS</t>
  </si>
  <si>
    <t>030SUSS</t>
  </si>
  <si>
    <t>262SUSS</t>
  </si>
  <si>
    <t>271SUSS</t>
  </si>
  <si>
    <t>280SUSS</t>
  </si>
  <si>
    <t>272SUSS</t>
  </si>
  <si>
    <t>280SUME</t>
  </si>
  <si>
    <t>020SWSC</t>
  </si>
  <si>
    <t>279SUSS</t>
  </si>
  <si>
    <t>279SUME</t>
  </si>
  <si>
    <t>020SUST</t>
  </si>
  <si>
    <t>272SUBM</t>
  </si>
  <si>
    <t>262SURL</t>
  </si>
  <si>
    <t>118SUME</t>
  </si>
  <si>
    <t>068SUSS</t>
  </si>
  <si>
    <t>068SUME</t>
  </si>
  <si>
    <t>068SUBL</t>
  </si>
  <si>
    <t>280SUBM</t>
  </si>
  <si>
    <t>000SWSC</t>
  </si>
  <si>
    <t>013SUSP</t>
  </si>
  <si>
    <t>000SWGL</t>
  </si>
  <si>
    <t>020SUGT</t>
  </si>
  <si>
    <t>068SWBL</t>
  </si>
  <si>
    <t>000SWRG</t>
  </si>
  <si>
    <t>000SWEL</t>
  </si>
  <si>
    <t>030SUBM</t>
  </si>
  <si>
    <t>015SUGL</t>
  </si>
  <si>
    <t>272SURG</t>
  </si>
  <si>
    <t>280SURG</t>
  </si>
  <si>
    <t>197SUGL</t>
  </si>
  <si>
    <t>000SWME</t>
  </si>
  <si>
    <t>000SWML</t>
  </si>
  <si>
    <t>000SWCD</t>
  </si>
  <si>
    <t>030SUME</t>
  </si>
  <si>
    <t>277SUME</t>
  </si>
  <si>
    <t>121SUEL</t>
  </si>
  <si>
    <t>119SWSP</t>
  </si>
  <si>
    <t>AMPS</t>
  </si>
  <si>
    <t>Ashton Miller</t>
  </si>
  <si>
    <t xml:space="preserve">Crane Op </t>
  </si>
  <si>
    <t>Crane Op</t>
  </si>
  <si>
    <t>Axel Baudoin</t>
  </si>
  <si>
    <t>Mark Fletcher</t>
  </si>
  <si>
    <t>Mathew Fletcher</t>
  </si>
  <si>
    <t>Jarod Braithwaite</t>
  </si>
  <si>
    <t>Steven Williams</t>
  </si>
  <si>
    <t>Brandon Rahim</t>
  </si>
  <si>
    <t>Michael Bird</t>
  </si>
  <si>
    <t>Ian Rogers</t>
  </si>
  <si>
    <t>Jarrad Cross</t>
  </si>
  <si>
    <t>Adv Rigger</t>
  </si>
  <si>
    <t>Semi Skilled</t>
  </si>
  <si>
    <t>Int Rigger</t>
  </si>
  <si>
    <t>Salome Rose</t>
  </si>
  <si>
    <t>Bejamin Collyer</t>
  </si>
  <si>
    <t>Daniel Ramadan</t>
  </si>
  <si>
    <t>Peter Mclinchy</t>
  </si>
  <si>
    <t>Jacques Lanza</t>
  </si>
  <si>
    <t>Dario Lopez</t>
  </si>
  <si>
    <t>Gerald Mutarisi</t>
  </si>
  <si>
    <t>Daniel Willis</t>
  </si>
  <si>
    <t>Emma Lemasson</t>
  </si>
  <si>
    <t>Marcus Ellis</t>
  </si>
  <si>
    <t>BoltPrep</t>
  </si>
  <si>
    <t>T1ML001 SAG Shell Bolts Insp</t>
  </si>
  <si>
    <t>Ball Mill Bolt Insp</t>
  </si>
  <si>
    <t>Ball Mill Girth Gear Inspection</t>
  </si>
  <si>
    <t>Kenneth Gray</t>
  </si>
  <si>
    <t>Darren Lee</t>
  </si>
  <si>
    <t>Paul Sant</t>
  </si>
  <si>
    <t>Kalen Di Re</t>
  </si>
  <si>
    <t>Elia Giller</t>
  </si>
  <si>
    <t>Richard Hittmann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</si>
</sst>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.mm\.yyyy"/>
  </numFmts>
  <fonts count="17" x14ac:knownFonts="1">
    <font>
      <sz val="11"/>
      <color theme="1"/>
      <name val="Calibri"/>
      <family val="2"/>
      <scheme val="minor"/>
    </font>
    <font>
      <b/>
      <i/>
      <sz val="16"/>
      <color theme="0"/>
      <name val="Arial Narrow"/>
      <family val="2"/>
    </font>
    <font>
      <b/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Rockwell"/>
      <family val="1"/>
    </font>
    <font>
      <sz val="11"/>
      <color rgb="FF000000"/>
      <name val="Arial"/>
      <family val="2"/>
    </font>
    <font>
      <sz val="11"/>
      <color rgb="FF0070C0"/>
      <name val="Arial"/>
      <family val="2"/>
    </font>
    <font>
      <sz val="11"/>
      <name val="Calibri"/>
      <family val="2"/>
      <scheme val="minor"/>
    </font>
    <font>
      <sz val="11"/>
      <color rgb="FF00B050"/>
      <name val="Aptos"/>
      <family val="2"/>
    </font>
    <font>
      <sz val="11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396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top"/>
      <protection locked="0"/>
    </xf>
    <xf numFmtId="164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center" vertical="top" wrapText="1"/>
      <protection locked="0"/>
    </xf>
    <xf numFmtId="49" fontId="5" fillId="3" borderId="1" xfId="0" applyNumberFormat="1" applyFont="1" applyFill="1" applyBorder="1" applyAlignment="1" applyProtection="1">
      <alignment horizontal="left" vertical="center" wrapText="1"/>
      <protection locked="0"/>
    </xf>
    <xf numFmtId="49" fontId="5" fillId="4" borderId="1" xfId="0" applyNumberFormat="1" applyFont="1" applyFill="1" applyBorder="1" applyAlignment="1" applyProtection="1">
      <alignment horizontal="center" vertical="top" wrapText="1"/>
      <protection locked="0"/>
    </xf>
    <xf numFmtId="49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0" xfId="0" applyFont="1" applyFill="1" applyProtection="1"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49" fontId="0" fillId="4" borderId="2" xfId="0" applyNumberFormat="1" applyFill="1" applyBorder="1" applyAlignment="1">
      <alignment horizontal="center" vertical="center"/>
    </xf>
    <xf numFmtId="49" fontId="0" fillId="0" borderId="2" xfId="0" applyNumberFormat="1" applyBorder="1"/>
    <xf numFmtId="0" fontId="0" fillId="0" borderId="2" xfId="0" applyBorder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center" vertical="top"/>
      <protection locked="0"/>
    </xf>
    <xf numFmtId="14" fontId="0" fillId="0" borderId="2" xfId="0" applyNumberFormat="1" applyBorder="1" applyProtection="1"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0" borderId="0" xfId="0" applyAlignment="1">
      <alignment vertical="top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165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left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1" fillId="0" borderId="0" xfId="0" applyFont="1"/>
    <xf numFmtId="0" fontId="12" fillId="0" borderId="0" xfId="0" applyFont="1"/>
    <xf numFmtId="0" fontId="9" fillId="0" borderId="0" xfId="0" applyFont="1"/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0" fillId="10" borderId="2" xfId="0" applyFill="1" applyBorder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10583</xdr:colOff>
      <xdr:row>33</xdr:row>
      <xdr:rowOff>10583</xdr:rowOff>
    </xdr:from>
    <xdr:to>
      <xdr:col>8</xdr:col>
      <xdr:colOff>10583</xdr:colOff>
      <xdr:row>48</xdr:row>
      <xdr:rowOff>179917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5FE6DD-1E7D-337E-E594-740A69CF779B}"/>
            </a:ext>
          </a:extLst>
        </xdr:cNvPr>
        <xdr:cNvSpPr txBox="1"/>
      </xdr:nvSpPr>
      <xdr:spPr>
        <a:xfrm>
          <a:off x="2857500" y="6868583"/>
          <a:ext cx="4963583" cy="3026834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  <a:alpha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 kern="1200"/>
        </a:p>
        <a:p>
          <a:r>
            <a:rPr lang="en-AU" sz="1400" b="1" kern="1200"/>
            <a:t>Approved</a:t>
          </a:r>
          <a:r>
            <a:rPr lang="en-AU" sz="1400" b="1" kern="1200" baseline="0"/>
            <a:t> by Greatland</a:t>
          </a:r>
          <a:endParaRPr lang="en-AU" sz="1400" kern="1200" baseline="0"/>
        </a:p>
        <a:p>
          <a:endParaRPr lang="en-AU" sz="1100" kern="1200" baseline="0"/>
        </a:p>
        <a:p>
          <a:r>
            <a:rPr lang="en-AU" sz="1100" b="1" kern="1200" baseline="0"/>
            <a:t>Name :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100" b="1" kern="1200" baseline="0"/>
            <a:t>Sign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400" b="1" kern="1200" baseline="0"/>
            <a:t>Vendor</a:t>
          </a:r>
        </a:p>
        <a:p>
          <a:endParaRPr lang="en-AU" sz="1100" b="1" kern="1200" baseline="0"/>
        </a:p>
        <a:p>
          <a:r>
            <a:rPr lang="en-AU" sz="1100" b="1" kern="1200" baseline="0"/>
            <a:t>Name: </a:t>
          </a:r>
        </a:p>
        <a:p>
          <a:endParaRPr lang="en-AU" sz="1100" b="1" kern="1200" baseline="0"/>
        </a:p>
        <a:p>
          <a:endParaRPr lang="en-AU" sz="1100" b="1" kern="1200" baseline="0"/>
        </a:p>
        <a:p>
          <a:r>
            <a:rPr lang="en-AU" sz="1100" b="1" kern="1200" baseline="0"/>
            <a:t>Sign</a:t>
          </a:r>
          <a:endParaRPr lang="en-AU" sz="1100" b="1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136"/>
  <sheetViews>
    <sheetView zoomScale="90" zoomScaleNormal="90" workbookViewId="0">
      <pane ySplit="3" topLeftCell="A4" activePane="bottomLeft" state="frozen"/>
      <selection pane="bottomLeft" activeCell="D4" sqref="D4"/>
    </sheetView>
  </sheetViews>
  <sheetFormatPr defaultColWidth="8.81640625" defaultRowHeight="14.5" customHeight="1" x14ac:dyDescent="0.35"/>
  <cols>
    <col min="1" max="1" width="12.54296875" style="1" customWidth="1"/>
    <col min="2" max="2" width="30.1796875" style="1" customWidth="1"/>
    <col min="3" max="3" width="13.7265625" style="2" customWidth="1"/>
    <col min="4" max="4" width="14.1796875" customWidth="1"/>
    <col min="5" max="5" width="12.7265625" style="3" customWidth="1"/>
    <col min="6" max="6" width="13.26953125" style="4" customWidth="1"/>
    <col min="7" max="7" width="13.7265625" customWidth="1"/>
    <col min="8" max="8" width="7" style="1" customWidth="1"/>
    <col min="9" max="9" width="13.7265625" style="1" customWidth="1"/>
    <col min="10" max="10" width="14.7265625" style="1" customWidth="1"/>
    <col min="11" max="11" width="16.1796875" style="1" customWidth="1"/>
    <col min="12" max="12" width="3.26953125" style="1" customWidth="1"/>
    <col min="13" max="13" width="14.1796875" style="1" customWidth="1"/>
    <col min="14" max="14" width="9.7265625" style="1" customWidth="1"/>
    <col min="15" max="15" width="22.81640625" style="1" customWidth="1"/>
    <col min="16" max="16" width="8.81640625" style="1" customWidth="1"/>
    <col min="17" max="16384" width="8.81640625" style="1"/>
  </cols>
  <sheetData>
    <row r="1" spans="1:11" ht="27" customHeight="1" x14ac:dyDescent="0.35">
      <c r="A1" s="5"/>
      <c r="B1" s="5"/>
      <c r="C1" s="60"/>
      <c r="D1" s="61"/>
      <c r="E1" s="61"/>
      <c r="F1" s="61"/>
      <c r="G1" s="6"/>
      <c r="H1" s="62"/>
      <c r="I1" s="62"/>
      <c r="J1" s="62"/>
      <c r="K1" s="5"/>
    </row>
    <row r="2" spans="1:11" ht="32.15" customHeight="1" x14ac:dyDescent="0.35">
      <c r="A2" s="7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5"/>
    </row>
    <row r="3" spans="1:11" ht="32.15" customHeight="1" x14ac:dyDescent="0.35">
      <c r="A3" s="10" t="s">
        <v>10</v>
      </c>
      <c r="B3" s="10" t="s">
        <v>11</v>
      </c>
      <c r="C3" s="11" t="s">
        <v>12</v>
      </c>
      <c r="D3" s="11" t="s">
        <v>3</v>
      </c>
      <c r="E3" s="10" t="s">
        <v>13</v>
      </c>
      <c r="F3" s="10" t="s">
        <v>14</v>
      </c>
      <c r="G3" s="12" t="s">
        <v>15</v>
      </c>
      <c r="H3" s="10" t="s">
        <v>16</v>
      </c>
      <c r="I3" s="10" t="s">
        <v>17</v>
      </c>
      <c r="J3" s="10" t="s">
        <v>9</v>
      </c>
      <c r="K3" s="13" t="s">
        <v>18</v>
      </c>
    </row>
    <row r="4" spans="1:11" x14ac:dyDescent="0.35">
      <c r="A4" s="14"/>
      <c r="B4" s="15"/>
      <c r="C4" s="16"/>
      <c r="D4" s="17"/>
      <c r="E4" s="17"/>
      <c r="F4" s="14"/>
      <c r="G4" s="16"/>
      <c r="H4" s="18"/>
      <c r="I4" s="19"/>
      <c r="J4" s="19"/>
      <c r="K4" s="20"/>
    </row>
    <row r="5" spans="1:11" x14ac:dyDescent="0.35">
      <c r="A5" s="14"/>
      <c r="B5" s="15"/>
      <c r="C5" s="16" t="str">
        <f>IFERROR(VLOOKUP(B5,Names!$B$1:$C$186,2,FALSE),"")</f>
        <v/>
      </c>
      <c r="D5" s="17" t="str">
        <f>IFERROR(VLOOKUP(B5,Names!$B$1:$C$186,4,FALSE),"")</f>
        <v/>
      </c>
      <c r="E5" s="17"/>
      <c r="F5" s="14"/>
      <c r="G5" s="16"/>
      <c r="H5" s="18"/>
      <c r="I5" s="19" t="str">
        <f>IF(B5="","",Names!$G$21)</f>
        <v/>
      </c>
      <c r="J5" s="19" t="str">
        <f>IF(B5="","",Names!$H$21)</f>
        <v/>
      </c>
      <c r="K5" s="20" t="str">
        <f>IFERROR(VLOOKUP(B5,Names!$B$1:$C$186,3,FALSE),"")</f>
        <v/>
      </c>
    </row>
    <row r="6" spans="1:11" x14ac:dyDescent="0.35">
      <c r="A6" s="14"/>
      <c r="B6" s="15"/>
      <c r="C6" s="16" t="str">
        <f>IFERROR(VLOOKUP(B6,Names!$B$1:$C$186,2,FALSE),"")</f>
        <v/>
      </c>
      <c r="D6" s="17" t="str">
        <f>IFERROR(VLOOKUP(B6,Names!$B$1:$C$186,4,FALSE),"")</f>
        <v/>
      </c>
      <c r="E6" s="17"/>
      <c r="F6" s="14"/>
      <c r="G6" s="16"/>
      <c r="H6" s="18"/>
      <c r="I6" s="19" t="str">
        <f>IF(B6="","",Names!$G$21)</f>
        <v/>
      </c>
      <c r="J6" s="19" t="str">
        <f>IF(B6="","",Names!$H$21)</f>
        <v/>
      </c>
      <c r="K6" s="20" t="str">
        <f>IFERROR(VLOOKUP(B6,Names!$B$1:$C$186,3,FALSE),"")</f>
        <v/>
      </c>
    </row>
    <row r="7" spans="1:11" x14ac:dyDescent="0.35">
      <c r="A7" s="14"/>
      <c r="B7" s="15"/>
      <c r="C7" s="16" t="str">
        <f>IFERROR(VLOOKUP(B7,Names!$B$1:$C$186,2,FALSE),"")</f>
        <v/>
      </c>
      <c r="D7" s="17" t="str">
        <f>IFERROR(VLOOKUP(B7,Names!$B$1:$C$186,4,FALSE),"")</f>
        <v/>
      </c>
      <c r="E7" s="17"/>
      <c r="F7" s="14"/>
      <c r="G7" s="16"/>
      <c r="H7" s="18"/>
      <c r="I7" s="19" t="str">
        <f>IF(B7="","",Names!$G$21)</f>
        <v/>
      </c>
      <c r="J7" s="19" t="str">
        <f>IF(B7="","",Names!$H$21)</f>
        <v/>
      </c>
      <c r="K7" s="20" t="str">
        <f>IFERROR(VLOOKUP(B7,Names!$B$1:$C$186,3,FALSE),"")</f>
        <v/>
      </c>
    </row>
    <row r="8" spans="1:11" x14ac:dyDescent="0.35">
      <c r="A8" s="14"/>
      <c r="B8" s="15"/>
      <c r="C8" s="16" t="str">
        <f>IFERROR(VLOOKUP(B8,Names!$B$1:$C$186,2,FALSE),"")</f>
        <v/>
      </c>
      <c r="D8" s="17" t="str">
        <f>IFERROR(VLOOKUP(B8,Names!$B$1:$C$186,4,FALSE),"")</f>
        <v/>
      </c>
      <c r="E8" s="17"/>
      <c r="F8" s="14"/>
      <c r="G8" s="16"/>
      <c r="H8" s="18"/>
      <c r="I8" s="19" t="str">
        <f>IF(B8="","",Names!$G$21)</f>
        <v/>
      </c>
      <c r="J8" s="19" t="str">
        <f>IF(B8="","",Names!$H$21)</f>
        <v/>
      </c>
      <c r="K8" s="20" t="str">
        <f>IFERROR(VLOOKUP(B8,Names!$B$1:$C$186,3,FALSE),"")</f>
        <v/>
      </c>
    </row>
    <row r="9" spans="1:11" x14ac:dyDescent="0.35">
      <c r="A9" s="14"/>
      <c r="B9" s="15"/>
      <c r="C9" s="16" t="str">
        <f>IFERROR(VLOOKUP(B9,Names!$B$1:$C$186,2,FALSE),"")</f>
        <v/>
      </c>
      <c r="D9" s="17" t="str">
        <f>IFERROR(VLOOKUP(B9,Names!$B$1:$C$186,4,FALSE),"")</f>
        <v/>
      </c>
      <c r="E9" s="17"/>
      <c r="F9" s="14"/>
      <c r="G9" s="16"/>
      <c r="H9" s="18"/>
      <c r="I9" s="19" t="str">
        <f>IF(B9="","",Names!$G$21)</f>
        <v/>
      </c>
      <c r="J9" s="19" t="str">
        <f>IF(B9="","",Names!$H$21)</f>
        <v/>
      </c>
      <c r="K9" s="20" t="str">
        <f>IFERROR(VLOOKUP(B9,Names!$B$1:$C$186,3,FALSE),"")</f>
        <v/>
      </c>
    </row>
    <row r="10" spans="1:11" x14ac:dyDescent="0.35">
      <c r="A10" s="14"/>
      <c r="B10" s="15"/>
      <c r="C10" s="16" t="str">
        <f>IFERROR(VLOOKUP(B10,Names!$B$1:$C$186,2,FALSE),"")</f>
        <v/>
      </c>
      <c r="D10" s="17" t="str">
        <f>IFERROR(VLOOKUP(B10,Names!$B$1:$C$186,4,FALSE),"")</f>
        <v/>
      </c>
      <c r="E10" s="21"/>
      <c r="F10" s="14"/>
      <c r="G10" s="16"/>
      <c r="H10" s="18"/>
      <c r="I10" s="19" t="str">
        <f>IF(B10="","",Names!$G$21)</f>
        <v/>
      </c>
      <c r="J10" s="19" t="str">
        <f>IF(B10="","",Names!$H$21)</f>
        <v/>
      </c>
      <c r="K10" s="20" t="str">
        <f>IFERROR(VLOOKUP(B10,Names!$B$1:$C$186,3,FALSE),"")</f>
        <v/>
      </c>
    </row>
    <row r="11" spans="1:11" x14ac:dyDescent="0.35">
      <c r="A11" s="14"/>
      <c r="B11" s="15"/>
      <c r="C11" s="16" t="str">
        <f>IFERROR(VLOOKUP(B11,Names!$B$1:$C$186,2,FALSE),"")</f>
        <v/>
      </c>
      <c r="D11" s="17" t="str">
        <f>IFERROR(VLOOKUP(B11,Names!$B$1:$C$186,4,FALSE),"")</f>
        <v/>
      </c>
      <c r="E11" s="22"/>
      <c r="F11" s="14"/>
      <c r="G11" s="16"/>
      <c r="H11" s="18"/>
      <c r="I11" s="19" t="str">
        <f>IF(B11="","",Names!$G$21)</f>
        <v/>
      </c>
      <c r="J11" s="19" t="str">
        <f>IF(B11="","",Names!$H$21)</f>
        <v/>
      </c>
      <c r="K11" s="20" t="str">
        <f>IFERROR(VLOOKUP(B11,Names!$B$1:$C$186,3,FALSE),"")</f>
        <v/>
      </c>
    </row>
    <row r="12" spans="1:11" x14ac:dyDescent="0.35">
      <c r="A12" s="23"/>
      <c r="B12" s="15"/>
      <c r="C12" s="16" t="str">
        <f>IFERROR(VLOOKUP(B12,Names!$B$1:$C$186,2,FALSE),"")</f>
        <v/>
      </c>
      <c r="D12" s="17" t="str">
        <f>IFERROR(VLOOKUP(B12,Names!$B$1:$C$186,4,FALSE),"")</f>
        <v/>
      </c>
      <c r="E12" s="21"/>
      <c r="F12" s="14"/>
      <c r="G12" s="16"/>
      <c r="H12" s="18"/>
      <c r="I12" s="19" t="str">
        <f>IF(B12="","",Names!$G$21)</f>
        <v/>
      </c>
      <c r="J12" s="19" t="str">
        <f>IF(B12="","",Names!$H$21)</f>
        <v/>
      </c>
      <c r="K12" s="20" t="str">
        <f>IFERROR(VLOOKUP(B12,Names!$B$1:$C$186,3,FALSE),"")</f>
        <v/>
      </c>
    </row>
    <row r="13" spans="1:11" x14ac:dyDescent="0.35">
      <c r="A13" s="23"/>
      <c r="B13" s="15"/>
      <c r="C13" s="16" t="str">
        <f>IFERROR(VLOOKUP(B13,Names!$B$1:$C$186,2,FALSE),"")</f>
        <v/>
      </c>
      <c r="D13" s="17" t="str">
        <f>IFERROR(VLOOKUP(B13,Names!$B$1:$C$186,4,FALSE),"")</f>
        <v/>
      </c>
      <c r="E13" s="21"/>
      <c r="F13" s="14"/>
      <c r="G13" s="16"/>
      <c r="H13" s="18"/>
      <c r="I13" s="19" t="str">
        <f>IF(B13="","",Names!$G$21)</f>
        <v/>
      </c>
      <c r="J13" s="19" t="str">
        <f>IF(B13="","",Names!$H$21)</f>
        <v/>
      </c>
      <c r="K13" s="20" t="str">
        <f>IFERROR(VLOOKUP(B13,Names!$B$1:$C$186,3,FALSE),"")</f>
        <v/>
      </c>
    </row>
    <row r="14" spans="1:11" x14ac:dyDescent="0.35">
      <c r="A14" s="23"/>
      <c r="B14" s="15"/>
      <c r="C14" s="16" t="str">
        <f>IFERROR(VLOOKUP(B14,Names!$B$1:$C$186,2,FALSE),"")</f>
        <v/>
      </c>
      <c r="D14" s="17" t="str">
        <f>IFERROR(VLOOKUP(B14,Names!$B$1:$C$186,4,FALSE),"")</f>
        <v/>
      </c>
      <c r="E14" s="21"/>
      <c r="F14" s="14"/>
      <c r="G14" s="16"/>
      <c r="H14" s="18"/>
      <c r="I14" s="19" t="str">
        <f>IF(B14="","",Names!$G$21)</f>
        <v/>
      </c>
      <c r="J14" s="19" t="str">
        <f>IF(B14="","",Names!$H$21)</f>
        <v/>
      </c>
      <c r="K14" s="20" t="str">
        <f>IFERROR(VLOOKUP(B14,Names!$B$1:$C$186,3,FALSE),"")</f>
        <v/>
      </c>
    </row>
    <row r="15" spans="1:11" x14ac:dyDescent="0.35">
      <c r="A15" s="23"/>
      <c r="B15" s="15"/>
      <c r="C15" s="16" t="str">
        <f>IFERROR(VLOOKUP(B15,Names!$B$1:$C$186,2,FALSE),"")</f>
        <v/>
      </c>
      <c r="D15" s="17" t="str">
        <f>IFERROR(VLOOKUP(B15,Names!$B$1:$C$186,4,FALSE),"")</f>
        <v/>
      </c>
      <c r="E15" s="21"/>
      <c r="F15" s="14"/>
      <c r="G15" s="16"/>
      <c r="H15" s="18"/>
      <c r="I15" s="19" t="str">
        <f>IF(B15="","",Names!$G$21)</f>
        <v/>
      </c>
      <c r="J15" s="19" t="str">
        <f>IF(B15="","",Names!$H$21)</f>
        <v/>
      </c>
      <c r="K15" s="20" t="str">
        <f>IFERROR(VLOOKUP(B15,Names!$B$1:$C$186,3,FALSE),"")</f>
        <v/>
      </c>
    </row>
    <row r="16" spans="1:11" x14ac:dyDescent="0.35">
      <c r="A16" s="23"/>
      <c r="B16" s="15"/>
      <c r="C16" s="16" t="str">
        <f>IFERROR(VLOOKUP(B16,Names!$B$1:$C$186,2,FALSE),"")</f>
        <v/>
      </c>
      <c r="D16" s="17" t="str">
        <f>IFERROR(VLOOKUP(B16,Names!$B$1:$C$186,4,FALSE),"")</f>
        <v/>
      </c>
      <c r="E16" s="21"/>
      <c r="F16" s="14"/>
      <c r="G16" s="16"/>
      <c r="H16" s="18"/>
      <c r="I16" s="19" t="str">
        <f>IF(B16="","",Names!$G$21)</f>
        <v/>
      </c>
      <c r="J16" s="19" t="str">
        <f>IF(B16="","",Names!$H$21)</f>
        <v/>
      </c>
      <c r="K16" s="20" t="str">
        <f>IFERROR(VLOOKUP(B16,Names!$B$1:$C$186,3,FALSE),"")</f>
        <v/>
      </c>
    </row>
    <row r="17" spans="1:11" x14ac:dyDescent="0.35">
      <c r="A17" s="23"/>
      <c r="B17" s="15"/>
      <c r="C17" s="16" t="str">
        <f>IFERROR(VLOOKUP(B17,Names!$B$1:$C$186,2,FALSE),"")</f>
        <v/>
      </c>
      <c r="D17" s="17" t="str">
        <f>IFERROR(VLOOKUP(B17,Names!$B$1:$C$186,4,FALSE),"")</f>
        <v/>
      </c>
      <c r="E17" s="21"/>
      <c r="F17" s="14"/>
      <c r="G17" s="16"/>
      <c r="H17" s="18"/>
      <c r="I17" s="19" t="str">
        <f>IF(B17="","",Names!$G$21)</f>
        <v/>
      </c>
      <c r="J17" s="19" t="str">
        <f>IF(B17="","",Names!$H$21)</f>
        <v/>
      </c>
      <c r="K17" s="20" t="str">
        <f>IFERROR(VLOOKUP(B17,Names!$B$1:$C$186,3,FALSE),"")</f>
        <v/>
      </c>
    </row>
    <row r="18" spans="1:11" x14ac:dyDescent="0.35">
      <c r="A18" s="23"/>
      <c r="B18" s="15"/>
      <c r="C18" s="16" t="str">
        <f>IFERROR(VLOOKUP(B18,Names!$B$1:$C$186,2,FALSE),"")</f>
        <v/>
      </c>
      <c r="D18" s="17" t="str">
        <f>IFERROR(VLOOKUP(B18,Names!$B$1:$C$186,4,FALSE),"")</f>
        <v/>
      </c>
      <c r="E18" s="21"/>
      <c r="F18" s="14"/>
      <c r="G18" s="16"/>
      <c r="H18" s="18"/>
      <c r="I18" s="19" t="str">
        <f>IF(B18="","",Names!$G$21)</f>
        <v/>
      </c>
      <c r="J18" s="19" t="str">
        <f>IF(B18="","",Names!$H$21)</f>
        <v/>
      </c>
      <c r="K18" s="20" t="str">
        <f>IFERROR(VLOOKUP(B18,Names!$B$1:$C$186,3,FALSE),"")</f>
        <v/>
      </c>
    </row>
    <row r="19" spans="1:11" x14ac:dyDescent="0.35">
      <c r="A19" s="23"/>
      <c r="B19" s="15"/>
      <c r="C19" s="16" t="str">
        <f>IFERROR(VLOOKUP(B19,Names!$B$1:$C$186,2,FALSE),"")</f>
        <v/>
      </c>
      <c r="D19" s="17" t="str">
        <f>IFERROR(VLOOKUP(B19,Names!$B$1:$C$186,4,FALSE),"")</f>
        <v/>
      </c>
      <c r="E19" s="21"/>
      <c r="F19" s="14"/>
      <c r="G19" s="16"/>
      <c r="H19" s="18"/>
      <c r="I19" s="19" t="str">
        <f>IF(B19="","",Names!$G$21)</f>
        <v/>
      </c>
      <c r="J19" s="19" t="str">
        <f>IF(B19="","",Names!$H$21)</f>
        <v/>
      </c>
      <c r="K19" s="20" t="str">
        <f>IFERROR(VLOOKUP(B19,Names!$B$1:$C$186,3,FALSE),"")</f>
        <v/>
      </c>
    </row>
    <row r="20" spans="1:11" x14ac:dyDescent="0.35">
      <c r="A20" s="24"/>
      <c r="B20" s="15"/>
      <c r="C20" s="16" t="str">
        <f>IFERROR(VLOOKUP(B20,Names!$B$1:$C$186,2,FALSE),"")</f>
        <v/>
      </c>
      <c r="D20" s="17" t="str">
        <f>IFERROR(VLOOKUP(B20,Names!$B$1:$C$186,4,FALSE),"")</f>
        <v/>
      </c>
      <c r="E20" s="21"/>
      <c r="F20" s="14"/>
      <c r="G20" s="16"/>
      <c r="H20" s="18"/>
      <c r="I20" s="19" t="str">
        <f>IF(B20="","",Names!$G$21)</f>
        <v/>
      </c>
      <c r="J20" s="19" t="str">
        <f>IF(B20="","",Names!$H$21)</f>
        <v/>
      </c>
      <c r="K20" s="20" t="str">
        <f>IFERROR(VLOOKUP(B20,Names!$B$1:$C$186,3,FALSE),"")</f>
        <v/>
      </c>
    </row>
    <row r="21" spans="1:11" x14ac:dyDescent="0.35">
      <c r="A21" s="24"/>
      <c r="B21" s="15"/>
      <c r="C21" s="16" t="str">
        <f>IFERROR(VLOOKUP(B21,Names!$B$1:$C$186,2,FALSE),"")</f>
        <v/>
      </c>
      <c r="D21" s="17" t="str">
        <f>IFERROR(VLOOKUP(B21,Names!$B$1:$C$186,4,FALSE),"")</f>
        <v/>
      </c>
      <c r="E21" s="21"/>
      <c r="F21" s="14"/>
      <c r="G21" s="16"/>
      <c r="H21" s="18"/>
      <c r="I21" s="19" t="str">
        <f>IF(B21="","",Names!$G$21)</f>
        <v/>
      </c>
      <c r="J21" s="19" t="str">
        <f>IF(B21="","",Names!$H$21)</f>
        <v/>
      </c>
      <c r="K21" s="20" t="str">
        <f>IFERROR(VLOOKUP(B21,Names!$B$1:$C$186,3,FALSE),"")</f>
        <v/>
      </c>
    </row>
    <row r="22" spans="1:11" x14ac:dyDescent="0.35">
      <c r="A22" s="24"/>
      <c r="B22" s="15"/>
      <c r="C22" s="16" t="str">
        <f>IFERROR(VLOOKUP(B22,Names!$B$1:$C$186,2,FALSE),"")</f>
        <v/>
      </c>
      <c r="D22" s="17" t="str">
        <f>IFERROR(VLOOKUP(B22,Names!$B$1:$C$186,4,FALSE),"")</f>
        <v/>
      </c>
      <c r="E22" s="21"/>
      <c r="F22" s="14"/>
      <c r="G22" s="16"/>
      <c r="H22" s="18"/>
      <c r="I22" s="19" t="str">
        <f>IF(B22="","",Names!$G$21)</f>
        <v/>
      </c>
      <c r="J22" s="19" t="str">
        <f>IF(B22="","",Names!$H$21)</f>
        <v/>
      </c>
      <c r="K22" s="20" t="str">
        <f>IFERROR(VLOOKUP(B22,Names!$B$1:$C$186,3,FALSE),"")</f>
        <v/>
      </c>
    </row>
    <row r="23" spans="1:11" x14ac:dyDescent="0.35">
      <c r="A23" s="24"/>
      <c r="B23" s="15"/>
      <c r="C23" s="16" t="str">
        <f>IFERROR(VLOOKUP(B23,Names!$B$1:$C$186,2,FALSE),"")</f>
        <v/>
      </c>
      <c r="D23" s="17" t="str">
        <f>IFERROR(VLOOKUP(B23,Names!$B$1:$C$186,4,FALSE),"")</f>
        <v/>
      </c>
      <c r="E23" s="21"/>
      <c r="F23" s="14"/>
      <c r="G23" s="16"/>
      <c r="H23" s="18"/>
      <c r="I23" s="19" t="str">
        <f>IF(B23="","",Names!$G$21)</f>
        <v/>
      </c>
      <c r="J23" s="19" t="str">
        <f>IF(B23="","",Names!$H$21)</f>
        <v/>
      </c>
      <c r="K23" s="20" t="str">
        <f>IFERROR(VLOOKUP(B23,Names!$B$1:$C$186,3,FALSE),"")</f>
        <v/>
      </c>
    </row>
    <row r="24" spans="1:11" x14ac:dyDescent="0.35">
      <c r="A24" s="24"/>
      <c r="B24" s="15"/>
      <c r="C24" s="16" t="str">
        <f>IFERROR(VLOOKUP(B24,Names!$B$1:$C$186,2,FALSE),"")</f>
        <v/>
      </c>
      <c r="D24" s="17" t="str">
        <f>IFERROR(VLOOKUP(B24,Names!$B$1:$C$186,4,FALSE),"")</f>
        <v/>
      </c>
      <c r="E24" s="21"/>
      <c r="F24" s="14"/>
      <c r="G24" s="16"/>
      <c r="H24" s="18"/>
      <c r="I24" s="19" t="str">
        <f>IF(B24="","",Names!$G$21)</f>
        <v/>
      </c>
      <c r="J24" s="19" t="str">
        <f>IF(B24="","",Names!$H$21)</f>
        <v/>
      </c>
      <c r="K24" s="20" t="str">
        <f>IFERROR(VLOOKUP(B24,Names!$B$1:$C$186,3,FALSE),"")</f>
        <v/>
      </c>
    </row>
    <row r="25" spans="1:11" x14ac:dyDescent="0.35">
      <c r="A25" s="24"/>
      <c r="B25" s="15"/>
      <c r="C25" s="16" t="str">
        <f>IFERROR(VLOOKUP(B25,Names!$B$1:$C$186,2,FALSE),"")</f>
        <v/>
      </c>
      <c r="D25" s="17" t="str">
        <f>IFERROR(VLOOKUP(B25,Names!$B$1:$C$186,4,FALSE),"")</f>
        <v/>
      </c>
      <c r="E25" s="21"/>
      <c r="F25" s="14"/>
      <c r="G25" s="16"/>
      <c r="H25" s="18"/>
      <c r="I25" s="19" t="str">
        <f>IF(B25="","",Names!$G$21)</f>
        <v/>
      </c>
      <c r="J25" s="19" t="str">
        <f>IF(B25="","",Names!$H$21)</f>
        <v/>
      </c>
      <c r="K25" s="20" t="str">
        <f>IFERROR(VLOOKUP(B25,Names!$B$1:$C$186,3,FALSE),"")</f>
        <v/>
      </c>
    </row>
    <row r="26" spans="1:11" x14ac:dyDescent="0.35">
      <c r="A26" s="24"/>
      <c r="B26" s="15"/>
      <c r="C26" s="16" t="str">
        <f>IFERROR(VLOOKUP(B26,Names!$B$1:$C$186,2,FALSE),"")</f>
        <v/>
      </c>
      <c r="D26" s="17" t="str">
        <f>IFERROR(VLOOKUP(B26,Names!$B$1:$C$186,4,FALSE),"")</f>
        <v/>
      </c>
      <c r="E26" s="21"/>
      <c r="F26" s="14"/>
      <c r="G26" s="16"/>
      <c r="H26" s="18"/>
      <c r="I26" s="19" t="str">
        <f>IF(B26="","",Names!$G$21)</f>
        <v/>
      </c>
      <c r="J26" s="19" t="str">
        <f>IF(B26="","",Names!$H$21)</f>
        <v/>
      </c>
      <c r="K26" s="20" t="str">
        <f>IFERROR(VLOOKUP(B26,Names!$B$1:$C$186,3,FALSE),"")</f>
        <v/>
      </c>
    </row>
    <row r="27" spans="1:11" x14ac:dyDescent="0.35">
      <c r="A27" s="24"/>
      <c r="B27" s="15"/>
      <c r="C27" s="16" t="str">
        <f>IFERROR(VLOOKUP(B27,Names!$B$1:$C$186,2,FALSE),"")</f>
        <v/>
      </c>
      <c r="D27" s="17" t="str">
        <f>IFERROR(VLOOKUP(B27,Names!$B$1:$C$186,4,FALSE),"")</f>
        <v/>
      </c>
      <c r="E27" s="21"/>
      <c r="F27" s="14"/>
      <c r="G27" s="16"/>
      <c r="H27" s="18"/>
      <c r="I27" s="19" t="str">
        <f>IF(B27="","",Names!$G$21)</f>
        <v/>
      </c>
      <c r="J27" s="19" t="str">
        <f>IF(B27="","",Names!$H$21)</f>
        <v/>
      </c>
      <c r="K27" s="20" t="str">
        <f>IFERROR(VLOOKUP(B27,Names!$B$1:$C$186,3,FALSE),"")</f>
        <v/>
      </c>
    </row>
    <row r="28" spans="1:11" x14ac:dyDescent="0.35">
      <c r="A28" s="24"/>
      <c r="B28" s="15"/>
      <c r="C28" s="16" t="str">
        <f>IFERROR(VLOOKUP(B28,Names!$B$1:$C$186,2,FALSE),"")</f>
        <v/>
      </c>
      <c r="D28" s="17" t="str">
        <f>IFERROR(VLOOKUP(B28,Names!$B$1:$C$186,4,FALSE),"")</f>
        <v/>
      </c>
      <c r="E28" s="21"/>
      <c r="F28" s="14"/>
      <c r="G28" s="16"/>
      <c r="H28" s="18"/>
      <c r="I28" s="19" t="str">
        <f>IF(B28="","",Names!$G$21)</f>
        <v/>
      </c>
      <c r="J28" s="19" t="str">
        <f>IF(B28="","",Names!$H$21)</f>
        <v/>
      </c>
      <c r="K28" s="20" t="str">
        <f>IFERROR(VLOOKUP(B28,Names!$B$1:$C$186,3,FALSE),"")</f>
        <v/>
      </c>
    </row>
    <row r="29" spans="1:11" x14ac:dyDescent="0.35">
      <c r="A29" s="24"/>
      <c r="B29" s="15"/>
      <c r="C29" s="16" t="str">
        <f>IFERROR(VLOOKUP(B29,Names!$B$1:$C$186,2,FALSE),"")</f>
        <v/>
      </c>
      <c r="D29" s="17" t="str">
        <f>IFERROR(VLOOKUP(B29,Names!$B$1:$C$186,4,FALSE),"")</f>
        <v/>
      </c>
      <c r="E29" s="21"/>
      <c r="F29" s="14"/>
      <c r="G29" s="16"/>
      <c r="H29" s="18"/>
      <c r="I29" s="19" t="str">
        <f>IF(B29="","",Names!$G$21)</f>
        <v/>
      </c>
      <c r="J29" s="19" t="str">
        <f>IF(B29="","",Names!$H$21)</f>
        <v/>
      </c>
      <c r="K29" s="20" t="str">
        <f>IFERROR(VLOOKUP(B29,Names!$B$1:$C$186,3,FALSE),"")</f>
        <v/>
      </c>
    </row>
    <row r="30" spans="1:11" x14ac:dyDescent="0.35">
      <c r="A30" s="24"/>
      <c r="B30" s="15"/>
      <c r="C30" s="16" t="str">
        <f>IFERROR(VLOOKUP(B30,Names!$B$1:$C$186,2,FALSE),"")</f>
        <v/>
      </c>
      <c r="D30" s="17" t="str">
        <f>IFERROR(VLOOKUP(B30,Names!$B$1:$C$186,4,FALSE),"")</f>
        <v/>
      </c>
      <c r="E30" s="21"/>
      <c r="F30" s="14"/>
      <c r="G30" s="16"/>
      <c r="H30" s="18"/>
      <c r="I30" s="19" t="str">
        <f>IF(B30="","",Names!$G$21)</f>
        <v/>
      </c>
      <c r="J30" s="19" t="str">
        <f>IF(B30="","",Names!$H$21)</f>
        <v/>
      </c>
      <c r="K30" s="20" t="str">
        <f>IFERROR(VLOOKUP(B30,Names!$B$1:$C$186,3,FALSE),"")</f>
        <v/>
      </c>
    </row>
    <row r="31" spans="1:11" x14ac:dyDescent="0.35">
      <c r="A31" s="24"/>
      <c r="B31" s="15"/>
      <c r="C31" s="16" t="str">
        <f>IFERROR(VLOOKUP(B31,Names!$B$1:$C$186,2,FALSE),"")</f>
        <v/>
      </c>
      <c r="D31" s="17" t="str">
        <f>IFERROR(VLOOKUP(B31,Names!$B$1:$C$186,4,FALSE),"")</f>
        <v/>
      </c>
      <c r="E31" s="21"/>
      <c r="F31" s="14"/>
      <c r="G31" s="16"/>
      <c r="H31" s="18"/>
      <c r="I31" s="19" t="str">
        <f>IF(B31="","",Names!$G$21)</f>
        <v/>
      </c>
      <c r="J31" s="19" t="str">
        <f>IF(B31="","",Names!$H$21)</f>
        <v/>
      </c>
      <c r="K31" s="20" t="str">
        <f>IFERROR(VLOOKUP(B31,Names!$B$1:$C$186,3,FALSE),"")</f>
        <v/>
      </c>
    </row>
    <row r="32" spans="1:11" x14ac:dyDescent="0.35">
      <c r="A32" s="24"/>
      <c r="B32" s="15"/>
      <c r="C32" s="16" t="str">
        <f>IFERROR(VLOOKUP(B32,Names!$B$1:$C$186,2,FALSE),"")</f>
        <v/>
      </c>
      <c r="D32" s="17" t="str">
        <f>IFERROR(VLOOKUP(B32,Names!$B$1:$C$186,4,FALSE),"")</f>
        <v/>
      </c>
      <c r="E32" s="21"/>
      <c r="F32" s="14"/>
      <c r="G32" s="16"/>
      <c r="H32" s="18"/>
      <c r="I32" s="19" t="str">
        <f>IF(B32="","",Names!$G$21)</f>
        <v/>
      </c>
      <c r="J32" s="19" t="str">
        <f>IF(B32="","",Names!$H$21)</f>
        <v/>
      </c>
      <c r="K32" s="20" t="str">
        <f>IFERROR(VLOOKUP(B32,Names!$B$1:$C$186,3,FALSE),"")</f>
        <v/>
      </c>
    </row>
    <row r="33" spans="1:11" x14ac:dyDescent="0.35">
      <c r="A33" s="24"/>
      <c r="B33" s="15"/>
      <c r="C33" s="16" t="str">
        <f>IFERROR(VLOOKUP(B33,Names!$B$1:$C$186,2,FALSE),"")</f>
        <v/>
      </c>
      <c r="D33" s="17" t="str">
        <f>IFERROR(VLOOKUP(B33,Names!$B$1:$C$186,4,FALSE),"")</f>
        <v/>
      </c>
      <c r="E33" s="21"/>
      <c r="F33" s="14"/>
      <c r="G33" s="16"/>
      <c r="H33" s="18"/>
      <c r="I33" s="19" t="str">
        <f>IF(B33="","",Names!$G$21)</f>
        <v/>
      </c>
      <c r="J33" s="19" t="str">
        <f>IF(B33="","",Names!$H$21)</f>
        <v/>
      </c>
      <c r="K33" s="20" t="str">
        <f>IFERROR(VLOOKUP(B33,Names!$B$1:$C$186,3,FALSE),"")</f>
        <v/>
      </c>
    </row>
    <row r="34" spans="1:11" x14ac:dyDescent="0.35">
      <c r="A34" s="24"/>
      <c r="B34" s="15"/>
      <c r="C34" s="16" t="str">
        <f>IFERROR(VLOOKUP(B34,Names!$B$1:$C$186,2,FALSE),"")</f>
        <v/>
      </c>
      <c r="D34" s="17" t="str">
        <f>IFERROR(VLOOKUP(B34,Names!$B$1:$C$186,4,FALSE),"")</f>
        <v/>
      </c>
      <c r="E34" s="21"/>
      <c r="F34" s="14"/>
      <c r="G34" s="16"/>
      <c r="H34" s="18"/>
      <c r="I34" s="19" t="str">
        <f>IF(B34="","",Names!$G$21)</f>
        <v/>
      </c>
      <c r="J34" s="19" t="str">
        <f>IF(B34="","",Names!$H$21)</f>
        <v/>
      </c>
      <c r="K34" s="20" t="str">
        <f>IFERROR(VLOOKUP(B34,Names!$B$1:$C$186,3,FALSE),"")</f>
        <v/>
      </c>
    </row>
    <row r="35" spans="1:11" x14ac:dyDescent="0.35">
      <c r="A35" s="24"/>
      <c r="B35" s="15"/>
      <c r="C35" s="16" t="str">
        <f>IFERROR(VLOOKUP(B35,Names!$B$1:$C$186,2,FALSE),"")</f>
        <v/>
      </c>
      <c r="D35" s="17" t="str">
        <f>IFERROR(VLOOKUP(B35,Names!$B$1:$C$186,4,FALSE),"")</f>
        <v/>
      </c>
      <c r="E35" s="21"/>
      <c r="F35" s="14"/>
      <c r="G35" s="16"/>
      <c r="H35" s="18"/>
      <c r="I35" s="19" t="str">
        <f>IF(B35="","",Names!$G$21)</f>
        <v/>
      </c>
      <c r="J35" s="19" t="str">
        <f>IF(B35="","",Names!$H$21)</f>
        <v/>
      </c>
      <c r="K35" s="20" t="str">
        <f>IFERROR(VLOOKUP(B35,Names!$B$1:$C$186,3,FALSE),"")</f>
        <v/>
      </c>
    </row>
    <row r="36" spans="1:11" x14ac:dyDescent="0.35">
      <c r="A36" s="24"/>
      <c r="B36" s="15"/>
      <c r="C36" s="16" t="str">
        <f>IFERROR(VLOOKUP(B36,Names!$B$1:$C$186,2,FALSE),"")</f>
        <v/>
      </c>
      <c r="D36" s="17" t="str">
        <f>IFERROR(VLOOKUP(B36,Names!$B$1:$C$186,4,FALSE),"")</f>
        <v/>
      </c>
      <c r="E36" s="21"/>
      <c r="F36" s="14"/>
      <c r="G36" s="16"/>
      <c r="H36" s="18"/>
      <c r="I36" s="19" t="str">
        <f>IF(B36="","",Names!$G$21)</f>
        <v/>
      </c>
      <c r="J36" s="19" t="str">
        <f>IF(B36="","",Names!$H$21)</f>
        <v/>
      </c>
      <c r="K36" s="20" t="str">
        <f>IFERROR(VLOOKUP(B36,Names!$B$1:$C$186,3,FALSE),"")</f>
        <v/>
      </c>
    </row>
    <row r="37" spans="1:11" x14ac:dyDescent="0.35">
      <c r="A37" s="24"/>
      <c r="B37" s="15"/>
      <c r="C37" s="16" t="str">
        <f>IFERROR(VLOOKUP(B37,Names!$B$1:$C$186,2,FALSE),"")</f>
        <v/>
      </c>
      <c r="D37" s="17" t="str">
        <f>IFERROR(VLOOKUP(B37,Names!$B$1:$C$186,4,FALSE),"")</f>
        <v/>
      </c>
      <c r="E37" s="21"/>
      <c r="F37" s="14"/>
      <c r="G37" s="16"/>
      <c r="H37" s="18"/>
      <c r="I37" s="19" t="str">
        <f>IF(B37="","",Names!$G$21)</f>
        <v/>
      </c>
      <c r="J37" s="19" t="str">
        <f>IF(B37="","",Names!$H$21)</f>
        <v/>
      </c>
      <c r="K37" s="20" t="str">
        <f>IFERROR(VLOOKUP(B37,Names!$B$1:$C$186,3,FALSE),"")</f>
        <v/>
      </c>
    </row>
    <row r="38" spans="1:11" x14ac:dyDescent="0.35">
      <c r="A38" s="24"/>
      <c r="B38" s="15"/>
      <c r="C38" s="16" t="str">
        <f>IFERROR(VLOOKUP(B38,Names!$B$1:$C$186,2,FALSE),"")</f>
        <v/>
      </c>
      <c r="D38" s="17" t="str">
        <f>IFERROR(VLOOKUP(B38,Names!$B$1:$C$186,4,FALSE),"")</f>
        <v/>
      </c>
      <c r="E38" s="21"/>
      <c r="F38" s="14"/>
      <c r="G38" s="16"/>
      <c r="H38" s="18"/>
      <c r="I38" s="19" t="str">
        <f>IF(B38="","",Names!$G$21)</f>
        <v/>
      </c>
      <c r="J38" s="19" t="str">
        <f>IF(B38="","",Names!$H$21)</f>
        <v/>
      </c>
      <c r="K38" s="20" t="str">
        <f>IFERROR(VLOOKUP(B38,Names!$B$1:$C$186,3,FALSE),"")</f>
        <v/>
      </c>
    </row>
    <row r="39" spans="1:11" x14ac:dyDescent="0.35">
      <c r="A39" s="24"/>
      <c r="B39" s="15"/>
      <c r="C39" s="16" t="str">
        <f>IFERROR(VLOOKUP(B39,Names!$B$1:$C$186,2,FALSE),"")</f>
        <v/>
      </c>
      <c r="D39" s="17" t="str">
        <f>IFERROR(VLOOKUP(B39,Names!$B$1:$C$186,4,FALSE),"")</f>
        <v/>
      </c>
      <c r="E39" s="21"/>
      <c r="F39" s="14"/>
      <c r="G39" s="16"/>
      <c r="H39" s="18"/>
      <c r="I39" s="19" t="str">
        <f>IF(B39="","",Names!$G$21)</f>
        <v/>
      </c>
      <c r="J39" s="19" t="str">
        <f>IF(B39="","",Names!$H$21)</f>
        <v/>
      </c>
      <c r="K39" s="20" t="str">
        <f>IFERROR(VLOOKUP(B39,Names!$B$1:$C$186,3,FALSE),"")</f>
        <v/>
      </c>
    </row>
    <row r="40" spans="1:11" x14ac:dyDescent="0.35">
      <c r="A40" s="24"/>
      <c r="B40" s="15"/>
      <c r="C40" s="16" t="str">
        <f>IFERROR(VLOOKUP(B40,Names!$B$1:$C$186,2,FALSE),"")</f>
        <v/>
      </c>
      <c r="D40" s="17" t="str">
        <f>IFERROR(VLOOKUP(B40,Names!$B$1:$C$186,4,FALSE),"")</f>
        <v/>
      </c>
      <c r="E40" s="21"/>
      <c r="F40" s="14"/>
      <c r="G40" s="16"/>
      <c r="H40" s="18"/>
      <c r="I40" s="19" t="str">
        <f>IF(B40="","",Names!$G$21)</f>
        <v/>
      </c>
      <c r="J40" s="19" t="str">
        <f>IF(B40="","",Names!$H$21)</f>
        <v/>
      </c>
      <c r="K40" s="20" t="str">
        <f>IFERROR(VLOOKUP(B40,Names!$B$1:$C$186,3,FALSE),"")</f>
        <v/>
      </c>
    </row>
    <row r="41" spans="1:11" x14ac:dyDescent="0.35">
      <c r="A41" s="24"/>
      <c r="B41" s="15"/>
      <c r="C41" s="16" t="str">
        <f>IFERROR(VLOOKUP(B41,Names!$B$1:$C$186,2,FALSE),"")</f>
        <v/>
      </c>
      <c r="D41" s="17" t="str">
        <f>IFERROR(VLOOKUP(B41,Names!$B$1:$C$186,4,FALSE),"")</f>
        <v/>
      </c>
      <c r="E41" s="21"/>
      <c r="F41" s="14"/>
      <c r="G41" s="16"/>
      <c r="H41" s="18"/>
      <c r="I41" s="19" t="str">
        <f>IF(B41="","",Names!$G$21)</f>
        <v/>
      </c>
      <c r="J41" s="19" t="str">
        <f>IF(B41="","",Names!$H$21)</f>
        <v/>
      </c>
      <c r="K41" s="20" t="str">
        <f>IFERROR(VLOOKUP(B41,Names!$B$1:$C$186,3,FALSE),"")</f>
        <v/>
      </c>
    </row>
    <row r="42" spans="1:11" x14ac:dyDescent="0.35">
      <c r="A42" s="24"/>
      <c r="B42" s="15"/>
      <c r="C42" s="16" t="str">
        <f>IFERROR(VLOOKUP(B42,Names!$B$1:$C$186,2,FALSE),"")</f>
        <v/>
      </c>
      <c r="D42" s="17" t="str">
        <f>IFERROR(VLOOKUP(B42,Names!$B$1:$C$186,4,FALSE),"")</f>
        <v/>
      </c>
      <c r="E42" s="21"/>
      <c r="F42" s="14"/>
      <c r="G42" s="16"/>
      <c r="H42" s="18"/>
      <c r="I42" s="19" t="str">
        <f>IF(B42="","",Names!$G$21)</f>
        <v/>
      </c>
      <c r="J42" s="19" t="str">
        <f>IF(B42="","",Names!$H$21)</f>
        <v/>
      </c>
      <c r="K42" s="20" t="str">
        <f>IFERROR(VLOOKUP(B42,Names!$B$1:$C$186,3,FALSE),"")</f>
        <v/>
      </c>
    </row>
    <row r="43" spans="1:11" x14ac:dyDescent="0.35">
      <c r="A43" s="24"/>
      <c r="B43" s="15"/>
      <c r="C43" s="16" t="str">
        <f>IFERROR(VLOOKUP(B43,Names!$B$1:$C$186,2,FALSE),"")</f>
        <v/>
      </c>
      <c r="D43" s="17" t="str">
        <f>IFERROR(VLOOKUP(B43,Names!$B$1:$C$186,4,FALSE),"")</f>
        <v/>
      </c>
      <c r="E43" s="21"/>
      <c r="F43" s="14"/>
      <c r="G43" s="16"/>
      <c r="H43" s="18"/>
      <c r="I43" s="19" t="str">
        <f>IF(B43="","",Names!$G$21)</f>
        <v/>
      </c>
      <c r="J43" s="19" t="str">
        <f>IF(B43="","",Names!$H$21)</f>
        <v/>
      </c>
      <c r="K43" s="20" t="str">
        <f>IFERROR(VLOOKUP(B43,Names!$B$1:$C$186,3,FALSE),"")</f>
        <v/>
      </c>
    </row>
    <row r="44" spans="1:11" x14ac:dyDescent="0.35">
      <c r="A44" s="24"/>
      <c r="B44" s="15"/>
      <c r="C44" s="16" t="str">
        <f>IFERROR(VLOOKUP(B44,Names!$B$1:$C$186,2,FALSE),"")</f>
        <v/>
      </c>
      <c r="D44" s="17" t="str">
        <f>IFERROR(VLOOKUP(B44,Names!$B$1:$C$186,4,FALSE),"")</f>
        <v/>
      </c>
      <c r="E44" s="21"/>
      <c r="F44" s="14"/>
      <c r="G44" s="16"/>
      <c r="H44" s="18"/>
      <c r="I44" s="19" t="str">
        <f>IF(B44="","",Names!$G$21)</f>
        <v/>
      </c>
      <c r="J44" s="19" t="str">
        <f>IF(B44="","",Names!$H$21)</f>
        <v/>
      </c>
      <c r="K44" s="20" t="str">
        <f>IFERROR(VLOOKUP(B44,Names!$B$1:$C$186,3,FALSE),"")</f>
        <v/>
      </c>
    </row>
    <row r="45" spans="1:11" x14ac:dyDescent="0.35">
      <c r="A45" s="24"/>
      <c r="B45" s="15"/>
      <c r="C45" s="16" t="str">
        <f>IFERROR(VLOOKUP(B45,Names!$B$1:$C$186,2,FALSE),"")</f>
        <v/>
      </c>
      <c r="D45" s="17" t="str">
        <f>IFERROR(VLOOKUP(B45,Names!$B$1:$C$186,4,FALSE),"")</f>
        <v/>
      </c>
      <c r="E45" s="21"/>
      <c r="F45" s="14"/>
      <c r="G45" s="16"/>
      <c r="H45" s="18"/>
      <c r="I45" s="19" t="str">
        <f>IF(B45="","",Names!$G$21)</f>
        <v/>
      </c>
      <c r="J45" s="19" t="str">
        <f>IF(B45="","",Names!$H$21)</f>
        <v/>
      </c>
      <c r="K45" s="20" t="str">
        <f>IFERROR(VLOOKUP(B45,Names!$B$1:$C$186,3,FALSE),"")</f>
        <v/>
      </c>
    </row>
    <row r="46" spans="1:11" x14ac:dyDescent="0.35">
      <c r="A46" s="24"/>
      <c r="B46" s="15"/>
      <c r="C46" s="16" t="str">
        <f>IFERROR(VLOOKUP(B46,Names!$B$1:$C$186,2,FALSE),"")</f>
        <v/>
      </c>
      <c r="D46" s="17" t="str">
        <f>IFERROR(VLOOKUP(B46,Names!$B$1:$C$186,4,FALSE),"")</f>
        <v/>
      </c>
      <c r="E46" s="21"/>
      <c r="F46" s="14"/>
      <c r="G46" s="16"/>
      <c r="H46" s="18"/>
      <c r="I46" s="19" t="str">
        <f>IF(B46="","",Names!$G$21)</f>
        <v/>
      </c>
      <c r="J46" s="19" t="str">
        <f>IF(B46="","",Names!$H$21)</f>
        <v/>
      </c>
      <c r="K46" s="20" t="str">
        <f>IFERROR(VLOOKUP(B46,Names!$B$1:$C$186,3,FALSE),"")</f>
        <v/>
      </c>
    </row>
    <row r="47" spans="1:11" x14ac:dyDescent="0.35">
      <c r="A47" s="24"/>
      <c r="B47" s="15"/>
      <c r="C47" s="16" t="str">
        <f>IFERROR(VLOOKUP(B47,Names!$B$1:$C$186,2,FALSE),"")</f>
        <v/>
      </c>
      <c r="D47" s="17" t="str">
        <f>IFERROR(VLOOKUP(B47,Names!$B$1:$C$186,4,FALSE),"")</f>
        <v/>
      </c>
      <c r="E47" s="21"/>
      <c r="F47" s="14"/>
      <c r="G47" s="16"/>
      <c r="H47" s="18"/>
      <c r="I47" s="19" t="str">
        <f>IF(B47="","",Names!$G$21)</f>
        <v/>
      </c>
      <c r="J47" s="19" t="str">
        <f>IF(B47="","",Names!$H$21)</f>
        <v/>
      </c>
      <c r="K47" s="20" t="str">
        <f>IFERROR(VLOOKUP(B47,Names!$B$1:$C$186,3,FALSE),"")</f>
        <v/>
      </c>
    </row>
    <row r="48" spans="1:11" x14ac:dyDescent="0.35">
      <c r="A48" s="24"/>
      <c r="B48" s="15"/>
      <c r="C48" s="16" t="str">
        <f>IFERROR(VLOOKUP(B48,Names!$B$1:$C$186,2,FALSE),"")</f>
        <v/>
      </c>
      <c r="D48" s="17" t="str">
        <f>IFERROR(VLOOKUP(B48,Names!$B$1:$C$186,4,FALSE),"")</f>
        <v/>
      </c>
      <c r="E48" s="21"/>
      <c r="F48" s="14"/>
      <c r="G48" s="16"/>
      <c r="H48" s="18"/>
      <c r="I48" s="19" t="str">
        <f>IF(B48="","",Names!$G$21)</f>
        <v/>
      </c>
      <c r="J48" s="19" t="str">
        <f>IF(B48="","",Names!$H$21)</f>
        <v/>
      </c>
      <c r="K48" s="20" t="str">
        <f>IFERROR(VLOOKUP(B48,Names!$B$1:$C$186,3,FALSE),"")</f>
        <v/>
      </c>
    </row>
    <row r="49" spans="1:11" x14ac:dyDescent="0.35">
      <c r="A49" s="24"/>
      <c r="B49" s="15"/>
      <c r="C49" s="16" t="str">
        <f>IFERROR(VLOOKUP(B49,Names!$B$1:$C$186,2,FALSE),"")</f>
        <v/>
      </c>
      <c r="D49" s="17" t="str">
        <f>IFERROR(VLOOKUP(B49,Names!$B$1:$C$186,4,FALSE),"")</f>
        <v/>
      </c>
      <c r="E49" s="21"/>
      <c r="F49" s="14"/>
      <c r="G49" s="16"/>
      <c r="H49" s="18"/>
      <c r="I49" s="19" t="str">
        <f>IF(B49="","",Names!$G$21)</f>
        <v/>
      </c>
      <c r="J49" s="19" t="str">
        <f>IF(B49="","",Names!$H$21)</f>
        <v/>
      </c>
      <c r="K49" s="20" t="str">
        <f>IFERROR(VLOOKUP(B49,Names!$B$1:$C$186,3,FALSE),"")</f>
        <v/>
      </c>
    </row>
    <row r="50" spans="1:11" x14ac:dyDescent="0.35">
      <c r="A50" s="24"/>
      <c r="B50" s="15"/>
      <c r="C50" s="16" t="str">
        <f>IFERROR(VLOOKUP(B50,Names!$B$1:$C$186,2,FALSE),"")</f>
        <v/>
      </c>
      <c r="D50" s="17" t="str">
        <f>IFERROR(VLOOKUP(B50,Names!$B$1:$C$186,4,FALSE),"")</f>
        <v/>
      </c>
      <c r="E50" s="21"/>
      <c r="F50" s="14"/>
      <c r="G50" s="16"/>
      <c r="H50" s="18"/>
      <c r="I50" s="19" t="str">
        <f>IF(B50="","",Names!$G$21)</f>
        <v/>
      </c>
      <c r="J50" s="19" t="str">
        <f>IF(B50="","",Names!$H$21)</f>
        <v/>
      </c>
      <c r="K50" s="20" t="str">
        <f>IFERROR(VLOOKUP(B50,Names!$B$1:$C$186,3,FALSE),"")</f>
        <v/>
      </c>
    </row>
    <row r="51" spans="1:11" x14ac:dyDescent="0.35">
      <c r="A51" s="24"/>
      <c r="B51" s="15"/>
      <c r="C51" s="16" t="str">
        <f>IFERROR(VLOOKUP(B51,Names!$B$1:$C$186,2,FALSE),"")</f>
        <v/>
      </c>
      <c r="D51" s="17" t="str">
        <f>IFERROR(VLOOKUP(B51,Names!$B$1:$C$186,4,FALSE),"")</f>
        <v/>
      </c>
      <c r="E51" s="21"/>
      <c r="F51" s="14"/>
      <c r="G51" s="16"/>
      <c r="H51" s="18"/>
      <c r="I51" s="19" t="str">
        <f>IF(B51="","",Names!$G$21)</f>
        <v/>
      </c>
      <c r="J51" s="19" t="str">
        <f>IF(B51="","",Names!$H$21)</f>
        <v/>
      </c>
      <c r="K51" s="20" t="str">
        <f>IFERROR(VLOOKUP(B51,Names!$B$1:$C$186,3,FALSE),"")</f>
        <v/>
      </c>
    </row>
    <row r="52" spans="1:11" x14ac:dyDescent="0.35">
      <c r="A52" s="24"/>
      <c r="B52" s="15"/>
      <c r="C52" s="16" t="str">
        <f>IFERROR(VLOOKUP(B52,Names!$B$1:$C$186,2,FALSE),"")</f>
        <v/>
      </c>
      <c r="D52" s="17" t="str">
        <f>IFERROR(VLOOKUP(B52,Names!$B$1:$C$186,4,FALSE),"")</f>
        <v/>
      </c>
      <c r="E52" s="21"/>
      <c r="F52" s="14"/>
      <c r="G52" s="16"/>
      <c r="H52" s="18"/>
      <c r="I52" s="19" t="str">
        <f>IF(B52="","",Names!$G$21)</f>
        <v/>
      </c>
      <c r="J52" s="19" t="str">
        <f>IF(B52="","",Names!$H$21)</f>
        <v/>
      </c>
      <c r="K52" s="20" t="str">
        <f>IFERROR(VLOOKUP(B52,Names!$B$1:$C$186,3,FALSE),"")</f>
        <v/>
      </c>
    </row>
    <row r="53" spans="1:11" x14ac:dyDescent="0.35">
      <c r="A53" s="24"/>
      <c r="B53" s="15"/>
      <c r="C53" s="16" t="str">
        <f>IFERROR(VLOOKUP(B53,Names!$B$1:$C$186,2,FALSE),"")</f>
        <v/>
      </c>
      <c r="D53" s="17" t="str">
        <f>IFERROR(VLOOKUP(B53,Names!$B$1:$C$186,4,FALSE),"")</f>
        <v/>
      </c>
      <c r="E53" s="21"/>
      <c r="F53" s="14"/>
      <c r="G53" s="16"/>
      <c r="H53" s="18"/>
      <c r="I53" s="19" t="str">
        <f>IF(B53="","",Names!$G$21)</f>
        <v/>
      </c>
      <c r="J53" s="19" t="str">
        <f>IF(B53="","",Names!$H$21)</f>
        <v/>
      </c>
      <c r="K53" s="20" t="str">
        <f>IFERROR(VLOOKUP(B53,Names!$B$1:$C$186,3,FALSE),"")</f>
        <v/>
      </c>
    </row>
    <row r="54" spans="1:11" x14ac:dyDescent="0.35">
      <c r="A54" s="24"/>
      <c r="B54" s="15"/>
      <c r="C54" s="16" t="str">
        <f>IFERROR(VLOOKUP(B54,Names!$B$1:$C$186,2,FALSE),"")</f>
        <v/>
      </c>
      <c r="D54" s="17" t="str">
        <f>IFERROR(VLOOKUP(B54,Names!$B$1:$C$186,4,FALSE),"")</f>
        <v/>
      </c>
      <c r="E54" s="21"/>
      <c r="F54" s="14"/>
      <c r="G54" s="16"/>
      <c r="H54" s="18"/>
      <c r="I54" s="19" t="str">
        <f>IF(B54="","",Names!$G$21)</f>
        <v/>
      </c>
      <c r="J54" s="19" t="str">
        <f>IF(B54="","",Names!$H$21)</f>
        <v/>
      </c>
      <c r="K54" s="20" t="str">
        <f>IFERROR(VLOOKUP(B54,Names!$B$1:$C$186,3,FALSE),"")</f>
        <v/>
      </c>
    </row>
    <row r="55" spans="1:11" x14ac:dyDescent="0.35">
      <c r="A55" s="24"/>
      <c r="B55" s="15"/>
      <c r="C55" s="16" t="str">
        <f>IFERROR(VLOOKUP(B55,Names!$B$1:$C$186,2,FALSE),"")</f>
        <v/>
      </c>
      <c r="D55" s="17" t="str">
        <f>IFERROR(VLOOKUP(B55,Names!$B$1:$C$186,4,FALSE),"")</f>
        <v/>
      </c>
      <c r="E55" s="21"/>
      <c r="F55" s="14"/>
      <c r="G55" s="16"/>
      <c r="H55" s="18"/>
      <c r="I55" s="19" t="str">
        <f>IF(B55="","",Names!$G$21)</f>
        <v/>
      </c>
      <c r="J55" s="19" t="str">
        <f>IF(B55="","",Names!$H$21)</f>
        <v/>
      </c>
      <c r="K55" s="20" t="str">
        <f>IFERROR(VLOOKUP(B55,Names!$B$1:$C$186,3,FALSE),"")</f>
        <v/>
      </c>
    </row>
    <row r="56" spans="1:11" x14ac:dyDescent="0.35">
      <c r="A56" s="24"/>
      <c r="B56" s="15"/>
      <c r="C56" s="16" t="str">
        <f>IFERROR(VLOOKUP(B56,Names!$B$1:$C$186,2,FALSE),"")</f>
        <v/>
      </c>
      <c r="D56" s="17" t="str">
        <f>IFERROR(VLOOKUP(B56,Names!$B$1:$C$186,4,FALSE),"")</f>
        <v/>
      </c>
      <c r="E56" s="21"/>
      <c r="F56" s="14"/>
      <c r="G56" s="16"/>
      <c r="H56" s="18"/>
      <c r="I56" s="19" t="str">
        <f>IF(B56="","",Names!$G$21)</f>
        <v/>
      </c>
      <c r="J56" s="19" t="str">
        <f>IF(B56="","",Names!$H$21)</f>
        <v/>
      </c>
      <c r="K56" s="20" t="str">
        <f>IFERROR(VLOOKUP(B56,Names!$B$1:$C$186,3,FALSE),"")</f>
        <v/>
      </c>
    </row>
    <row r="57" spans="1:11" x14ac:dyDescent="0.35">
      <c r="A57" s="24"/>
      <c r="B57" s="15"/>
      <c r="C57" s="16" t="str">
        <f>IFERROR(VLOOKUP(B57,Names!$B$1:$C$186,2,FALSE),"")</f>
        <v/>
      </c>
      <c r="D57" s="17" t="str">
        <f>IFERROR(VLOOKUP(B57,Names!$B$1:$C$186,4,FALSE),"")</f>
        <v/>
      </c>
      <c r="E57" s="21"/>
      <c r="F57" s="14"/>
      <c r="G57" s="16"/>
      <c r="H57" s="18"/>
      <c r="I57" s="19" t="str">
        <f>IF(B57="","",Names!$G$21)</f>
        <v/>
      </c>
      <c r="J57" s="19" t="str">
        <f>IF(B57="","",Names!$H$21)</f>
        <v/>
      </c>
      <c r="K57" s="20" t="str">
        <f>IFERROR(VLOOKUP(B57,Names!$B$1:$C$186,3,FALSE),"")</f>
        <v/>
      </c>
    </row>
    <row r="58" spans="1:11" x14ac:dyDescent="0.35">
      <c r="A58" s="24"/>
      <c r="B58" s="15"/>
      <c r="C58" s="16" t="str">
        <f>IFERROR(VLOOKUP(B58,Names!$B$1:$C$186,2,FALSE),"")</f>
        <v/>
      </c>
      <c r="D58" s="17" t="str">
        <f>IFERROR(VLOOKUP(B58,Names!$B$1:$C$186,4,FALSE),"")</f>
        <v/>
      </c>
      <c r="E58" s="21"/>
      <c r="F58" s="14"/>
      <c r="G58" s="16"/>
      <c r="H58" s="18"/>
      <c r="I58" s="19" t="str">
        <f>IF(B58="","",Names!$G$21)</f>
        <v/>
      </c>
      <c r="J58" s="19" t="str">
        <f>IF(B58="","",Names!$H$21)</f>
        <v/>
      </c>
      <c r="K58" s="20" t="str">
        <f>IFERROR(VLOOKUP(B58,Names!$B$1:$C$186,3,FALSE),"")</f>
        <v/>
      </c>
    </row>
    <row r="59" spans="1:11" x14ac:dyDescent="0.35">
      <c r="A59" s="24"/>
      <c r="B59" s="15"/>
      <c r="C59" s="16" t="str">
        <f>IFERROR(VLOOKUP(B59,Names!$B$1:$C$186,2,FALSE),"")</f>
        <v/>
      </c>
      <c r="D59" s="17" t="str">
        <f>IFERROR(VLOOKUP(B59,Names!$B$1:$C$186,4,FALSE),"")</f>
        <v/>
      </c>
      <c r="E59" s="21"/>
      <c r="F59" s="14"/>
      <c r="G59" s="16"/>
      <c r="H59" s="18"/>
      <c r="I59" s="19" t="str">
        <f>IF(B59="","",Names!$G$21)</f>
        <v/>
      </c>
      <c r="J59" s="19" t="str">
        <f>IF(B59="","",Names!$H$21)</f>
        <v/>
      </c>
      <c r="K59" s="20" t="str">
        <f>IFERROR(VLOOKUP(B59,Names!$B$1:$C$186,3,FALSE),"")</f>
        <v/>
      </c>
    </row>
    <row r="60" spans="1:11" x14ac:dyDescent="0.35">
      <c r="A60" s="24"/>
      <c r="B60" s="15"/>
      <c r="C60" s="16" t="str">
        <f>IFERROR(VLOOKUP(B60,Names!$B$1:$C$186,2,FALSE),"")</f>
        <v/>
      </c>
      <c r="D60" s="17" t="str">
        <f>IFERROR(VLOOKUP(B60,Names!$B$1:$C$186,4,FALSE),"")</f>
        <v/>
      </c>
      <c r="E60" s="21"/>
      <c r="F60" s="14"/>
      <c r="G60" s="16"/>
      <c r="H60" s="18"/>
      <c r="I60" s="19" t="str">
        <f>IF(B60="","",Names!$G$21)</f>
        <v/>
      </c>
      <c r="J60" s="19" t="str">
        <f>IF(B60="","",Names!$H$21)</f>
        <v/>
      </c>
      <c r="K60" s="20" t="str">
        <f>IFERROR(VLOOKUP(B60,Names!$B$1:$C$186,3,FALSE),"")</f>
        <v/>
      </c>
    </row>
    <row r="61" spans="1:11" x14ac:dyDescent="0.35">
      <c r="A61" s="24"/>
      <c r="B61" s="15"/>
      <c r="C61" s="16" t="str">
        <f>IFERROR(VLOOKUP(B61,Names!$B$1:$C$186,2,FALSE),"")</f>
        <v/>
      </c>
      <c r="D61" s="17" t="str">
        <f>IFERROR(VLOOKUP(B61,Names!$B$1:$C$186,4,FALSE),"")</f>
        <v/>
      </c>
      <c r="E61" s="21"/>
      <c r="F61" s="14"/>
      <c r="G61" s="16"/>
      <c r="H61" s="18"/>
      <c r="I61" s="19" t="str">
        <f>IF(B61="","",Names!$G$21)</f>
        <v/>
      </c>
      <c r="J61" s="19" t="str">
        <f>IF(B61="","",Names!$H$21)</f>
        <v/>
      </c>
      <c r="K61" s="20" t="str">
        <f>IFERROR(VLOOKUP(B61,Names!$B$1:$C$186,3,FALSE),"")</f>
        <v/>
      </c>
    </row>
    <row r="62" spans="1:11" x14ac:dyDescent="0.35">
      <c r="A62" s="24"/>
      <c r="B62" s="15"/>
      <c r="C62" s="16" t="str">
        <f>IFERROR(VLOOKUP(B62,Names!$B$1:$C$186,2,FALSE),"")</f>
        <v/>
      </c>
      <c r="D62" s="17" t="str">
        <f>IFERROR(VLOOKUP(B62,Names!$B$1:$C$186,4,FALSE),"")</f>
        <v/>
      </c>
      <c r="E62" s="21"/>
      <c r="F62" s="14"/>
      <c r="G62" s="16"/>
      <c r="H62" s="18"/>
      <c r="I62" s="19" t="str">
        <f>IF(B62="","",Names!$G$21)</f>
        <v/>
      </c>
      <c r="J62" s="19" t="str">
        <f>IF(B62="","",Names!$H$21)</f>
        <v/>
      </c>
      <c r="K62" s="20" t="str">
        <f>IFERROR(VLOOKUP(B62,Names!$B$1:$C$186,3,FALSE),"")</f>
        <v/>
      </c>
    </row>
    <row r="63" spans="1:11" x14ac:dyDescent="0.35">
      <c r="A63" s="24"/>
      <c r="B63" s="15"/>
      <c r="C63" s="16" t="str">
        <f>IFERROR(VLOOKUP(B63,Names!$B$1:$C$186,2,FALSE),"")</f>
        <v/>
      </c>
      <c r="D63" s="17" t="str">
        <f>IFERROR(VLOOKUP(B63,Names!$B$1:$C$186,4,FALSE),"")</f>
        <v/>
      </c>
      <c r="E63" s="21"/>
      <c r="F63" s="14"/>
      <c r="G63" s="16"/>
      <c r="H63" s="18"/>
      <c r="I63" s="19" t="str">
        <f>IF(B63="","",Names!$G$21)</f>
        <v/>
      </c>
      <c r="J63" s="19" t="str">
        <f>IF(B63="","",Names!$H$21)</f>
        <v/>
      </c>
      <c r="K63" s="20" t="str">
        <f>IFERROR(VLOOKUP(B63,Names!$B$1:$C$186,3,FALSE),"")</f>
        <v/>
      </c>
    </row>
    <row r="64" spans="1:11" x14ac:dyDescent="0.35">
      <c r="A64" s="24"/>
      <c r="B64" s="15"/>
      <c r="C64" s="16" t="str">
        <f>IFERROR(VLOOKUP(B64,Names!$B$1:$C$186,2,FALSE),"")</f>
        <v/>
      </c>
      <c r="D64" s="17" t="str">
        <f>IFERROR(VLOOKUP(B64,Names!$B$1:$C$186,4,FALSE),"")</f>
        <v/>
      </c>
      <c r="E64" s="21"/>
      <c r="F64" s="14"/>
      <c r="G64" s="16"/>
      <c r="H64" s="18"/>
      <c r="I64" s="19" t="str">
        <f>IF(B64="","",Names!$G$21)</f>
        <v/>
      </c>
      <c r="J64" s="19" t="str">
        <f>IF(B64="","",Names!$H$21)</f>
        <v/>
      </c>
      <c r="K64" s="20" t="str">
        <f>IFERROR(VLOOKUP(B64,Names!$B$1:$C$186,3,FALSE),"")</f>
        <v/>
      </c>
    </row>
    <row r="65" spans="1:11" x14ac:dyDescent="0.35">
      <c r="A65" s="24"/>
      <c r="B65" s="15"/>
      <c r="C65" s="16" t="str">
        <f>IFERROR(VLOOKUP(B65,Names!$B$1:$C$186,2,FALSE),"")</f>
        <v/>
      </c>
      <c r="D65" s="17" t="str">
        <f>IFERROR(VLOOKUP(B65,Names!$B$1:$C$186,4,FALSE),"")</f>
        <v/>
      </c>
      <c r="E65" s="21"/>
      <c r="F65" s="14"/>
      <c r="G65" s="16"/>
      <c r="H65" s="18"/>
      <c r="I65" s="19" t="str">
        <f>IF(B65="","",Names!$G$21)</f>
        <v/>
      </c>
      <c r="J65" s="19" t="str">
        <f>IF(B65="","",Names!$H$21)</f>
        <v/>
      </c>
      <c r="K65" s="20" t="str">
        <f>IFERROR(VLOOKUP(B65,Names!$B$1:$C$186,3,FALSE),"")</f>
        <v/>
      </c>
    </row>
    <row r="66" spans="1:11" x14ac:dyDescent="0.35">
      <c r="A66" s="24"/>
      <c r="B66" s="15"/>
      <c r="C66" s="16" t="str">
        <f>IFERROR(VLOOKUP(B66,Names!$B$1:$C$186,2,FALSE),"")</f>
        <v/>
      </c>
      <c r="D66" s="17" t="str">
        <f>IFERROR(VLOOKUP(B66,Names!$B$1:$C$186,4,FALSE),"")</f>
        <v/>
      </c>
      <c r="E66" s="21"/>
      <c r="F66" s="14"/>
      <c r="G66" s="16"/>
      <c r="H66" s="18"/>
      <c r="I66" s="19" t="str">
        <f>IF(B66="","",Names!$G$21)</f>
        <v/>
      </c>
      <c r="J66" s="19" t="str">
        <f>IF(B66="","",Names!$H$21)</f>
        <v/>
      </c>
      <c r="K66" s="20" t="str">
        <f>IFERROR(VLOOKUP(B66,Names!$B$1:$C$186,3,FALSE),"")</f>
        <v/>
      </c>
    </row>
    <row r="67" spans="1:11" x14ac:dyDescent="0.35">
      <c r="A67" s="24"/>
      <c r="B67" s="15"/>
      <c r="C67" s="16" t="str">
        <f>IFERROR(VLOOKUP(B67,Names!$B$1:$C$186,2,FALSE),"")</f>
        <v/>
      </c>
      <c r="D67" s="17" t="str">
        <f>IFERROR(VLOOKUP(B67,Names!$B$1:$C$186,4,FALSE),"")</f>
        <v/>
      </c>
      <c r="E67" s="21"/>
      <c r="F67" s="14"/>
      <c r="G67" s="16"/>
      <c r="H67" s="18"/>
      <c r="I67" s="19" t="str">
        <f>IF(B67="","",Names!$G$21)</f>
        <v/>
      </c>
      <c r="J67" s="19" t="str">
        <f>IF(B67="","",Names!$H$21)</f>
        <v/>
      </c>
      <c r="K67" s="20" t="str">
        <f>IFERROR(VLOOKUP(B67,Names!$B$1:$C$186,3,FALSE),"")</f>
        <v/>
      </c>
    </row>
    <row r="68" spans="1:11" x14ac:dyDescent="0.35">
      <c r="A68" s="24"/>
      <c r="B68" s="15"/>
      <c r="C68" s="16" t="str">
        <f>IFERROR(VLOOKUP(B68,Names!$B$1:$C$186,2,FALSE),"")</f>
        <v/>
      </c>
      <c r="D68" s="17" t="str">
        <f>IFERROR(VLOOKUP(B68,Names!$B$1:$C$186,4,FALSE),"")</f>
        <v/>
      </c>
      <c r="E68" s="21"/>
      <c r="F68" s="14"/>
      <c r="G68" s="16"/>
      <c r="H68" s="18"/>
      <c r="I68" s="19" t="str">
        <f>IF(B68="","",Names!$G$21)</f>
        <v/>
      </c>
      <c r="J68" s="19" t="str">
        <f>IF(B68="","",Names!$H$21)</f>
        <v/>
      </c>
      <c r="K68" s="20" t="str">
        <f>IFERROR(VLOOKUP(B68,Names!$B$1:$C$186,3,FALSE),"")</f>
        <v/>
      </c>
    </row>
    <row r="69" spans="1:11" x14ac:dyDescent="0.35">
      <c r="A69" s="24"/>
      <c r="B69" s="15"/>
      <c r="C69" s="16" t="str">
        <f>IFERROR(VLOOKUP(B69,Names!$B$1:$C$186,2,FALSE),"")</f>
        <v/>
      </c>
      <c r="D69" s="17" t="str">
        <f>IFERROR(VLOOKUP(B69,Names!$B$1:$C$186,4,FALSE),"")</f>
        <v/>
      </c>
      <c r="E69" s="21"/>
      <c r="F69" s="14"/>
      <c r="G69" s="16"/>
      <c r="H69" s="18"/>
      <c r="I69" s="19" t="str">
        <f>IF(B69="","",Names!$G$21)</f>
        <v/>
      </c>
      <c r="J69" s="19" t="str">
        <f>IF(B69="","",Names!$H$21)</f>
        <v/>
      </c>
      <c r="K69" s="20" t="str">
        <f>IFERROR(VLOOKUP(B69,Names!$B$1:$C$186,3,FALSE),"")</f>
        <v/>
      </c>
    </row>
    <row r="70" spans="1:11" x14ac:dyDescent="0.35">
      <c r="A70" s="24"/>
      <c r="B70" s="15"/>
      <c r="C70" s="16" t="str">
        <f>IFERROR(VLOOKUP(B70,Names!$B$1:$C$186,2,FALSE),"")</f>
        <v/>
      </c>
      <c r="D70" s="17" t="str">
        <f>IFERROR(VLOOKUP(B70,Names!$B$1:$C$186,4,FALSE),"")</f>
        <v/>
      </c>
      <c r="E70" s="21"/>
      <c r="F70" s="14"/>
      <c r="G70" s="16"/>
      <c r="H70" s="18"/>
      <c r="I70" s="19" t="str">
        <f>IF(B70="","",Names!$G$21)</f>
        <v/>
      </c>
      <c r="J70" s="19" t="str">
        <f>IF(B70="","",Names!$H$21)</f>
        <v/>
      </c>
      <c r="K70" s="20" t="str">
        <f>IFERROR(VLOOKUP(B70,Names!$B$1:$C$186,3,FALSE),"")</f>
        <v/>
      </c>
    </row>
    <row r="71" spans="1:11" x14ac:dyDescent="0.35">
      <c r="A71" s="24"/>
      <c r="B71" s="15"/>
      <c r="C71" s="16" t="str">
        <f>IFERROR(VLOOKUP(B71,Names!$B$1:$C$186,2,FALSE),"")</f>
        <v/>
      </c>
      <c r="D71" s="17" t="str">
        <f>IFERROR(VLOOKUP(B71,Names!$B$1:$C$186,4,FALSE),"")</f>
        <v/>
      </c>
      <c r="E71" s="21"/>
      <c r="F71" s="14"/>
      <c r="G71" s="16"/>
      <c r="H71" s="18"/>
      <c r="I71" s="19" t="str">
        <f>IF(B71="","",Names!$G$21)</f>
        <v/>
      </c>
      <c r="J71" s="19" t="str">
        <f>IF(B71="","",Names!$H$21)</f>
        <v/>
      </c>
      <c r="K71" s="20" t="str">
        <f>IFERROR(VLOOKUP(B71,Names!$B$1:$C$186,3,FALSE),"")</f>
        <v/>
      </c>
    </row>
    <row r="72" spans="1:11" x14ac:dyDescent="0.35">
      <c r="A72" s="24"/>
      <c r="B72" s="15"/>
      <c r="C72" s="16" t="str">
        <f>IFERROR(VLOOKUP(B72,Names!$B$1:$C$186,2,FALSE),"")</f>
        <v/>
      </c>
      <c r="D72" s="17" t="str">
        <f>IFERROR(VLOOKUP(B72,Names!$B$1:$C$186,4,FALSE),"")</f>
        <v/>
      </c>
      <c r="E72" s="21"/>
      <c r="F72" s="14"/>
      <c r="G72" s="16"/>
      <c r="H72" s="18"/>
      <c r="I72" s="19" t="str">
        <f>IF(B72="","",Names!$G$21)</f>
        <v/>
      </c>
      <c r="J72" s="19" t="str">
        <f>IF(B72="","",Names!$H$21)</f>
        <v/>
      </c>
      <c r="K72" s="20" t="str">
        <f>IFERROR(VLOOKUP(B72,Names!$B$1:$C$186,3,FALSE),"")</f>
        <v/>
      </c>
    </row>
    <row r="73" spans="1:11" x14ac:dyDescent="0.35">
      <c r="A73" s="24"/>
      <c r="B73" s="15"/>
      <c r="C73" s="16" t="str">
        <f>IFERROR(VLOOKUP(B73,Names!$B$1:$C$186,2,FALSE),"")</f>
        <v/>
      </c>
      <c r="D73" s="17" t="str">
        <f>IFERROR(VLOOKUP(B73,Names!$B$1:$C$186,4,FALSE),"")</f>
        <v/>
      </c>
      <c r="E73" s="21"/>
      <c r="F73" s="14"/>
      <c r="G73" s="16"/>
      <c r="H73" s="18"/>
      <c r="I73" s="19" t="str">
        <f>IF(B73="","",Names!$G$21)</f>
        <v/>
      </c>
      <c r="J73" s="19" t="str">
        <f>IF(B73="","",Names!$H$21)</f>
        <v/>
      </c>
      <c r="K73" s="20" t="str">
        <f>IFERROR(VLOOKUP(B73,Names!$B$1:$C$186,3,FALSE),"")</f>
        <v/>
      </c>
    </row>
    <row r="74" spans="1:11" x14ac:dyDescent="0.35">
      <c r="A74" s="24"/>
      <c r="B74" s="15"/>
      <c r="C74" s="16" t="str">
        <f>IFERROR(VLOOKUP(B74,Names!$B$1:$C$186,2,FALSE),"")</f>
        <v/>
      </c>
      <c r="D74" s="17" t="str">
        <f>IFERROR(VLOOKUP(B74,Names!$B$1:$C$186,4,FALSE),"")</f>
        <v/>
      </c>
      <c r="E74" s="21"/>
      <c r="F74" s="14"/>
      <c r="G74" s="16"/>
      <c r="H74" s="18"/>
      <c r="I74" s="19" t="str">
        <f>IF(B74="","",Names!$G$21)</f>
        <v/>
      </c>
      <c r="J74" s="19" t="str">
        <f>IF(B74="","",Names!$H$21)</f>
        <v/>
      </c>
      <c r="K74" s="20" t="str">
        <f>IFERROR(VLOOKUP(B74,Names!$B$1:$C$186,3,FALSE),"")</f>
        <v/>
      </c>
    </row>
    <row r="75" spans="1:11" x14ac:dyDescent="0.35">
      <c r="A75" s="24"/>
      <c r="B75" s="15"/>
      <c r="C75" s="16" t="str">
        <f>IFERROR(VLOOKUP(B75,Names!$B$1:$C$186,2,FALSE),"")</f>
        <v/>
      </c>
      <c r="D75" s="17" t="str">
        <f>IFERROR(VLOOKUP(B75,Names!$B$1:$C$186,4,FALSE),"")</f>
        <v/>
      </c>
      <c r="E75" s="21"/>
      <c r="F75" s="14"/>
      <c r="G75" s="16"/>
      <c r="H75" s="18"/>
      <c r="I75" s="19" t="str">
        <f>IF(B75="","",Names!$G$21)</f>
        <v/>
      </c>
      <c r="J75" s="19" t="str">
        <f>IF(B75="","",Names!$H$21)</f>
        <v/>
      </c>
      <c r="K75" s="20" t="str">
        <f>IFERROR(VLOOKUP(B75,Names!$B$1:$C$186,3,FALSE),"")</f>
        <v/>
      </c>
    </row>
    <row r="76" spans="1:11" x14ac:dyDescent="0.35">
      <c r="A76" s="24"/>
      <c r="B76" s="15"/>
      <c r="C76" s="16" t="str">
        <f>IFERROR(VLOOKUP(B76,Names!$B$1:$C$186,2,FALSE),"")</f>
        <v/>
      </c>
      <c r="D76" s="17" t="str">
        <f>IFERROR(VLOOKUP(B76,Names!$B$1:$C$186,4,FALSE),"")</f>
        <v/>
      </c>
      <c r="E76" s="21"/>
      <c r="F76" s="14"/>
      <c r="G76" s="16"/>
      <c r="H76" s="18"/>
      <c r="I76" s="19" t="str">
        <f>IF(B76="","",Names!$G$21)</f>
        <v/>
      </c>
      <c r="J76" s="19" t="str">
        <f>IF(B76="","",Names!$H$21)</f>
        <v/>
      </c>
      <c r="K76" s="20" t="str">
        <f>IFERROR(VLOOKUP(B76,Names!$B$1:$C$186,3,FALSE),"")</f>
        <v/>
      </c>
    </row>
    <row r="77" spans="1:11" x14ac:dyDescent="0.35">
      <c r="A77" s="24"/>
      <c r="B77" s="15"/>
      <c r="C77" s="16" t="str">
        <f>IFERROR(VLOOKUP(B77,Names!$B$1:$C$186,2,FALSE),"")</f>
        <v/>
      </c>
      <c r="D77" s="17" t="str">
        <f>IFERROR(VLOOKUP(B77,Names!$B$1:$C$186,4,FALSE),"")</f>
        <v/>
      </c>
      <c r="E77" s="21"/>
      <c r="F77" s="14"/>
      <c r="G77" s="16"/>
      <c r="H77" s="18"/>
      <c r="I77" s="19" t="str">
        <f>IF(B77="","",Names!$G$21)</f>
        <v/>
      </c>
      <c r="J77" s="19" t="str">
        <f>IF(B77="","",Names!$H$21)</f>
        <v/>
      </c>
      <c r="K77" s="20" t="str">
        <f>IFERROR(VLOOKUP(B77,Names!$B$1:$C$186,3,FALSE),"")</f>
        <v/>
      </c>
    </row>
    <row r="78" spans="1:11" x14ac:dyDescent="0.35">
      <c r="A78" s="24"/>
      <c r="B78" s="15"/>
      <c r="C78" s="16" t="str">
        <f>IFERROR(VLOOKUP(B78,Names!$B$1:$C$186,2,FALSE),"")</f>
        <v/>
      </c>
      <c r="D78" s="17" t="str">
        <f>IFERROR(VLOOKUP(B78,Names!$B$1:$C$186,4,FALSE),"")</f>
        <v/>
      </c>
      <c r="E78" s="21"/>
      <c r="F78" s="14"/>
      <c r="G78" s="16"/>
      <c r="H78" s="18"/>
      <c r="I78" s="19" t="str">
        <f>IF(B78="","",Names!$G$21)</f>
        <v/>
      </c>
      <c r="J78" s="19" t="str">
        <f>IF(B78="","",Names!$H$21)</f>
        <v/>
      </c>
      <c r="K78" s="20" t="str">
        <f>IFERROR(VLOOKUP(B78,Names!$B$1:$C$186,3,FALSE),"")</f>
        <v/>
      </c>
    </row>
    <row r="79" spans="1:11" x14ac:dyDescent="0.35">
      <c r="A79" s="24"/>
      <c r="B79" s="15"/>
      <c r="C79" s="16" t="str">
        <f>IFERROR(VLOOKUP(B79,Names!$B$1:$C$186,2,FALSE),"")</f>
        <v/>
      </c>
      <c r="D79" s="17" t="str">
        <f>IFERROR(VLOOKUP(B79,Names!$B$1:$C$186,4,FALSE),"")</f>
        <v/>
      </c>
      <c r="E79" s="21"/>
      <c r="F79" s="14"/>
      <c r="G79" s="16"/>
      <c r="H79" s="18"/>
      <c r="I79" s="19" t="str">
        <f>IF(B79="","",Names!$G$21)</f>
        <v/>
      </c>
      <c r="J79" s="19" t="str">
        <f>IF(B79="","",Names!$H$21)</f>
        <v/>
      </c>
      <c r="K79" s="20" t="str">
        <f>IFERROR(VLOOKUP(B79,Names!$B$1:$C$186,3,FALSE),"")</f>
        <v/>
      </c>
    </row>
    <row r="80" spans="1:11" x14ac:dyDescent="0.35">
      <c r="A80" s="24"/>
      <c r="B80" s="15"/>
      <c r="C80" s="16" t="str">
        <f>IFERROR(VLOOKUP(B80,Names!$B$1:$C$186,2,FALSE),"")</f>
        <v/>
      </c>
      <c r="D80" s="17" t="str">
        <f>IFERROR(VLOOKUP(B80,Names!$B$1:$C$186,4,FALSE),"")</f>
        <v/>
      </c>
      <c r="E80" s="21"/>
      <c r="F80" s="14"/>
      <c r="G80" s="16"/>
      <c r="H80" s="18"/>
      <c r="I80" s="19" t="str">
        <f>IF(B80="","",Names!$G$21)</f>
        <v/>
      </c>
      <c r="J80" s="19" t="str">
        <f>IF(B80="","",Names!$H$21)</f>
        <v/>
      </c>
      <c r="K80" s="20" t="str">
        <f>IFERROR(VLOOKUP(B80,Names!$B$1:$C$186,3,FALSE),"")</f>
        <v/>
      </c>
    </row>
    <row r="81" spans="1:11" x14ac:dyDescent="0.35">
      <c r="A81" s="24"/>
      <c r="B81" s="15"/>
      <c r="C81" s="16" t="str">
        <f>IFERROR(VLOOKUP(B81,Names!$B$1:$C$186,2,FALSE),"")</f>
        <v/>
      </c>
      <c r="D81" s="17" t="str">
        <f>IFERROR(VLOOKUP(B81,Names!$B$1:$C$186,4,FALSE),"")</f>
        <v/>
      </c>
      <c r="E81" s="21"/>
      <c r="F81" s="14"/>
      <c r="G81" s="16"/>
      <c r="H81" s="18"/>
      <c r="I81" s="19" t="str">
        <f>IF(B81="","",Names!$G$21)</f>
        <v/>
      </c>
      <c r="J81" s="19" t="str">
        <f>IF(B81="","",Names!$H$21)</f>
        <v/>
      </c>
      <c r="K81" s="20" t="str">
        <f>IFERROR(VLOOKUP(B81,Names!$B$1:$C$186,3,FALSE),"")</f>
        <v/>
      </c>
    </row>
    <row r="82" spans="1:11" x14ac:dyDescent="0.35">
      <c r="A82" s="24"/>
      <c r="B82" s="15"/>
      <c r="C82" s="16" t="str">
        <f>IFERROR(VLOOKUP(B82,Names!$B$1:$C$186,2,FALSE),"")</f>
        <v/>
      </c>
      <c r="D82" s="17" t="str">
        <f>IFERROR(VLOOKUP(B82,Names!$B$1:$C$186,4,FALSE),"")</f>
        <v/>
      </c>
      <c r="E82" s="21"/>
      <c r="F82" s="14"/>
      <c r="G82" s="16"/>
      <c r="H82" s="18"/>
      <c r="I82" s="19" t="str">
        <f>IF(B82="","",Names!$G$21)</f>
        <v/>
      </c>
      <c r="J82" s="19" t="str">
        <f>IF(B82="","",Names!$H$21)</f>
        <v/>
      </c>
      <c r="K82" s="20" t="str">
        <f>IFERROR(VLOOKUP(B82,Names!$B$1:$C$186,3,FALSE),"")</f>
        <v/>
      </c>
    </row>
    <row r="83" spans="1:11" x14ac:dyDescent="0.35">
      <c r="A83" s="24"/>
      <c r="B83" s="15"/>
      <c r="C83" s="16" t="str">
        <f>IFERROR(VLOOKUP(B83,Names!$B$1:$C$186,2,FALSE),"")</f>
        <v/>
      </c>
      <c r="D83" s="17" t="str">
        <f>IFERROR(VLOOKUP(B83,Names!$B$1:$C$186,4,FALSE),"")</f>
        <v/>
      </c>
      <c r="E83" s="21"/>
      <c r="F83" s="14"/>
      <c r="G83" s="16"/>
      <c r="H83" s="18"/>
      <c r="I83" s="19" t="str">
        <f>IF(B83="","",Names!$G$21)</f>
        <v/>
      </c>
      <c r="J83" s="19" t="str">
        <f>IF(B83="","",Names!$H$21)</f>
        <v/>
      </c>
      <c r="K83" s="20" t="str">
        <f>IFERROR(VLOOKUP(B83,Names!$B$1:$C$186,3,FALSE),"")</f>
        <v/>
      </c>
    </row>
    <row r="84" spans="1:11" x14ac:dyDescent="0.35">
      <c r="A84" s="24"/>
      <c r="B84" s="15"/>
      <c r="C84" s="16" t="str">
        <f>IFERROR(VLOOKUP(B84,Names!$B$1:$C$186,2,FALSE),"")</f>
        <v/>
      </c>
      <c r="D84" s="17" t="str">
        <f>IFERROR(VLOOKUP(B84,Names!$B$1:$C$186,4,FALSE),"")</f>
        <v/>
      </c>
      <c r="E84" s="21"/>
      <c r="F84" s="14"/>
      <c r="G84" s="16"/>
      <c r="H84" s="18"/>
      <c r="I84" s="19" t="str">
        <f>IF(B84="","",Names!$G$21)</f>
        <v/>
      </c>
      <c r="J84" s="19" t="str">
        <f>IF(B84="","",Names!$H$21)</f>
        <v/>
      </c>
      <c r="K84" s="20" t="str">
        <f>IFERROR(VLOOKUP(B84,Names!$B$1:$C$186,3,FALSE),"")</f>
        <v/>
      </c>
    </row>
    <row r="85" spans="1:11" x14ac:dyDescent="0.35">
      <c r="A85" s="24"/>
      <c r="B85" s="15"/>
      <c r="C85" s="16" t="str">
        <f>IFERROR(VLOOKUP(B85,Names!$B$1:$C$186,2,FALSE),"")</f>
        <v/>
      </c>
      <c r="D85" s="17" t="str">
        <f>IFERROR(VLOOKUP(B85,Names!$B$1:$C$186,4,FALSE),"")</f>
        <v/>
      </c>
      <c r="E85" s="21"/>
      <c r="F85" s="14"/>
      <c r="G85" s="16"/>
      <c r="H85" s="18"/>
      <c r="I85" s="19" t="str">
        <f>IF(B85="","",Names!$G$21)</f>
        <v/>
      </c>
      <c r="J85" s="19" t="str">
        <f>IF(B85="","",Names!$H$21)</f>
        <v/>
      </c>
      <c r="K85" s="20" t="str">
        <f>IFERROR(VLOOKUP(B85,Names!$B$1:$C$186,3,FALSE),"")</f>
        <v/>
      </c>
    </row>
    <row r="86" spans="1:11" x14ac:dyDescent="0.35">
      <c r="A86" s="24"/>
      <c r="B86" s="15"/>
      <c r="C86" s="16" t="str">
        <f>IFERROR(VLOOKUP(B86,Names!$B$1:$C$186,2,FALSE),"")</f>
        <v/>
      </c>
      <c r="D86" s="17" t="str">
        <f>IFERROR(VLOOKUP(B86,Names!$B$1:$C$186,4,FALSE),"")</f>
        <v/>
      </c>
      <c r="E86" s="21"/>
      <c r="F86" s="14"/>
      <c r="G86" s="16"/>
      <c r="H86" s="18"/>
      <c r="I86" s="19" t="str">
        <f>IF(B86="","",Names!$G$21)</f>
        <v/>
      </c>
      <c r="J86" s="19" t="str">
        <f>IF(B86="","",Names!$H$21)</f>
        <v/>
      </c>
      <c r="K86" s="20" t="str">
        <f>IFERROR(VLOOKUP(B86,Names!$B$1:$C$186,3,FALSE),"")</f>
        <v/>
      </c>
    </row>
    <row r="87" spans="1:11" x14ac:dyDescent="0.35">
      <c r="A87" s="24"/>
      <c r="B87" s="15"/>
      <c r="C87" s="16" t="str">
        <f>IFERROR(VLOOKUP(B87,Names!$B$1:$C$186,2,FALSE),"")</f>
        <v/>
      </c>
      <c r="D87" s="17" t="str">
        <f>IFERROR(VLOOKUP(B87,Names!$B$1:$C$186,4,FALSE),"")</f>
        <v/>
      </c>
      <c r="E87" s="21"/>
      <c r="F87" s="14"/>
      <c r="G87" s="16"/>
      <c r="H87" s="18"/>
      <c r="I87" s="19" t="str">
        <f>IF(B87="","",Names!$G$21)</f>
        <v/>
      </c>
      <c r="J87" s="19" t="str">
        <f>IF(B87="","",Names!$H$21)</f>
        <v/>
      </c>
      <c r="K87" s="20" t="str">
        <f>IFERROR(VLOOKUP(B87,Names!$B$1:$C$186,3,FALSE),"")</f>
        <v/>
      </c>
    </row>
    <row r="88" spans="1:11" x14ac:dyDescent="0.35">
      <c r="A88" s="24"/>
      <c r="B88" s="15"/>
      <c r="C88" s="16" t="str">
        <f>IFERROR(VLOOKUP(B88,Names!$B$1:$C$186,2,FALSE),"")</f>
        <v/>
      </c>
      <c r="D88" s="17" t="str">
        <f>IFERROR(VLOOKUP(B88,Names!$B$1:$C$186,4,FALSE),"")</f>
        <v/>
      </c>
      <c r="E88" s="21"/>
      <c r="F88" s="14"/>
      <c r="G88" s="16"/>
      <c r="H88" s="18"/>
      <c r="I88" s="19" t="str">
        <f>IF(B88="","",Names!$G$21)</f>
        <v/>
      </c>
      <c r="J88" s="19" t="str">
        <f>IF(B88="","",Names!$H$21)</f>
        <v/>
      </c>
      <c r="K88" s="20" t="str">
        <f>IFERROR(VLOOKUP(B88,Names!$B$1:$C$186,3,FALSE),"")</f>
        <v/>
      </c>
    </row>
    <row r="89" spans="1:11" x14ac:dyDescent="0.35">
      <c r="A89" s="24"/>
      <c r="B89" s="15"/>
      <c r="C89" s="16" t="str">
        <f>IFERROR(VLOOKUP(B89,Names!$B$1:$C$186,2,FALSE),"")</f>
        <v/>
      </c>
      <c r="D89" s="17" t="str">
        <f>IFERROR(VLOOKUP(B89,Names!$B$1:$C$186,4,FALSE),"")</f>
        <v/>
      </c>
      <c r="E89" s="21"/>
      <c r="F89" s="14"/>
      <c r="G89" s="16"/>
      <c r="H89" s="18"/>
      <c r="I89" s="19" t="str">
        <f>IF(B89="","",Names!$G$21)</f>
        <v/>
      </c>
      <c r="J89" s="19" t="str">
        <f>IF(B89="","",Names!$H$21)</f>
        <v/>
      </c>
      <c r="K89" s="20" t="str">
        <f>IFERROR(VLOOKUP(B89,Names!$B$1:$C$186,3,FALSE),"")</f>
        <v/>
      </c>
    </row>
    <row r="90" spans="1:11" x14ac:dyDescent="0.35">
      <c r="A90" s="24"/>
      <c r="B90" s="15"/>
      <c r="C90" s="16" t="str">
        <f>IFERROR(VLOOKUP(B90,Names!$B$1:$C$186,2,FALSE),"")</f>
        <v/>
      </c>
      <c r="D90" s="17" t="str">
        <f>IFERROR(VLOOKUP(B90,Names!$B$1:$C$186,4,FALSE),"")</f>
        <v/>
      </c>
      <c r="E90" s="21"/>
      <c r="F90" s="14"/>
      <c r="G90" s="16"/>
      <c r="H90" s="18"/>
      <c r="I90" s="19" t="str">
        <f>IF(B90="","",Names!$G$21)</f>
        <v/>
      </c>
      <c r="J90" s="19" t="str">
        <f>IF(B90="","",Names!$H$21)</f>
        <v/>
      </c>
      <c r="K90" s="20" t="str">
        <f>IFERROR(VLOOKUP(B90,Names!$B$1:$C$186,3,FALSE),"")</f>
        <v/>
      </c>
    </row>
    <row r="91" spans="1:11" x14ac:dyDescent="0.35">
      <c r="A91" s="24"/>
      <c r="B91" s="15"/>
      <c r="C91" s="16" t="str">
        <f>IFERROR(VLOOKUP(B91,Names!$B$1:$C$186,2,FALSE),"")</f>
        <v/>
      </c>
      <c r="D91" s="17" t="str">
        <f>IFERROR(VLOOKUP(B91,Names!$B$1:$C$186,4,FALSE),"")</f>
        <v/>
      </c>
      <c r="E91" s="21"/>
      <c r="F91" s="14"/>
      <c r="G91" s="16"/>
      <c r="H91" s="18"/>
      <c r="I91" s="19" t="str">
        <f>IF(B91="","",Names!$G$21)</f>
        <v/>
      </c>
      <c r="J91" s="19" t="str">
        <f>IF(B91="","",Names!$H$21)</f>
        <v/>
      </c>
      <c r="K91" s="20" t="str">
        <f>IFERROR(VLOOKUP(B91,Names!$B$1:$C$186,3,FALSE),"")</f>
        <v/>
      </c>
    </row>
    <row r="92" spans="1:11" x14ac:dyDescent="0.35">
      <c r="A92" s="24"/>
      <c r="B92" s="15"/>
      <c r="C92" s="16" t="str">
        <f>IFERROR(VLOOKUP(B92,Names!$B$1:$C$186,2,FALSE),"")</f>
        <v/>
      </c>
      <c r="D92" s="17" t="str">
        <f>IFERROR(VLOOKUP(B92,Names!$B$1:$C$186,4,FALSE),"")</f>
        <v/>
      </c>
      <c r="E92" s="21"/>
      <c r="F92" s="14"/>
      <c r="G92" s="16"/>
      <c r="H92" s="18"/>
      <c r="I92" s="19" t="str">
        <f>IF(B92="","",Names!$G$21)</f>
        <v/>
      </c>
      <c r="J92" s="19" t="str">
        <f>IF(B92="","",Names!$H$21)</f>
        <v/>
      </c>
      <c r="K92" s="20" t="str">
        <f>IFERROR(VLOOKUP(B92,Names!$B$1:$C$186,3,FALSE),"")</f>
        <v/>
      </c>
    </row>
    <row r="93" spans="1:11" x14ac:dyDescent="0.35">
      <c r="A93" s="24"/>
      <c r="B93" s="15"/>
      <c r="C93" s="16" t="str">
        <f>IFERROR(VLOOKUP(B93,Names!$B$1:$C$186,2,FALSE),"")</f>
        <v/>
      </c>
      <c r="D93" s="17" t="str">
        <f>IFERROR(VLOOKUP(B93,Names!$B$1:$C$186,4,FALSE),"")</f>
        <v/>
      </c>
      <c r="E93" s="21"/>
      <c r="F93" s="14"/>
      <c r="G93" s="16"/>
      <c r="H93" s="18"/>
      <c r="I93" s="19" t="str">
        <f>IF(B93="","",Names!$G$21)</f>
        <v/>
      </c>
      <c r="J93" s="19" t="str">
        <f>IF(B93="","",Names!$H$21)</f>
        <v/>
      </c>
      <c r="K93" s="20" t="str">
        <f>IFERROR(VLOOKUP(B93,Names!$B$1:$C$186,3,FALSE),"")</f>
        <v/>
      </c>
    </row>
    <row r="94" spans="1:11" x14ac:dyDescent="0.35">
      <c r="A94" s="25"/>
      <c r="B94" s="26"/>
      <c r="C94" s="16" t="str">
        <f>IFERROR(VLOOKUP(B94,Names!$B$1:$C$186,2,FALSE),"")</f>
        <v/>
      </c>
      <c r="D94" s="17" t="str">
        <f>IFERROR(VLOOKUP(B94,Names!$B$1:$C$186,4,FALSE),"")</f>
        <v/>
      </c>
      <c r="F94" s="27"/>
      <c r="G94" s="16"/>
      <c r="H94" s="28"/>
      <c r="I94" s="19" t="str">
        <f>IF(B94="","",Names!$G$21)</f>
        <v/>
      </c>
      <c r="J94" s="19" t="str">
        <f>IF(B94="","",Names!$H$21)</f>
        <v/>
      </c>
      <c r="K94" s="20" t="str">
        <f>IFERROR(VLOOKUP(B94,Names!$B$1:$C$186,3,FALSE),"")</f>
        <v/>
      </c>
    </row>
    <row r="95" spans="1:11" x14ac:dyDescent="0.35">
      <c r="A95" s="25"/>
      <c r="B95" s="26"/>
      <c r="C95" s="16" t="str">
        <f>IFERROR(VLOOKUP(B95,Names!$B$1:$C$186,2,FALSE),"")</f>
        <v/>
      </c>
      <c r="D95" s="17" t="str">
        <f>IFERROR(VLOOKUP(B95,Names!$B$1:$C$186,4,FALSE),"")</f>
        <v/>
      </c>
      <c r="F95" s="27"/>
      <c r="G95" s="16"/>
      <c r="H95" s="28"/>
      <c r="I95" s="19" t="str">
        <f>IF(B95="","",Names!$G$21)</f>
        <v/>
      </c>
      <c r="J95" s="19" t="str">
        <f>IF(B95="","",Names!$H$21)</f>
        <v/>
      </c>
      <c r="K95" s="20" t="str">
        <f>IFERROR(VLOOKUP(B95,Names!$B$1:$C$186,3,FALSE),"")</f>
        <v/>
      </c>
    </row>
    <row r="96" spans="1:11" x14ac:dyDescent="0.35">
      <c r="A96" s="25"/>
      <c r="B96" s="26"/>
      <c r="C96" s="16" t="str">
        <f>IFERROR(VLOOKUP(B96,Names!$B$1:$C$186,2,FALSE),"")</f>
        <v/>
      </c>
      <c r="D96" s="17" t="str">
        <f>IFERROR(VLOOKUP(B96,Names!$B$1:$C$186,4,FALSE),"")</f>
        <v/>
      </c>
      <c r="F96" s="27"/>
      <c r="G96" s="16"/>
      <c r="H96" s="28"/>
      <c r="I96" s="19" t="str">
        <f>IF(B96="","",Names!$G$21)</f>
        <v/>
      </c>
      <c r="J96" s="19" t="str">
        <f>IF(B96="","",Names!$H$21)</f>
        <v/>
      </c>
      <c r="K96" s="20" t="str">
        <f>IFERROR(VLOOKUP(B96,Names!$B$1:$C$186,3,FALSE),"")</f>
        <v/>
      </c>
    </row>
    <row r="97" spans="1:11" x14ac:dyDescent="0.35">
      <c r="A97" s="25"/>
      <c r="B97" s="26"/>
      <c r="C97" s="16" t="str">
        <f>IFERROR(VLOOKUP(B97,Names!$B$1:$C$186,2,FALSE),"")</f>
        <v/>
      </c>
      <c r="D97" s="17" t="str">
        <f>IFERROR(VLOOKUP(B97,Names!$B$1:$C$186,4,FALSE),"")</f>
        <v/>
      </c>
      <c r="F97" s="27"/>
      <c r="G97" s="16"/>
      <c r="H97" s="28"/>
      <c r="I97" s="19" t="str">
        <f>IF(B97="","",Names!$G$21)</f>
        <v/>
      </c>
      <c r="J97" s="19" t="str">
        <f>IF(B97="","",Names!$H$21)</f>
        <v/>
      </c>
      <c r="K97" s="20" t="str">
        <f>IFERROR(VLOOKUP(B97,Names!$B$1:$C$186,3,FALSE),"")</f>
        <v/>
      </c>
    </row>
    <row r="98" spans="1:11" x14ac:dyDescent="0.35">
      <c r="A98" s="25"/>
      <c r="B98" s="26"/>
      <c r="C98" s="16" t="str">
        <f>IFERROR(VLOOKUP(B98,Names!$B$1:$C$186,2,FALSE),"")</f>
        <v/>
      </c>
      <c r="D98" s="17" t="str">
        <f>IFERROR(VLOOKUP(B98,Names!$B$1:$C$186,4,FALSE),"")</f>
        <v/>
      </c>
      <c r="F98" s="27"/>
      <c r="G98" s="16"/>
      <c r="H98" s="28"/>
      <c r="I98" s="19" t="str">
        <f>IF(B98="","",Names!$G$21)</f>
        <v/>
      </c>
      <c r="J98" s="19" t="str">
        <f>IF(B98="","",Names!$H$21)</f>
        <v/>
      </c>
      <c r="K98" s="20" t="str">
        <f>IFERROR(VLOOKUP(B98,Names!$B$1:$C$186,3,FALSE),"")</f>
        <v/>
      </c>
    </row>
    <row r="99" spans="1:11" x14ac:dyDescent="0.35">
      <c r="A99" s="25"/>
      <c r="B99" s="26"/>
      <c r="C99" s="16" t="str">
        <f>IFERROR(VLOOKUP(B99,Names!$B$1:$C$186,2,FALSE),"")</f>
        <v/>
      </c>
      <c r="D99" s="17" t="str">
        <f>IFERROR(VLOOKUP(B99,Names!$B$1:$C$186,4,FALSE),"")</f>
        <v/>
      </c>
      <c r="F99" s="27"/>
      <c r="G99" s="16"/>
      <c r="H99" s="28"/>
      <c r="I99" s="19" t="str">
        <f>IF(B99="","",Names!$G$21)</f>
        <v/>
      </c>
      <c r="J99" s="19" t="str">
        <f>IF(B99="","",Names!$H$21)</f>
        <v/>
      </c>
      <c r="K99" s="20" t="str">
        <f>IFERROR(VLOOKUP(B99,Names!$B$1:$C$186,3,FALSE),"")</f>
        <v/>
      </c>
    </row>
    <row r="100" spans="1:11" x14ac:dyDescent="0.35">
      <c r="A100" s="25"/>
      <c r="B100" s="26"/>
      <c r="C100" s="16" t="str">
        <f>IFERROR(VLOOKUP(B100,Names!$B$1:$C$186,2,FALSE),"")</f>
        <v/>
      </c>
      <c r="D100" s="17" t="str">
        <f>IFERROR(VLOOKUP(B100,Names!$B$1:$C$186,4,FALSE),"")</f>
        <v/>
      </c>
      <c r="F100" s="27"/>
      <c r="G100" s="16"/>
      <c r="H100" s="28"/>
      <c r="I100" s="19" t="str">
        <f>IF(B100="","",Names!$G$21)</f>
        <v/>
      </c>
      <c r="J100" s="19" t="str">
        <f>IF(B100="","",Names!$H$21)</f>
        <v/>
      </c>
      <c r="K100" s="20" t="str">
        <f>IFERROR(VLOOKUP(B100,Names!$B$1:$C$186,3,FALSE),"")</f>
        <v/>
      </c>
    </row>
    <row r="101" spans="1:11" x14ac:dyDescent="0.35">
      <c r="A101" s="25"/>
      <c r="B101" s="26"/>
      <c r="C101" s="16" t="str">
        <f>IFERROR(VLOOKUP(B101,Names!$B$1:$C$186,2,FALSE),"")</f>
        <v/>
      </c>
      <c r="D101" s="17" t="str">
        <f>IFERROR(VLOOKUP(B101,Names!$B$1:$C$186,4,FALSE),"")</f>
        <v/>
      </c>
      <c r="F101" s="27"/>
      <c r="G101" s="16"/>
      <c r="H101" s="28"/>
      <c r="I101" s="19" t="str">
        <f>IF(B101="","",Names!$G$21)</f>
        <v/>
      </c>
      <c r="J101" s="19" t="str">
        <f>IF(B101="","",Names!$H$21)</f>
        <v/>
      </c>
      <c r="K101" s="20" t="str">
        <f>IFERROR(VLOOKUP(B101,Names!$B$1:$C$186,3,FALSE),"")</f>
        <v/>
      </c>
    </row>
    <row r="102" spans="1:11" x14ac:dyDescent="0.35">
      <c r="A102" s="25"/>
      <c r="B102" s="26"/>
      <c r="C102" s="16" t="str">
        <f>IFERROR(VLOOKUP(B102,Names!$B$1:$C$186,2,FALSE),"")</f>
        <v/>
      </c>
      <c r="D102" s="17" t="str">
        <f>IFERROR(VLOOKUP(B102,Names!$B$1:$C$186,4,FALSE),"")</f>
        <v/>
      </c>
      <c r="F102" s="27"/>
      <c r="G102" s="16"/>
      <c r="H102" s="28"/>
      <c r="I102" s="19" t="str">
        <f>IF(B102="","",Names!$G$21)</f>
        <v/>
      </c>
      <c r="J102" s="19" t="str">
        <f>IF(B102="","",Names!$H$21)</f>
        <v/>
      </c>
      <c r="K102" s="20" t="str">
        <f>IFERROR(VLOOKUP(B102,Names!$B$1:$C$186,3,FALSE),"")</f>
        <v/>
      </c>
    </row>
    <row r="103" spans="1:11" x14ac:dyDescent="0.35">
      <c r="A103" s="25"/>
      <c r="B103" s="26"/>
      <c r="C103" s="16" t="str">
        <f>IFERROR(VLOOKUP(B103,Names!$B$1:$C$186,2,FALSE),"")</f>
        <v/>
      </c>
      <c r="D103" s="17" t="str">
        <f>IFERROR(VLOOKUP(B103,Names!$B$1:$C$186,4,FALSE),"")</f>
        <v/>
      </c>
      <c r="F103" s="27"/>
      <c r="G103" s="16"/>
      <c r="H103" s="28"/>
      <c r="I103" s="19" t="str">
        <f>IF(B103="","",Names!$G$21)</f>
        <v/>
      </c>
      <c r="J103" s="19" t="str">
        <f>IF(B103="","",Names!$H$21)</f>
        <v/>
      </c>
      <c r="K103" s="20" t="str">
        <f>IFERROR(VLOOKUP(B103,Names!$B$1:$C$186,3,FALSE),"")</f>
        <v/>
      </c>
    </row>
    <row r="104" spans="1:11" x14ac:dyDescent="0.35">
      <c r="A104" s="25"/>
      <c r="B104" s="26"/>
      <c r="C104" s="16" t="str">
        <f>IFERROR(VLOOKUP(B104,Names!$B$1:$C$186,2,FALSE),"")</f>
        <v/>
      </c>
      <c r="D104" s="17" t="str">
        <f>IFERROR(VLOOKUP(B104,Names!$B$1:$C$186,4,FALSE),"")</f>
        <v/>
      </c>
      <c r="F104" s="27"/>
      <c r="G104" s="16"/>
      <c r="H104" s="28"/>
      <c r="I104" s="19" t="str">
        <f>IF(B104="","",Names!$G$21)</f>
        <v/>
      </c>
      <c r="J104" s="19" t="str">
        <f>IF(B104="","",Names!$H$21)</f>
        <v/>
      </c>
      <c r="K104" s="20" t="str">
        <f>IFERROR(VLOOKUP(B104,Names!$B$1:$C$186,3,FALSE),"")</f>
        <v/>
      </c>
    </row>
    <row r="105" spans="1:11" x14ac:dyDescent="0.35">
      <c r="A105" s="25"/>
      <c r="B105" s="26"/>
      <c r="C105" s="16" t="str">
        <f>IFERROR(VLOOKUP(B105,Names!$B$1:$C$186,2,FALSE),"")</f>
        <v/>
      </c>
      <c r="D105" s="17" t="str">
        <f>IFERROR(VLOOKUP(B105,Names!$B$1:$C$186,4,FALSE),"")</f>
        <v/>
      </c>
      <c r="F105" s="27"/>
      <c r="G105" s="16"/>
      <c r="H105" s="28"/>
      <c r="I105" s="19" t="str">
        <f>IF(B105="","",Names!$G$21)</f>
        <v/>
      </c>
      <c r="J105" s="19" t="str">
        <f>IF(B105="","",Names!$H$21)</f>
        <v/>
      </c>
      <c r="K105" s="20" t="str">
        <f>IFERROR(VLOOKUP(B105,Names!$B$1:$C$186,3,FALSE),"")</f>
        <v/>
      </c>
    </row>
    <row r="106" spans="1:11" x14ac:dyDescent="0.35">
      <c r="A106" s="25"/>
      <c r="B106" s="26"/>
      <c r="C106" s="16" t="str">
        <f>IFERROR(VLOOKUP(B106,Names!$B$1:$C$186,2,FALSE),"")</f>
        <v/>
      </c>
      <c r="D106" s="17" t="str">
        <f>IFERROR(VLOOKUP(B106,Names!$B$1:$C$186,4,FALSE),"")</f>
        <v/>
      </c>
      <c r="F106" s="27"/>
      <c r="G106" s="16"/>
      <c r="H106" s="28"/>
      <c r="I106" s="19" t="str">
        <f>IF(B106="","",Names!$G$21)</f>
        <v/>
      </c>
      <c r="J106" s="19" t="str">
        <f>IF(B106="","",Names!$H$21)</f>
        <v/>
      </c>
      <c r="K106" s="20" t="str">
        <f>IFERROR(VLOOKUP(B106,Names!$B$1:$C$186,3,FALSE),"")</f>
        <v/>
      </c>
    </row>
    <row r="107" spans="1:11" x14ac:dyDescent="0.35">
      <c r="A107" s="25"/>
      <c r="B107" s="26"/>
      <c r="C107" s="16" t="str">
        <f>IFERROR(VLOOKUP(B107,Names!$B$1:$C$186,2,FALSE),"")</f>
        <v/>
      </c>
      <c r="D107" s="17" t="str">
        <f>IFERROR(VLOOKUP(B107,Names!$B$1:$C$186,4,FALSE),"")</f>
        <v/>
      </c>
      <c r="F107" s="27"/>
      <c r="G107" s="16"/>
      <c r="H107" s="28"/>
      <c r="I107" s="19" t="str">
        <f>IF(B107="","",Names!$G$21)</f>
        <v/>
      </c>
      <c r="J107" s="19" t="str">
        <f>IF(B107="","",Names!$H$21)</f>
        <v/>
      </c>
      <c r="K107" s="20" t="str">
        <f>IFERROR(VLOOKUP(B107,Names!$B$1:$C$186,3,FALSE),"")</f>
        <v/>
      </c>
    </row>
    <row r="108" spans="1:11" x14ac:dyDescent="0.35">
      <c r="A108" s="25"/>
      <c r="B108" s="26"/>
      <c r="C108" s="16" t="str">
        <f>IFERROR(VLOOKUP(B108,Names!$B$1:$C$186,2,FALSE),"")</f>
        <v/>
      </c>
      <c r="D108" s="17" t="str">
        <f>IFERROR(VLOOKUP(B108,Names!$B$1:$C$186,4,FALSE),"")</f>
        <v/>
      </c>
      <c r="F108" s="27"/>
      <c r="G108" s="16"/>
      <c r="H108" s="28"/>
      <c r="I108" s="19" t="str">
        <f>IF(B108="","",Names!$G$21)</f>
        <v/>
      </c>
      <c r="J108" s="19" t="str">
        <f>IF(B108="","",Names!$H$21)</f>
        <v/>
      </c>
      <c r="K108" s="20" t="str">
        <f>IFERROR(VLOOKUP(B108,Names!$B$1:$C$186,3,FALSE),"")</f>
        <v/>
      </c>
    </row>
    <row r="109" spans="1:11" x14ac:dyDescent="0.35">
      <c r="A109" s="25"/>
      <c r="B109" s="26"/>
      <c r="C109" s="16" t="str">
        <f>IFERROR(VLOOKUP(B109,Names!$B$1:$C$186,2,FALSE),"")</f>
        <v/>
      </c>
      <c r="D109" s="17" t="str">
        <f>IFERROR(VLOOKUP(B109,Names!$B$1:$C$186,4,FALSE),"")</f>
        <v/>
      </c>
      <c r="F109" s="27"/>
      <c r="G109" s="16"/>
      <c r="H109" s="28"/>
      <c r="I109" s="19" t="str">
        <f>IF(B109="","",Names!$G$21)</f>
        <v/>
      </c>
      <c r="J109" s="19" t="str">
        <f>IF(B109="","",Names!$H$21)</f>
        <v/>
      </c>
      <c r="K109" s="20" t="str">
        <f>IFERROR(VLOOKUP(B109,Names!$B$1:$C$186,3,FALSE),"")</f>
        <v/>
      </c>
    </row>
    <row r="110" spans="1:11" x14ac:dyDescent="0.35">
      <c r="A110" s="25"/>
      <c r="B110" s="26"/>
      <c r="C110" s="16" t="str">
        <f>IFERROR(VLOOKUP(B110,Names!$B$1:$C$186,2,FALSE),"")</f>
        <v/>
      </c>
      <c r="D110" s="17" t="str">
        <f>IFERROR(VLOOKUP(B110,Names!$B$1:$C$186,4,FALSE),"")</f>
        <v/>
      </c>
      <c r="F110" s="27"/>
      <c r="G110" s="16"/>
      <c r="H110" s="28"/>
      <c r="I110" s="19" t="str">
        <f>IF(B110="","",Names!$G$21)</f>
        <v/>
      </c>
      <c r="J110" s="19" t="str">
        <f>IF(B110="","",Names!$H$21)</f>
        <v/>
      </c>
      <c r="K110" s="20" t="str">
        <f>IFERROR(VLOOKUP(B110,Names!$B$1:$C$186,3,FALSE),"")</f>
        <v/>
      </c>
    </row>
    <row r="111" spans="1:11" x14ac:dyDescent="0.35">
      <c r="A111" s="25"/>
      <c r="B111" s="26"/>
      <c r="C111" s="29" t="str">
        <f>IFERROR(VLOOKUP(B111,Names!$B$1:$C$186,2,FALSE),"")</f>
        <v/>
      </c>
      <c r="D111" s="30" t="str">
        <f>IFERROR(VLOOKUP(B111,Names!$B$1:$C$186,4,FALSE),"")</f>
        <v/>
      </c>
      <c r="F111" s="27"/>
      <c r="G111" s="29"/>
      <c r="H111" s="28"/>
      <c r="I111" s="31" t="str">
        <f>IF(B111="","",Names!$G$21)</f>
        <v/>
      </c>
      <c r="J111" s="31" t="str">
        <f>IF(B111="","",Names!$H$21)</f>
        <v/>
      </c>
    </row>
    <row r="112" spans="1:11" x14ac:dyDescent="0.35">
      <c r="A112" s="25"/>
      <c r="B112" s="26"/>
      <c r="C112" s="29" t="str">
        <f>IFERROR(VLOOKUP(B112,Names!$B$1:$C$186,2,FALSE),"")</f>
        <v/>
      </c>
      <c r="D112" s="30" t="str">
        <f>IFERROR(VLOOKUP(B112,Names!$B$1:$C$186,4,FALSE),"")</f>
        <v/>
      </c>
      <c r="F112" s="27"/>
      <c r="G112" s="29"/>
      <c r="H112" s="28"/>
      <c r="I112" s="31" t="str">
        <f>IF(B112="","",Names!$G$21)</f>
        <v/>
      </c>
      <c r="J112" s="31" t="str">
        <f>IF(B112="","",Names!$H$21)</f>
        <v/>
      </c>
    </row>
    <row r="113" spans="1:10" x14ac:dyDescent="0.35">
      <c r="A113" s="25"/>
      <c r="B113" s="26"/>
      <c r="C113" s="29" t="str">
        <f>IFERROR(VLOOKUP(B113,Names!$B$1:$C$186,2,FALSE),"")</f>
        <v/>
      </c>
      <c r="D113" s="30" t="str">
        <f>IFERROR(VLOOKUP(B113,Names!$B$1:$C$186,4,FALSE),"")</f>
        <v/>
      </c>
      <c r="F113" s="27"/>
      <c r="G113" s="29"/>
      <c r="H113" s="28"/>
      <c r="I113" s="31" t="str">
        <f>IF(B113="","",Names!$G$21)</f>
        <v/>
      </c>
      <c r="J113" s="31" t="str">
        <f>IF(B113="","",Names!$H$21)</f>
        <v/>
      </c>
    </row>
    <row r="114" spans="1:10" x14ac:dyDescent="0.35">
      <c r="A114" s="25"/>
      <c r="B114" s="26"/>
      <c r="C114" s="29" t="str">
        <f>IFERROR(VLOOKUP(B114,Names!$B$1:$C$186,2,FALSE),"")</f>
        <v/>
      </c>
      <c r="D114" s="30" t="str">
        <f>IFERROR(VLOOKUP(B114,Names!$B$1:$C$186,4,FALSE),"")</f>
        <v/>
      </c>
      <c r="F114" s="27"/>
      <c r="G114" s="29"/>
      <c r="H114" s="28"/>
      <c r="I114" s="31" t="str">
        <f>IF(B114="","",Names!$G$21)</f>
        <v/>
      </c>
      <c r="J114" s="31" t="str">
        <f>IF(B114="","",Names!$H$21)</f>
        <v/>
      </c>
    </row>
    <row r="115" spans="1:10" x14ac:dyDescent="0.35">
      <c r="A115" s="25"/>
      <c r="B115" s="26"/>
      <c r="C115" s="29" t="str">
        <f>IFERROR(VLOOKUP(B115,Names!$B$1:$C$186,2,FALSE),"")</f>
        <v/>
      </c>
      <c r="D115" s="30" t="str">
        <f>IFERROR(VLOOKUP(B115,Names!$B$1:$C$186,4,FALSE),"")</f>
        <v/>
      </c>
      <c r="F115" s="27"/>
      <c r="G115" s="29"/>
      <c r="H115" s="28"/>
      <c r="I115" s="31" t="str">
        <f>IF(B115="","",Names!$G$21)</f>
        <v/>
      </c>
      <c r="J115" s="31" t="str">
        <f>IF(B115="","",Names!$H$21)</f>
        <v/>
      </c>
    </row>
    <row r="116" spans="1:10" x14ac:dyDescent="0.35">
      <c r="A116" s="25"/>
      <c r="B116" s="26"/>
      <c r="C116" s="29" t="str">
        <f>IFERROR(VLOOKUP(B116,Names!$B$1:$C$186,2,FALSE),"")</f>
        <v/>
      </c>
      <c r="D116" s="30" t="str">
        <f>IFERROR(VLOOKUP(B116,Names!$B$1:$C$186,4,FALSE),"")</f>
        <v/>
      </c>
      <c r="F116" s="27"/>
      <c r="G116" s="29"/>
      <c r="H116" s="28"/>
      <c r="I116" s="31" t="str">
        <f>IF(B116="","",Names!$G$21)</f>
        <v/>
      </c>
      <c r="J116" s="31" t="str">
        <f>IF(B116="","",Names!$H$21)</f>
        <v/>
      </c>
    </row>
    <row r="117" spans="1:10" x14ac:dyDescent="0.35">
      <c r="A117" s="25"/>
      <c r="B117" s="26"/>
      <c r="C117" s="29" t="str">
        <f>IFERROR(VLOOKUP(B117,Names!$B$1:$C$186,2,FALSE),"")</f>
        <v/>
      </c>
      <c r="D117" s="30" t="str">
        <f>IFERROR(VLOOKUP(B117,Names!$B$1:$C$186,4,FALSE),"")</f>
        <v/>
      </c>
      <c r="F117" s="27"/>
      <c r="G117" s="29"/>
      <c r="H117" s="28"/>
      <c r="I117" s="31" t="str">
        <f>IF(B117="","",Names!$G$21)</f>
        <v/>
      </c>
      <c r="J117" s="31" t="str">
        <f>IF(B117="","",Names!$H$21)</f>
        <v/>
      </c>
    </row>
    <row r="118" spans="1:10" x14ac:dyDescent="0.35">
      <c r="A118" s="25"/>
      <c r="B118" s="26"/>
      <c r="C118" s="29" t="str">
        <f>IFERROR(VLOOKUP(B118,Names!$B$1:$C$186,2,FALSE),"")</f>
        <v/>
      </c>
      <c r="D118" s="30" t="str">
        <f>IFERROR(VLOOKUP(B118,Names!$B$1:$C$186,4,FALSE),"")</f>
        <v/>
      </c>
      <c r="F118" s="27"/>
      <c r="G118" s="29"/>
      <c r="H118" s="28"/>
      <c r="I118" s="31" t="str">
        <f>IF(B118="","",Names!$G$21)</f>
        <v/>
      </c>
      <c r="J118" s="31" t="str">
        <f>IF(B118="","",Names!$H$21)</f>
        <v/>
      </c>
    </row>
    <row r="119" spans="1:10" x14ac:dyDescent="0.35">
      <c r="A119" s="25"/>
      <c r="B119" s="26"/>
      <c r="C119" s="29" t="str">
        <f>IFERROR(VLOOKUP(B119,Names!$B$1:$C$186,2,FALSE),"")</f>
        <v/>
      </c>
      <c r="D119" s="30" t="str">
        <f>IFERROR(VLOOKUP(B119,Names!$B$1:$C$186,4,FALSE),"")</f>
        <v/>
      </c>
      <c r="F119" s="27"/>
      <c r="G119" s="29"/>
      <c r="H119" s="28"/>
      <c r="I119" s="31" t="str">
        <f>IF(B119="","",Names!$G$21)</f>
        <v/>
      </c>
      <c r="J119" s="31" t="str">
        <f>IF(B119="","",Names!$H$21)</f>
        <v/>
      </c>
    </row>
    <row r="120" spans="1:10" x14ac:dyDescent="0.35">
      <c r="A120" s="25"/>
      <c r="B120" s="26"/>
      <c r="C120" s="29" t="str">
        <f>IFERROR(VLOOKUP(B120,Names!$B$1:$C$186,2,FALSE),"")</f>
        <v/>
      </c>
      <c r="D120" s="30" t="str">
        <f>IFERROR(VLOOKUP(B120,Names!$B$1:$C$186,4,FALSE),"")</f>
        <v/>
      </c>
      <c r="F120" s="27"/>
      <c r="G120" s="29"/>
      <c r="H120" s="28"/>
      <c r="I120" s="31" t="str">
        <f>IF(B120="","",Names!$G$21)</f>
        <v/>
      </c>
      <c r="J120" s="31" t="str">
        <f>IF(B120="","",Names!$H$21)</f>
        <v/>
      </c>
    </row>
    <row r="121" spans="1:10" x14ac:dyDescent="0.35">
      <c r="A121" s="25"/>
      <c r="B121" s="26"/>
      <c r="C121" s="29" t="str">
        <f>IFERROR(VLOOKUP(B121,Names!$B$1:$C$186,2,FALSE),"")</f>
        <v/>
      </c>
      <c r="D121" s="30" t="str">
        <f>IFERROR(VLOOKUP(B121,Names!$B$1:$C$186,4,FALSE),"")</f>
        <v/>
      </c>
      <c r="F121" s="27"/>
      <c r="G121" s="29"/>
      <c r="H121" s="28"/>
      <c r="I121" s="31" t="str">
        <f>IF(B121="","",Names!$G$21)</f>
        <v/>
      </c>
      <c r="J121" s="31" t="str">
        <f>IF(B121="","",Names!$H$21)</f>
        <v/>
      </c>
    </row>
    <row r="122" spans="1:10" x14ac:dyDescent="0.35">
      <c r="A122" s="25"/>
      <c r="B122" s="26"/>
      <c r="C122" s="29" t="str">
        <f>IFERROR(VLOOKUP(B122,Names!$B$1:$C$186,2,FALSE),"")</f>
        <v/>
      </c>
      <c r="D122" s="30" t="str">
        <f>IFERROR(VLOOKUP(B122,Names!$B$1:$C$186,4,FALSE),"")</f>
        <v/>
      </c>
      <c r="F122" s="27"/>
      <c r="G122" s="29"/>
      <c r="H122" s="28"/>
      <c r="I122" s="31" t="str">
        <f>IF(B122="","",Names!$G$21)</f>
        <v/>
      </c>
      <c r="J122" s="31" t="str">
        <f>IF(B122="","",Names!$H$21)</f>
        <v/>
      </c>
    </row>
    <row r="123" spans="1:10" x14ac:dyDescent="0.35">
      <c r="A123" s="25"/>
      <c r="B123" s="26"/>
      <c r="C123" s="29" t="str">
        <f>IFERROR(VLOOKUP(B123,Names!$B$1:$C$186,2,FALSE),"")</f>
        <v/>
      </c>
      <c r="D123" s="30" t="str">
        <f>IFERROR(VLOOKUP(B123,Names!$B$1:$C$186,4,FALSE),"")</f>
        <v/>
      </c>
      <c r="F123" s="27"/>
      <c r="G123" s="29"/>
      <c r="H123" s="28"/>
      <c r="I123" s="31" t="str">
        <f>IF(B123="","",Names!$G$21)</f>
        <v/>
      </c>
      <c r="J123" s="31" t="str">
        <f>IF(B123="","",Names!$H$21)</f>
        <v/>
      </c>
    </row>
    <row r="124" spans="1:10" x14ac:dyDescent="0.35">
      <c r="A124" s="25"/>
      <c r="B124" s="26"/>
      <c r="C124" s="29" t="str">
        <f>IFERROR(VLOOKUP(B124,Names!$B$1:$C$186,2,FALSE),"")</f>
        <v/>
      </c>
      <c r="D124" s="30" t="str">
        <f>IFERROR(VLOOKUP(B124,Names!$B$1:$C$186,4,FALSE),"")</f>
        <v/>
      </c>
      <c r="F124" s="27"/>
      <c r="G124" s="29"/>
      <c r="H124" s="28"/>
      <c r="I124" s="31" t="str">
        <f>IF(B124="","",Names!$G$21)</f>
        <v/>
      </c>
      <c r="J124" s="31" t="str">
        <f>IF(B124="","",Names!$H$21)</f>
        <v/>
      </c>
    </row>
    <row r="125" spans="1:10" x14ac:dyDescent="0.35">
      <c r="A125" s="25"/>
      <c r="B125" s="26"/>
      <c r="C125" s="29" t="str">
        <f>IFERROR(VLOOKUP(B125,Names!$B$1:$C$186,2,FALSE),"")</f>
        <v/>
      </c>
      <c r="D125" s="30" t="str">
        <f>IFERROR(VLOOKUP(B125,Names!$B$1:$C$186,4,FALSE),"")</f>
        <v/>
      </c>
      <c r="F125" s="27"/>
      <c r="G125" s="29"/>
      <c r="H125" s="28"/>
      <c r="I125" s="31" t="str">
        <f>IF(B125="","",Names!$G$21)</f>
        <v/>
      </c>
      <c r="J125" s="31" t="str">
        <f>IF(B125="","",Names!$H$21)</f>
        <v/>
      </c>
    </row>
    <row r="126" spans="1:10" x14ac:dyDescent="0.35">
      <c r="A126" s="25"/>
      <c r="B126" s="26"/>
      <c r="C126" s="29" t="str">
        <f>IFERROR(VLOOKUP(B126,Names!$B$1:$C$186,2,FALSE),"")</f>
        <v/>
      </c>
      <c r="D126" s="30" t="str">
        <f>IFERROR(VLOOKUP(B126,Names!$B$1:$C$186,4,FALSE),"")</f>
        <v/>
      </c>
      <c r="F126" s="27"/>
      <c r="G126" s="29"/>
      <c r="H126" s="28"/>
      <c r="I126" s="31" t="str">
        <f>IF(B126="","",Names!$G$21)</f>
        <v/>
      </c>
      <c r="J126" s="31" t="str">
        <f>IF(B126="","",Names!$H$21)</f>
        <v/>
      </c>
    </row>
    <row r="127" spans="1:10" x14ac:dyDescent="0.35">
      <c r="A127" s="25"/>
      <c r="B127" s="26"/>
      <c r="C127" s="29" t="str">
        <f>IFERROR(VLOOKUP(B127,Names!$B$1:$C$186,2,FALSE),"")</f>
        <v/>
      </c>
      <c r="D127" s="30" t="str">
        <f>IFERROR(VLOOKUP(B127,Names!$B$1:$C$186,4,FALSE),"")</f>
        <v/>
      </c>
      <c r="F127" s="27"/>
      <c r="G127" s="29"/>
      <c r="H127" s="28"/>
      <c r="I127" s="31" t="str">
        <f>IF(B127="","",Names!$G$21)</f>
        <v/>
      </c>
      <c r="J127" s="31" t="str">
        <f>IF(B127="","",Names!$H$21)</f>
        <v/>
      </c>
    </row>
    <row r="128" spans="1:10" x14ac:dyDescent="0.35">
      <c r="A128" s="25"/>
      <c r="B128" s="26"/>
      <c r="C128" s="29" t="str">
        <f>IFERROR(VLOOKUP(B128,Names!$B$1:$C$186,2,FALSE),"")</f>
        <v/>
      </c>
      <c r="D128" s="30" t="str">
        <f>IFERROR(VLOOKUP(B128,Names!$B$1:$C$186,4,FALSE),"")</f>
        <v/>
      </c>
      <c r="F128" s="27"/>
      <c r="G128" s="29"/>
      <c r="H128" s="28"/>
      <c r="I128" s="31" t="str">
        <f>IF(B128="","",Names!$G$21)</f>
        <v/>
      </c>
      <c r="J128" s="31" t="str">
        <f>IF(B128="","",Names!$H$21)</f>
        <v/>
      </c>
    </row>
    <row r="129" spans="1:10" x14ac:dyDescent="0.35">
      <c r="A129" s="25"/>
      <c r="B129" s="26"/>
      <c r="C129" s="29" t="str">
        <f>IFERROR(VLOOKUP(B129,Names!$B$1:$C$186,2,FALSE),"")</f>
        <v/>
      </c>
      <c r="D129" s="30" t="str">
        <f>IFERROR(VLOOKUP(B129,Names!$B$1:$C$186,4,FALSE),"")</f>
        <v/>
      </c>
      <c r="F129" s="27"/>
      <c r="G129" s="29"/>
      <c r="H129" s="28"/>
      <c r="I129" s="31" t="str">
        <f>IF(B129="","",Names!$G$21)</f>
        <v/>
      </c>
      <c r="J129" s="31" t="str">
        <f>IF(B129="","",Names!$H$21)</f>
        <v/>
      </c>
    </row>
    <row r="130" spans="1:10" x14ac:dyDescent="0.35">
      <c r="A130" s="25"/>
      <c r="B130" s="26"/>
      <c r="C130" s="29" t="str">
        <f>IFERROR(VLOOKUP(B130,Names!$B$1:$C$186,2,FALSE),"")</f>
        <v/>
      </c>
      <c r="D130" s="30" t="str">
        <f>IFERROR(VLOOKUP(B130,Names!$B$1:$C$186,4,FALSE),"")</f>
        <v/>
      </c>
      <c r="F130" s="27"/>
      <c r="G130" s="29"/>
      <c r="H130" s="28"/>
      <c r="I130" s="31" t="str">
        <f>IF(B130="","",Names!$G$21)</f>
        <v/>
      </c>
      <c r="J130" s="31" t="str">
        <f>IF(B130="","",Names!$H$21)</f>
        <v/>
      </c>
    </row>
    <row r="131" spans="1:10" x14ac:dyDescent="0.35">
      <c r="A131" s="25"/>
      <c r="B131" s="26"/>
      <c r="C131" s="29" t="str">
        <f>IFERROR(VLOOKUP(B131,Names!$B$1:$C$186,2,FALSE),"")</f>
        <v/>
      </c>
      <c r="D131" s="30" t="str">
        <f>IFERROR(VLOOKUP(B131,Names!$B$1:$C$186,4,FALSE),"")</f>
        <v/>
      </c>
      <c r="F131" s="27"/>
      <c r="G131" s="29"/>
      <c r="H131" s="28"/>
      <c r="I131" s="31" t="str">
        <f>IF(B131="","",Names!$G$21)</f>
        <v/>
      </c>
      <c r="J131" s="31" t="str">
        <f>IF(B131="","",Names!$H$21)</f>
        <v/>
      </c>
    </row>
    <row r="132" spans="1:10" x14ac:dyDescent="0.35">
      <c r="A132" s="25"/>
      <c r="B132" s="26"/>
      <c r="C132" s="29" t="str">
        <f>IFERROR(VLOOKUP(B132,Names!$B$1:$C$186,2,FALSE),"")</f>
        <v/>
      </c>
      <c r="D132" s="30" t="str">
        <f>IFERROR(VLOOKUP(B132,Names!$B$1:$C$186,4,FALSE),"")</f>
        <v/>
      </c>
      <c r="F132" s="27"/>
      <c r="G132" s="29"/>
      <c r="H132" s="28"/>
      <c r="I132" s="31" t="str">
        <f>IF(B132="","",Names!$G$21)</f>
        <v/>
      </c>
      <c r="J132" s="31" t="str">
        <f>IF(B132="","",Names!$H$21)</f>
        <v/>
      </c>
    </row>
    <row r="133" spans="1:10" x14ac:dyDescent="0.35">
      <c r="A133" s="25"/>
      <c r="B133" s="26"/>
      <c r="C133" s="29" t="str">
        <f>IFERROR(VLOOKUP(B133,Names!$B$1:$C$186,2,FALSE),"")</f>
        <v/>
      </c>
      <c r="D133" s="30" t="str">
        <f>IFERROR(VLOOKUP(B133,Names!$B$1:$C$186,4,FALSE),"")</f>
        <v/>
      </c>
      <c r="F133" s="27"/>
      <c r="G133" s="29"/>
      <c r="H133" s="28"/>
      <c r="I133" s="31" t="str">
        <f>IF(B133="","",Names!$G$21)</f>
        <v/>
      </c>
      <c r="J133" s="31" t="str">
        <f>IF(B133="","",Names!$H$21)</f>
        <v/>
      </c>
    </row>
    <row r="134" spans="1:10" x14ac:dyDescent="0.35">
      <c r="A134" s="25"/>
      <c r="B134" s="26"/>
      <c r="C134" s="29" t="str">
        <f>IFERROR(VLOOKUP(B134,Names!$B$1:$C$186,2,FALSE),"")</f>
        <v/>
      </c>
      <c r="D134" s="30" t="str">
        <f>IFERROR(VLOOKUP(B134,Names!$B$1:$C$186,4,FALSE),"")</f>
        <v/>
      </c>
      <c r="F134" s="27"/>
      <c r="G134" s="29"/>
      <c r="H134" s="28"/>
      <c r="I134" s="31" t="str">
        <f>IF(B134="","",Names!$G$21)</f>
        <v/>
      </c>
      <c r="J134" s="31" t="str">
        <f>IF(B134="","",Names!$H$21)</f>
        <v/>
      </c>
    </row>
    <row r="135" spans="1:10" x14ac:dyDescent="0.35">
      <c r="A135" s="25"/>
      <c r="B135" s="26"/>
      <c r="C135" s="29" t="str">
        <f>IFERROR(VLOOKUP(B135,Names!$B$1:$C$186,2,FALSE),"")</f>
        <v/>
      </c>
      <c r="D135" s="30" t="str">
        <f>IFERROR(VLOOKUP(B135,Names!$B$1:$C$186,4,FALSE),"")</f>
        <v/>
      </c>
      <c r="F135" s="27"/>
      <c r="G135" s="29"/>
      <c r="H135" s="28"/>
      <c r="I135" s="31" t="str">
        <f>IF(B135="","",Names!$G$21)</f>
        <v/>
      </c>
      <c r="J135" s="31" t="str">
        <f>IF(B135="","",Names!$H$21)</f>
        <v/>
      </c>
    </row>
    <row r="136" spans="1:10" x14ac:dyDescent="0.35">
      <c r="A136" s="25"/>
      <c r="B136" s="26"/>
      <c r="C136" s="29" t="str">
        <f>IFERROR(VLOOKUP(B136,Names!$B$1:$C$186,2,FALSE),"")</f>
        <v/>
      </c>
      <c r="D136" s="30" t="str">
        <f>IFERROR(VLOOKUP(B136,Names!$B$1:$C$186,4,FALSE),"")</f>
        <v/>
      </c>
      <c r="F136" s="27"/>
      <c r="G136" s="29"/>
      <c r="H136" s="28"/>
      <c r="I136" s="31" t="str">
        <f>IF(B136="","",Names!$G$21)</f>
        <v/>
      </c>
      <c r="J136" s="31" t="str">
        <f>IF(B136="","",Names!$H$21)</f>
        <v/>
      </c>
    </row>
  </sheetData>
  <sheetProtection autoFilter="0"/>
  <mergeCells count="2">
    <mergeCell ref="C1:F1"/>
    <mergeCell ref="H1:J1"/>
  </mergeCells>
  <conditionalFormatting sqref="I4:J1048576">
    <cfRule type="notContainsBlanks" dxfId="0" priority="1">
      <formula>LEN(TRIM(I4))&gt;0</formula>
    </cfRule>
  </conditionalFormatting>
  <pageMargins left="0.7" right="0.7" top="0.75" bottom="0.75" header="0.3" footer="0.3"/>
  <pageSetup paperSize="9" scale="89" fitToHeight="0" orientation="landscape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339"/>
  <sheetViews>
    <sheetView zoomScaleNormal="100" workbookViewId="0">
      <selection activeCell="H2" sqref="H2"/>
    </sheetView>
  </sheetViews>
  <sheetFormatPr defaultRowHeight="14.5" customHeight="1" x14ac:dyDescent="0.35"/>
  <cols>
    <col min="1" max="1" width="11" customWidth="1"/>
    <col min="2" max="2" width="18.26953125" customWidth="1"/>
    <col min="3" max="4" width="12.7265625" customWidth="1"/>
    <col min="5" max="5" width="18.26953125" customWidth="1"/>
    <col min="6" max="6" width="18.7265625" customWidth="1"/>
    <col min="8" max="8" width="10.1796875" customWidth="1"/>
    <col min="9" max="9" width="13.26953125" customWidth="1"/>
    <col min="13" max="13" width="12.7265625" customWidth="1"/>
    <col min="14" max="20" width="8.81640625" style="32" customWidth="1"/>
  </cols>
  <sheetData>
    <row r="1" spans="1:20" s="33" customFormat="1" ht="72.650000000000006" customHeight="1" x14ac:dyDescent="0.35">
      <c r="A1" s="34" t="s">
        <v>21</v>
      </c>
      <c r="B1" s="34" t="s">
        <v>22</v>
      </c>
      <c r="C1" s="34" t="s">
        <v>23</v>
      </c>
      <c r="D1" s="34" t="s">
        <v>24</v>
      </c>
      <c r="E1" s="34" t="s">
        <v>25</v>
      </c>
      <c r="F1" s="34" t="s">
        <v>26</v>
      </c>
      <c r="G1" s="34" t="s">
        <v>27</v>
      </c>
      <c r="H1" s="35" t="s">
        <v>28</v>
      </c>
      <c r="I1" s="34" t="s">
        <v>29</v>
      </c>
      <c r="J1" s="34" t="s">
        <v>30</v>
      </c>
      <c r="K1" s="34" t="s">
        <v>31</v>
      </c>
      <c r="L1" s="34" t="s">
        <v>32</v>
      </c>
      <c r="M1" s="34" t="s">
        <v>33</v>
      </c>
      <c r="N1" s="36" t="s">
        <v>34</v>
      </c>
      <c r="O1" s="36" t="s">
        <v>35</v>
      </c>
      <c r="P1" s="36" t="s">
        <v>36</v>
      </c>
      <c r="Q1" s="36" t="s">
        <v>37</v>
      </c>
      <c r="R1" s="36" t="s">
        <v>38</v>
      </c>
      <c r="S1" s="36" t="s">
        <v>39</v>
      </c>
      <c r="T1" s="36" t="s">
        <v>40</v>
      </c>
    </row>
    <row r="2" spans="1:20" x14ac:dyDescent="0.35">
      <c r="A2" s="37">
        <f>'Vendor Entry Sheet'!A4</f>
        <v>0</v>
      </c>
      <c r="B2" s="38">
        <f>'Vendor Entry Sheet'!C4</f>
        <v>0</v>
      </c>
      <c r="C2">
        <f>'Vendor Entry Sheet'!I4</f>
        <v>0</v>
      </c>
      <c r="D2" s="39">
        <f>'Vendor Entry Sheet'!J4</f>
        <v>0</v>
      </c>
      <c r="E2">
        <f>'Vendor Entry Sheet'!D4</f>
        <v>0</v>
      </c>
      <c r="F2">
        <f>'Vendor Entry Sheet'!E4</f>
        <v>0</v>
      </c>
      <c r="H2" s="40">
        <f>'Vendor Entry Sheet'!F4</f>
        <v>0</v>
      </c>
      <c r="I2">
        <f>'Vendor Entry Sheet'!G4</f>
        <v>0</v>
      </c>
      <c r="K2" s="41">
        <v>1005</v>
      </c>
      <c r="L2">
        <f>'Vendor Entry Sheet'!H4</f>
        <v>0</v>
      </c>
      <c r="M2" s="41" t="s">
        <v>41</v>
      </c>
    </row>
    <row r="3" spans="1:20" x14ac:dyDescent="0.35">
      <c r="A3" s="37">
        <f>'Vendor Entry Sheet'!A5</f>
        <v>0</v>
      </c>
      <c r="B3" s="38" t="str">
        <f>'Vendor Entry Sheet'!C5</f>
        <v/>
      </c>
      <c r="C3" t="str">
        <f>'Vendor Entry Sheet'!I5</f>
        <v/>
      </c>
      <c r="D3" s="39" t="str">
        <f>'Vendor Entry Sheet'!J5</f>
        <v/>
      </c>
      <c r="E3" t="str">
        <f>'Vendor Entry Sheet'!D5</f>
        <v/>
      </c>
      <c r="F3">
        <f>'Vendor Entry Sheet'!E5</f>
        <v>0</v>
      </c>
      <c r="H3" s="40">
        <f>'Vendor Entry Sheet'!F5</f>
        <v>0</v>
      </c>
      <c r="I3">
        <f>'Vendor Entry Sheet'!G5</f>
        <v>0</v>
      </c>
      <c r="K3" s="41">
        <v>1005</v>
      </c>
      <c r="L3">
        <f>'Vendor Entry Sheet'!H5</f>
        <v>0</v>
      </c>
      <c r="M3" s="41" t="s">
        <v>41</v>
      </c>
    </row>
    <row r="4" spans="1:20" x14ac:dyDescent="0.35">
      <c r="A4" s="37">
        <f>'Vendor Entry Sheet'!A6</f>
        <v>0</v>
      </c>
      <c r="B4" s="38" t="str">
        <f>'Vendor Entry Sheet'!C6</f>
        <v/>
      </c>
      <c r="C4" t="str">
        <f>'Vendor Entry Sheet'!I6</f>
        <v/>
      </c>
      <c r="D4" s="39" t="str">
        <f>'Vendor Entry Sheet'!J6</f>
        <v/>
      </c>
      <c r="E4" t="str">
        <f>'Vendor Entry Sheet'!D6</f>
        <v/>
      </c>
      <c r="F4">
        <f>'Vendor Entry Sheet'!E6</f>
        <v>0</v>
      </c>
      <c r="H4" s="40">
        <f>'Vendor Entry Sheet'!F6</f>
        <v>0</v>
      </c>
      <c r="I4">
        <f>'Vendor Entry Sheet'!G6</f>
        <v>0</v>
      </c>
      <c r="K4" s="41">
        <v>1005</v>
      </c>
      <c r="L4">
        <f>'Vendor Entry Sheet'!H6</f>
        <v>0</v>
      </c>
      <c r="M4" s="41" t="s">
        <v>41</v>
      </c>
    </row>
    <row r="5" spans="1:20" x14ac:dyDescent="0.35">
      <c r="A5" s="37">
        <f>'Vendor Entry Sheet'!A7</f>
        <v>0</v>
      </c>
      <c r="B5" s="38" t="str">
        <f>'Vendor Entry Sheet'!C7</f>
        <v/>
      </c>
      <c r="C5" t="str">
        <f>'Vendor Entry Sheet'!I7</f>
        <v/>
      </c>
      <c r="D5" s="39" t="str">
        <f>'Vendor Entry Sheet'!J7</f>
        <v/>
      </c>
      <c r="E5" t="str">
        <f>'Vendor Entry Sheet'!D7</f>
        <v/>
      </c>
      <c r="F5">
        <f>'Vendor Entry Sheet'!E7</f>
        <v>0</v>
      </c>
      <c r="H5" s="40">
        <f>'Vendor Entry Sheet'!F7</f>
        <v>0</v>
      </c>
      <c r="I5">
        <f>'Vendor Entry Sheet'!G7</f>
        <v>0</v>
      </c>
      <c r="K5" s="41">
        <v>1005</v>
      </c>
      <c r="L5">
        <f>'Vendor Entry Sheet'!H7</f>
        <v>0</v>
      </c>
      <c r="M5" s="41" t="s">
        <v>41</v>
      </c>
    </row>
    <row r="6" spans="1:20" x14ac:dyDescent="0.35">
      <c r="A6" s="37">
        <f>'Vendor Entry Sheet'!A8</f>
        <v>0</v>
      </c>
      <c r="B6" s="38" t="str">
        <f>'Vendor Entry Sheet'!C8</f>
        <v/>
      </c>
      <c r="C6" t="str">
        <f>'Vendor Entry Sheet'!I8</f>
        <v/>
      </c>
      <c r="D6" s="39" t="str">
        <f>'Vendor Entry Sheet'!J8</f>
        <v/>
      </c>
      <c r="E6" t="str">
        <f>'Vendor Entry Sheet'!D8</f>
        <v/>
      </c>
      <c r="F6">
        <f>'Vendor Entry Sheet'!E8</f>
        <v>0</v>
      </c>
      <c r="H6" s="40">
        <f>'Vendor Entry Sheet'!F8</f>
        <v>0</v>
      </c>
      <c r="I6">
        <f>'Vendor Entry Sheet'!G8</f>
        <v>0</v>
      </c>
      <c r="K6" s="41">
        <v>1005</v>
      </c>
      <c r="L6">
        <f>'Vendor Entry Sheet'!H8</f>
        <v>0</v>
      </c>
      <c r="M6" s="41" t="s">
        <v>41</v>
      </c>
    </row>
    <row r="7" spans="1:20" x14ac:dyDescent="0.35">
      <c r="A7" s="37">
        <f>'Vendor Entry Sheet'!A9</f>
        <v>0</v>
      </c>
      <c r="B7" s="38" t="str">
        <f>'Vendor Entry Sheet'!C9</f>
        <v/>
      </c>
      <c r="C7" t="str">
        <f>'Vendor Entry Sheet'!I9</f>
        <v/>
      </c>
      <c r="D7" s="39" t="str">
        <f>'Vendor Entry Sheet'!J9</f>
        <v/>
      </c>
      <c r="E7" t="str">
        <f>'Vendor Entry Sheet'!D9</f>
        <v/>
      </c>
      <c r="F7">
        <f>'Vendor Entry Sheet'!E9</f>
        <v>0</v>
      </c>
      <c r="H7" s="40">
        <f>'Vendor Entry Sheet'!F9</f>
        <v>0</v>
      </c>
      <c r="I7">
        <f>'Vendor Entry Sheet'!G9</f>
        <v>0</v>
      </c>
      <c r="K7" s="41">
        <v>1005</v>
      </c>
      <c r="L7">
        <f>'Vendor Entry Sheet'!H9</f>
        <v>0</v>
      </c>
      <c r="M7" s="41" t="s">
        <v>41</v>
      </c>
    </row>
    <row r="8" spans="1:20" x14ac:dyDescent="0.35">
      <c r="A8" s="37">
        <f>'Vendor Entry Sheet'!A10</f>
        <v>0</v>
      </c>
      <c r="B8" s="38" t="str">
        <f>'Vendor Entry Sheet'!C10</f>
        <v/>
      </c>
      <c r="C8" t="str">
        <f>'Vendor Entry Sheet'!I10</f>
        <v/>
      </c>
      <c r="D8" s="39" t="str">
        <f>'Vendor Entry Sheet'!J10</f>
        <v/>
      </c>
      <c r="E8" t="str">
        <f>'Vendor Entry Sheet'!D10</f>
        <v/>
      </c>
      <c r="F8">
        <f>'Vendor Entry Sheet'!E10</f>
        <v>0</v>
      </c>
      <c r="H8" s="40">
        <f>'Vendor Entry Sheet'!F10</f>
        <v>0</v>
      </c>
      <c r="I8">
        <f>'Vendor Entry Sheet'!G10</f>
        <v>0</v>
      </c>
      <c r="K8" s="41">
        <v>1005</v>
      </c>
      <c r="L8">
        <f>'Vendor Entry Sheet'!H10</f>
        <v>0</v>
      </c>
      <c r="M8" s="41" t="s">
        <v>41</v>
      </c>
    </row>
    <row r="9" spans="1:20" x14ac:dyDescent="0.35">
      <c r="A9" s="37">
        <f>'Vendor Entry Sheet'!A11</f>
        <v>0</v>
      </c>
      <c r="B9" s="38" t="str">
        <f>'Vendor Entry Sheet'!C11</f>
        <v/>
      </c>
      <c r="C9" t="str">
        <f>'Vendor Entry Sheet'!I11</f>
        <v/>
      </c>
      <c r="D9" s="39" t="str">
        <f>'Vendor Entry Sheet'!J11</f>
        <v/>
      </c>
      <c r="E9" t="str">
        <f>'Vendor Entry Sheet'!D11</f>
        <v/>
      </c>
      <c r="F9">
        <f>'Vendor Entry Sheet'!E11</f>
        <v>0</v>
      </c>
      <c r="H9" s="40">
        <f>'Vendor Entry Sheet'!F11</f>
        <v>0</v>
      </c>
      <c r="I9">
        <f>'Vendor Entry Sheet'!G11</f>
        <v>0</v>
      </c>
      <c r="K9" s="41">
        <v>1005</v>
      </c>
      <c r="L9">
        <f>'Vendor Entry Sheet'!H11</f>
        <v>0</v>
      </c>
      <c r="M9" s="41" t="s">
        <v>41</v>
      </c>
    </row>
    <row r="10" spans="1:20" x14ac:dyDescent="0.35">
      <c r="A10" s="37">
        <f>'Vendor Entry Sheet'!A12</f>
        <v>0</v>
      </c>
      <c r="B10" s="38" t="str">
        <f>'Vendor Entry Sheet'!C12</f>
        <v/>
      </c>
      <c r="C10" t="str">
        <f>'Vendor Entry Sheet'!I12</f>
        <v/>
      </c>
      <c r="D10" s="39" t="str">
        <f>'Vendor Entry Sheet'!J12</f>
        <v/>
      </c>
      <c r="E10" t="str">
        <f>'Vendor Entry Sheet'!D12</f>
        <v/>
      </c>
      <c r="F10">
        <f>'Vendor Entry Sheet'!E12</f>
        <v>0</v>
      </c>
      <c r="H10" s="40">
        <f>'Vendor Entry Sheet'!F12</f>
        <v>0</v>
      </c>
      <c r="I10">
        <f>'Vendor Entry Sheet'!G12</f>
        <v>0</v>
      </c>
      <c r="K10" s="41">
        <v>1005</v>
      </c>
      <c r="L10">
        <f>'Vendor Entry Sheet'!H12</f>
        <v>0</v>
      </c>
      <c r="M10" s="41" t="s">
        <v>41</v>
      </c>
    </row>
    <row r="11" spans="1:20" x14ac:dyDescent="0.35">
      <c r="A11" s="37">
        <f>'Vendor Entry Sheet'!A13</f>
        <v>0</v>
      </c>
      <c r="B11" s="38" t="str">
        <f>'Vendor Entry Sheet'!C13</f>
        <v/>
      </c>
      <c r="C11" t="str">
        <f>'Vendor Entry Sheet'!I13</f>
        <v/>
      </c>
      <c r="D11" s="39" t="str">
        <f>'Vendor Entry Sheet'!J13</f>
        <v/>
      </c>
      <c r="E11" t="str">
        <f>'Vendor Entry Sheet'!D13</f>
        <v/>
      </c>
      <c r="F11">
        <f>'Vendor Entry Sheet'!E13</f>
        <v>0</v>
      </c>
      <c r="H11" s="40">
        <f>'Vendor Entry Sheet'!F13</f>
        <v>0</v>
      </c>
      <c r="I11">
        <f>'Vendor Entry Sheet'!G13</f>
        <v>0</v>
      </c>
      <c r="K11" s="41">
        <v>1005</v>
      </c>
      <c r="L11">
        <f>'Vendor Entry Sheet'!H13</f>
        <v>0</v>
      </c>
      <c r="M11" s="41" t="s">
        <v>41</v>
      </c>
    </row>
    <row r="12" spans="1:20" x14ac:dyDescent="0.35">
      <c r="A12" s="37">
        <f>'Vendor Entry Sheet'!A14</f>
        <v>0</v>
      </c>
      <c r="B12" s="38" t="str">
        <f>'Vendor Entry Sheet'!C14</f>
        <v/>
      </c>
      <c r="C12" t="str">
        <f>'Vendor Entry Sheet'!I14</f>
        <v/>
      </c>
      <c r="D12" s="39" t="str">
        <f>'Vendor Entry Sheet'!J14</f>
        <v/>
      </c>
      <c r="E12" t="str">
        <f>'Vendor Entry Sheet'!D14</f>
        <v/>
      </c>
      <c r="F12">
        <f>'Vendor Entry Sheet'!E14</f>
        <v>0</v>
      </c>
      <c r="H12" s="40">
        <f>'Vendor Entry Sheet'!F14</f>
        <v>0</v>
      </c>
      <c r="I12">
        <f>'Vendor Entry Sheet'!G14</f>
        <v>0</v>
      </c>
      <c r="K12" s="41">
        <v>1005</v>
      </c>
      <c r="L12">
        <f>'Vendor Entry Sheet'!H14</f>
        <v>0</v>
      </c>
      <c r="M12" s="41" t="s">
        <v>41</v>
      </c>
    </row>
    <row r="13" spans="1:20" x14ac:dyDescent="0.35">
      <c r="A13" s="37">
        <f>'Vendor Entry Sheet'!A15</f>
        <v>0</v>
      </c>
      <c r="B13" s="38" t="str">
        <f>'Vendor Entry Sheet'!C15</f>
        <v/>
      </c>
      <c r="C13" t="str">
        <f>'Vendor Entry Sheet'!I15</f>
        <v/>
      </c>
      <c r="D13" s="39" t="str">
        <f>'Vendor Entry Sheet'!J15</f>
        <v/>
      </c>
      <c r="E13" t="str">
        <f>'Vendor Entry Sheet'!D15</f>
        <v/>
      </c>
      <c r="F13">
        <f>'Vendor Entry Sheet'!E15</f>
        <v>0</v>
      </c>
      <c r="H13" s="40">
        <f>'Vendor Entry Sheet'!F15</f>
        <v>0</v>
      </c>
      <c r="I13">
        <f>'Vendor Entry Sheet'!G15</f>
        <v>0</v>
      </c>
      <c r="K13" s="41">
        <v>1005</v>
      </c>
      <c r="L13">
        <f>'Vendor Entry Sheet'!H15</f>
        <v>0</v>
      </c>
      <c r="M13" s="41" t="s">
        <v>41</v>
      </c>
    </row>
    <row r="14" spans="1:20" x14ac:dyDescent="0.35">
      <c r="A14" s="37">
        <f>'Vendor Entry Sheet'!A16</f>
        <v>0</v>
      </c>
      <c r="B14" s="38" t="str">
        <f>'Vendor Entry Sheet'!C16</f>
        <v/>
      </c>
      <c r="C14" t="str">
        <f>'Vendor Entry Sheet'!I16</f>
        <v/>
      </c>
      <c r="D14" s="39" t="str">
        <f>'Vendor Entry Sheet'!J16</f>
        <v/>
      </c>
      <c r="E14" t="str">
        <f>'Vendor Entry Sheet'!D16</f>
        <v/>
      </c>
      <c r="F14">
        <f>'Vendor Entry Sheet'!E16</f>
        <v>0</v>
      </c>
      <c r="H14" s="40">
        <f>'Vendor Entry Sheet'!F16</f>
        <v>0</v>
      </c>
      <c r="I14">
        <f>'Vendor Entry Sheet'!G16</f>
        <v>0</v>
      </c>
      <c r="K14" s="41">
        <v>1005</v>
      </c>
      <c r="L14">
        <f>'Vendor Entry Sheet'!H16</f>
        <v>0</v>
      </c>
      <c r="M14" s="41" t="s">
        <v>41</v>
      </c>
    </row>
    <row r="15" spans="1:20" x14ac:dyDescent="0.35">
      <c r="A15" s="37">
        <f>'Vendor Entry Sheet'!A17</f>
        <v>0</v>
      </c>
      <c r="B15" s="38" t="str">
        <f>'Vendor Entry Sheet'!C17</f>
        <v/>
      </c>
      <c r="C15" t="str">
        <f>'Vendor Entry Sheet'!I17</f>
        <v/>
      </c>
      <c r="D15" s="39" t="str">
        <f>'Vendor Entry Sheet'!J17</f>
        <v/>
      </c>
      <c r="E15" t="str">
        <f>'Vendor Entry Sheet'!D17</f>
        <v/>
      </c>
      <c r="F15">
        <f>'Vendor Entry Sheet'!E17</f>
        <v>0</v>
      </c>
      <c r="H15" s="40">
        <f>'Vendor Entry Sheet'!F17</f>
        <v>0</v>
      </c>
      <c r="I15">
        <f>'Vendor Entry Sheet'!G17</f>
        <v>0</v>
      </c>
      <c r="K15" s="41">
        <v>1005</v>
      </c>
      <c r="L15">
        <f>'Vendor Entry Sheet'!H17</f>
        <v>0</v>
      </c>
      <c r="M15" s="41" t="s">
        <v>41</v>
      </c>
    </row>
    <row r="16" spans="1:20" x14ac:dyDescent="0.35">
      <c r="A16" s="37">
        <f>'Vendor Entry Sheet'!A18</f>
        <v>0</v>
      </c>
      <c r="B16" s="38" t="str">
        <f>'Vendor Entry Sheet'!C18</f>
        <v/>
      </c>
      <c r="C16" t="str">
        <f>'Vendor Entry Sheet'!I18</f>
        <v/>
      </c>
      <c r="D16" s="39" t="str">
        <f>'Vendor Entry Sheet'!J18</f>
        <v/>
      </c>
      <c r="E16" t="str">
        <f>'Vendor Entry Sheet'!D18</f>
        <v/>
      </c>
      <c r="F16">
        <f>'Vendor Entry Sheet'!E18</f>
        <v>0</v>
      </c>
      <c r="H16" s="40">
        <f>'Vendor Entry Sheet'!F18</f>
        <v>0</v>
      </c>
      <c r="I16">
        <f>'Vendor Entry Sheet'!G18</f>
        <v>0</v>
      </c>
      <c r="K16" s="41">
        <v>1005</v>
      </c>
      <c r="L16">
        <f>'Vendor Entry Sheet'!H18</f>
        <v>0</v>
      </c>
      <c r="M16" s="41" t="s">
        <v>41</v>
      </c>
    </row>
    <row r="17" spans="1:13" x14ac:dyDescent="0.35">
      <c r="A17" s="37">
        <f>'Vendor Entry Sheet'!A19</f>
        <v>0</v>
      </c>
      <c r="B17" s="38" t="str">
        <f>'Vendor Entry Sheet'!C19</f>
        <v/>
      </c>
      <c r="C17" t="str">
        <f>'Vendor Entry Sheet'!I19</f>
        <v/>
      </c>
      <c r="D17" s="39" t="str">
        <f>'Vendor Entry Sheet'!J19</f>
        <v/>
      </c>
      <c r="E17" t="str">
        <f>'Vendor Entry Sheet'!D19</f>
        <v/>
      </c>
      <c r="F17">
        <f>'Vendor Entry Sheet'!E19</f>
        <v>0</v>
      </c>
      <c r="H17" s="40">
        <f>'Vendor Entry Sheet'!F19</f>
        <v>0</v>
      </c>
      <c r="I17">
        <f>'Vendor Entry Sheet'!G19</f>
        <v>0</v>
      </c>
      <c r="K17" s="41">
        <v>1005</v>
      </c>
      <c r="L17">
        <f>'Vendor Entry Sheet'!H19</f>
        <v>0</v>
      </c>
      <c r="M17" s="41" t="s">
        <v>41</v>
      </c>
    </row>
    <row r="18" spans="1:13" x14ac:dyDescent="0.35">
      <c r="A18" s="37">
        <f>'Vendor Entry Sheet'!A20</f>
        <v>0</v>
      </c>
      <c r="B18" s="38" t="str">
        <f>'Vendor Entry Sheet'!C20</f>
        <v/>
      </c>
      <c r="C18" t="str">
        <f>'Vendor Entry Sheet'!I20</f>
        <v/>
      </c>
      <c r="D18" s="39" t="str">
        <f>'Vendor Entry Sheet'!J20</f>
        <v/>
      </c>
      <c r="E18" t="str">
        <f>'Vendor Entry Sheet'!D20</f>
        <v/>
      </c>
      <c r="F18">
        <f>'Vendor Entry Sheet'!E20</f>
        <v>0</v>
      </c>
      <c r="H18" s="40">
        <f>'Vendor Entry Sheet'!F20</f>
        <v>0</v>
      </c>
      <c r="I18">
        <f>'Vendor Entry Sheet'!G20</f>
        <v>0</v>
      </c>
      <c r="K18" s="41">
        <v>1005</v>
      </c>
      <c r="L18">
        <f>'Vendor Entry Sheet'!H20</f>
        <v>0</v>
      </c>
      <c r="M18" s="41" t="s">
        <v>41</v>
      </c>
    </row>
    <row r="19" spans="1:13" x14ac:dyDescent="0.35">
      <c r="A19" s="37">
        <f>'Vendor Entry Sheet'!A21</f>
        <v>0</v>
      </c>
      <c r="B19" s="38" t="str">
        <f>'Vendor Entry Sheet'!C21</f>
        <v/>
      </c>
      <c r="C19" t="str">
        <f>'Vendor Entry Sheet'!I21</f>
        <v/>
      </c>
      <c r="D19" s="39" t="str">
        <f>'Vendor Entry Sheet'!J21</f>
        <v/>
      </c>
      <c r="E19" t="str">
        <f>'Vendor Entry Sheet'!D21</f>
        <v/>
      </c>
      <c r="F19">
        <f>'Vendor Entry Sheet'!E21</f>
        <v>0</v>
      </c>
      <c r="H19" s="40">
        <f>'Vendor Entry Sheet'!F21</f>
        <v>0</v>
      </c>
      <c r="I19">
        <f>'Vendor Entry Sheet'!G21</f>
        <v>0</v>
      </c>
      <c r="K19" s="41">
        <v>1005</v>
      </c>
      <c r="L19">
        <f>'Vendor Entry Sheet'!H21</f>
        <v>0</v>
      </c>
      <c r="M19" s="41" t="s">
        <v>41</v>
      </c>
    </row>
    <row r="20" spans="1:13" x14ac:dyDescent="0.35">
      <c r="A20" s="37">
        <f>'Vendor Entry Sheet'!A22</f>
        <v>0</v>
      </c>
      <c r="B20" s="38" t="str">
        <f>'Vendor Entry Sheet'!C22</f>
        <v/>
      </c>
      <c r="C20" t="str">
        <f>'Vendor Entry Sheet'!I22</f>
        <v/>
      </c>
      <c r="D20" s="39" t="str">
        <f>'Vendor Entry Sheet'!J22</f>
        <v/>
      </c>
      <c r="E20" t="str">
        <f>'Vendor Entry Sheet'!D22</f>
        <v/>
      </c>
      <c r="F20">
        <f>'Vendor Entry Sheet'!E22</f>
        <v>0</v>
      </c>
      <c r="H20" s="40">
        <f>'Vendor Entry Sheet'!F22</f>
        <v>0</v>
      </c>
      <c r="I20">
        <f>'Vendor Entry Sheet'!G22</f>
        <v>0</v>
      </c>
      <c r="K20" s="41">
        <v>1005</v>
      </c>
      <c r="L20">
        <f>'Vendor Entry Sheet'!H22</f>
        <v>0</v>
      </c>
      <c r="M20" s="41" t="s">
        <v>41</v>
      </c>
    </row>
    <row r="21" spans="1:13" x14ac:dyDescent="0.35">
      <c r="A21" s="37">
        <f>'Vendor Entry Sheet'!A23</f>
        <v>0</v>
      </c>
      <c r="B21" s="38" t="str">
        <f>'Vendor Entry Sheet'!C23</f>
        <v/>
      </c>
      <c r="C21" t="str">
        <f>'Vendor Entry Sheet'!I23</f>
        <v/>
      </c>
      <c r="D21" s="39" t="str">
        <f>'Vendor Entry Sheet'!J23</f>
        <v/>
      </c>
      <c r="E21" t="str">
        <f>'Vendor Entry Sheet'!D23</f>
        <v/>
      </c>
      <c r="F21">
        <f>'Vendor Entry Sheet'!E23</f>
        <v>0</v>
      </c>
      <c r="H21" s="40">
        <f>'Vendor Entry Sheet'!F23</f>
        <v>0</v>
      </c>
      <c r="I21">
        <f>'Vendor Entry Sheet'!G23</f>
        <v>0</v>
      </c>
      <c r="K21" s="41">
        <v>1005</v>
      </c>
      <c r="L21">
        <f>'Vendor Entry Sheet'!H23</f>
        <v>0</v>
      </c>
      <c r="M21" s="41" t="s">
        <v>41</v>
      </c>
    </row>
    <row r="22" spans="1:13" x14ac:dyDescent="0.35">
      <c r="A22" s="37">
        <f>'Vendor Entry Sheet'!A24</f>
        <v>0</v>
      </c>
      <c r="B22" s="38" t="str">
        <f>'Vendor Entry Sheet'!C24</f>
        <v/>
      </c>
      <c r="C22" t="str">
        <f>'Vendor Entry Sheet'!I24</f>
        <v/>
      </c>
      <c r="D22" s="39" t="str">
        <f>'Vendor Entry Sheet'!J24</f>
        <v/>
      </c>
      <c r="E22" t="str">
        <f>'Vendor Entry Sheet'!D24</f>
        <v/>
      </c>
      <c r="F22">
        <f>'Vendor Entry Sheet'!E24</f>
        <v>0</v>
      </c>
      <c r="H22" s="40">
        <f>'Vendor Entry Sheet'!F24</f>
        <v>0</v>
      </c>
      <c r="I22">
        <f>'Vendor Entry Sheet'!G24</f>
        <v>0</v>
      </c>
      <c r="K22" s="41">
        <v>1005</v>
      </c>
      <c r="L22">
        <f>'Vendor Entry Sheet'!H24</f>
        <v>0</v>
      </c>
      <c r="M22" s="41" t="s">
        <v>41</v>
      </c>
    </row>
    <row r="23" spans="1:13" x14ac:dyDescent="0.35">
      <c r="A23" s="37">
        <f>'Vendor Entry Sheet'!A25</f>
        <v>0</v>
      </c>
      <c r="B23" s="38" t="str">
        <f>'Vendor Entry Sheet'!C25</f>
        <v/>
      </c>
      <c r="C23" t="str">
        <f>'Vendor Entry Sheet'!I25</f>
        <v/>
      </c>
      <c r="D23" s="39" t="str">
        <f>'Vendor Entry Sheet'!J25</f>
        <v/>
      </c>
      <c r="E23" t="str">
        <f>'Vendor Entry Sheet'!D25</f>
        <v/>
      </c>
      <c r="F23">
        <f>'Vendor Entry Sheet'!E25</f>
        <v>0</v>
      </c>
      <c r="H23" s="40">
        <f>'Vendor Entry Sheet'!F25</f>
        <v>0</v>
      </c>
      <c r="I23">
        <f>'Vendor Entry Sheet'!G25</f>
        <v>0</v>
      </c>
      <c r="K23" s="41">
        <v>1005</v>
      </c>
      <c r="L23">
        <f>'Vendor Entry Sheet'!H25</f>
        <v>0</v>
      </c>
      <c r="M23" s="41" t="s">
        <v>41</v>
      </c>
    </row>
    <row r="24" spans="1:13" x14ac:dyDescent="0.35">
      <c r="A24" s="37">
        <f>'Vendor Entry Sheet'!A26</f>
        <v>0</v>
      </c>
      <c r="B24" s="38" t="str">
        <f>'Vendor Entry Sheet'!C26</f>
        <v/>
      </c>
      <c r="C24" t="str">
        <f>'Vendor Entry Sheet'!I26</f>
        <v/>
      </c>
      <c r="D24" s="39" t="str">
        <f>'Vendor Entry Sheet'!J26</f>
        <v/>
      </c>
      <c r="E24" t="str">
        <f>'Vendor Entry Sheet'!D26</f>
        <v/>
      </c>
      <c r="F24">
        <f>'Vendor Entry Sheet'!E26</f>
        <v>0</v>
      </c>
      <c r="H24" s="40">
        <f>'Vendor Entry Sheet'!F26</f>
        <v>0</v>
      </c>
      <c r="I24">
        <f>'Vendor Entry Sheet'!G26</f>
        <v>0</v>
      </c>
      <c r="K24" s="41">
        <v>1005</v>
      </c>
      <c r="L24">
        <f>'Vendor Entry Sheet'!H26</f>
        <v>0</v>
      </c>
      <c r="M24" s="41" t="s">
        <v>41</v>
      </c>
    </row>
    <row r="25" spans="1:13" x14ac:dyDescent="0.35">
      <c r="A25" s="37">
        <f>'Vendor Entry Sheet'!A27</f>
        <v>0</v>
      </c>
      <c r="B25" s="38" t="str">
        <f>'Vendor Entry Sheet'!C27</f>
        <v/>
      </c>
      <c r="C25" t="str">
        <f>'Vendor Entry Sheet'!I27</f>
        <v/>
      </c>
      <c r="D25" s="39" t="str">
        <f>'Vendor Entry Sheet'!J27</f>
        <v/>
      </c>
      <c r="E25" t="str">
        <f>'Vendor Entry Sheet'!D27</f>
        <v/>
      </c>
      <c r="F25">
        <f>'Vendor Entry Sheet'!E27</f>
        <v>0</v>
      </c>
      <c r="H25" s="40">
        <f>'Vendor Entry Sheet'!F27</f>
        <v>0</v>
      </c>
      <c r="I25">
        <f>'Vendor Entry Sheet'!G27</f>
        <v>0</v>
      </c>
      <c r="K25" s="41">
        <v>1005</v>
      </c>
      <c r="L25">
        <f>'Vendor Entry Sheet'!H27</f>
        <v>0</v>
      </c>
      <c r="M25" s="41" t="s">
        <v>41</v>
      </c>
    </row>
    <row r="26" spans="1:13" x14ac:dyDescent="0.35">
      <c r="A26" s="37">
        <f>'Vendor Entry Sheet'!A28</f>
        <v>0</v>
      </c>
      <c r="B26" s="38" t="str">
        <f>'Vendor Entry Sheet'!C28</f>
        <v/>
      </c>
      <c r="C26" t="str">
        <f>'Vendor Entry Sheet'!I28</f>
        <v/>
      </c>
      <c r="D26" s="39" t="str">
        <f>'Vendor Entry Sheet'!J28</f>
        <v/>
      </c>
      <c r="E26" t="str">
        <f>'Vendor Entry Sheet'!D28</f>
        <v/>
      </c>
      <c r="F26">
        <f>'Vendor Entry Sheet'!E28</f>
        <v>0</v>
      </c>
      <c r="H26" s="40">
        <f>'Vendor Entry Sheet'!F28</f>
        <v>0</v>
      </c>
      <c r="I26">
        <f>'Vendor Entry Sheet'!G28</f>
        <v>0</v>
      </c>
      <c r="K26" s="41">
        <v>1005</v>
      </c>
      <c r="L26">
        <f>'Vendor Entry Sheet'!H28</f>
        <v>0</v>
      </c>
      <c r="M26" s="41" t="s">
        <v>41</v>
      </c>
    </row>
    <row r="27" spans="1:13" x14ac:dyDescent="0.35">
      <c r="A27" s="37">
        <f>'Vendor Entry Sheet'!A29</f>
        <v>0</v>
      </c>
      <c r="B27" s="38" t="str">
        <f>'Vendor Entry Sheet'!C29</f>
        <v/>
      </c>
      <c r="C27" t="str">
        <f>'Vendor Entry Sheet'!I29</f>
        <v/>
      </c>
      <c r="D27" s="39" t="str">
        <f>'Vendor Entry Sheet'!J29</f>
        <v/>
      </c>
      <c r="E27" t="str">
        <f>'Vendor Entry Sheet'!D29</f>
        <v/>
      </c>
      <c r="F27">
        <f>'Vendor Entry Sheet'!E29</f>
        <v>0</v>
      </c>
      <c r="H27" s="40">
        <f>'Vendor Entry Sheet'!F29</f>
        <v>0</v>
      </c>
      <c r="I27">
        <f>'Vendor Entry Sheet'!G29</f>
        <v>0</v>
      </c>
      <c r="K27" s="41">
        <v>1005</v>
      </c>
      <c r="L27">
        <f>'Vendor Entry Sheet'!H29</f>
        <v>0</v>
      </c>
      <c r="M27" s="41" t="s">
        <v>41</v>
      </c>
    </row>
    <row r="28" spans="1:13" x14ac:dyDescent="0.35">
      <c r="A28" s="37">
        <f>'Vendor Entry Sheet'!A30</f>
        <v>0</v>
      </c>
      <c r="B28" s="38" t="str">
        <f>'Vendor Entry Sheet'!C30</f>
        <v/>
      </c>
      <c r="C28" t="str">
        <f>'Vendor Entry Sheet'!I30</f>
        <v/>
      </c>
      <c r="D28" s="39" t="str">
        <f>'Vendor Entry Sheet'!J30</f>
        <v/>
      </c>
      <c r="E28" t="str">
        <f>'Vendor Entry Sheet'!D30</f>
        <v/>
      </c>
      <c r="F28">
        <f>'Vendor Entry Sheet'!E30</f>
        <v>0</v>
      </c>
      <c r="H28" s="40">
        <f>'Vendor Entry Sheet'!F30</f>
        <v>0</v>
      </c>
      <c r="I28">
        <f>'Vendor Entry Sheet'!G30</f>
        <v>0</v>
      </c>
      <c r="K28" s="41">
        <v>1005</v>
      </c>
      <c r="L28">
        <f>'Vendor Entry Sheet'!H30</f>
        <v>0</v>
      </c>
      <c r="M28" s="41" t="s">
        <v>41</v>
      </c>
    </row>
    <row r="29" spans="1:13" x14ac:dyDescent="0.35">
      <c r="A29" s="37">
        <f>'Vendor Entry Sheet'!A31</f>
        <v>0</v>
      </c>
      <c r="B29" s="38" t="str">
        <f>'Vendor Entry Sheet'!C31</f>
        <v/>
      </c>
      <c r="C29" t="str">
        <f>'Vendor Entry Sheet'!I31</f>
        <v/>
      </c>
      <c r="D29" s="39" t="str">
        <f>'Vendor Entry Sheet'!J31</f>
        <v/>
      </c>
      <c r="E29" t="str">
        <f>'Vendor Entry Sheet'!D31</f>
        <v/>
      </c>
      <c r="F29">
        <f>'Vendor Entry Sheet'!E31</f>
        <v>0</v>
      </c>
      <c r="H29" s="40">
        <f>'Vendor Entry Sheet'!F31</f>
        <v>0</v>
      </c>
      <c r="I29">
        <f>'Vendor Entry Sheet'!G31</f>
        <v>0</v>
      </c>
      <c r="K29" s="41">
        <v>1005</v>
      </c>
      <c r="L29">
        <f>'Vendor Entry Sheet'!H31</f>
        <v>0</v>
      </c>
      <c r="M29" s="41" t="s">
        <v>41</v>
      </c>
    </row>
    <row r="30" spans="1:13" x14ac:dyDescent="0.35">
      <c r="A30" s="37">
        <f>'Vendor Entry Sheet'!A32</f>
        <v>0</v>
      </c>
      <c r="B30" s="38" t="str">
        <f>'Vendor Entry Sheet'!C32</f>
        <v/>
      </c>
      <c r="C30" t="str">
        <f>'Vendor Entry Sheet'!I32</f>
        <v/>
      </c>
      <c r="D30" s="39" t="str">
        <f>'Vendor Entry Sheet'!J32</f>
        <v/>
      </c>
      <c r="E30" t="str">
        <f>'Vendor Entry Sheet'!D32</f>
        <v/>
      </c>
      <c r="F30">
        <f>'Vendor Entry Sheet'!E32</f>
        <v>0</v>
      </c>
      <c r="H30" s="40">
        <f>'Vendor Entry Sheet'!F32</f>
        <v>0</v>
      </c>
      <c r="I30">
        <f>'Vendor Entry Sheet'!G32</f>
        <v>0</v>
      </c>
      <c r="K30" s="41">
        <v>1005</v>
      </c>
      <c r="L30">
        <f>'Vendor Entry Sheet'!H32</f>
        <v>0</v>
      </c>
      <c r="M30" s="41" t="s">
        <v>41</v>
      </c>
    </row>
    <row r="31" spans="1:13" x14ac:dyDescent="0.35">
      <c r="A31" s="37">
        <f>'Vendor Entry Sheet'!A33</f>
        <v>0</v>
      </c>
      <c r="B31" s="38" t="str">
        <f>'Vendor Entry Sheet'!C33</f>
        <v/>
      </c>
      <c r="C31" t="str">
        <f>'Vendor Entry Sheet'!I33</f>
        <v/>
      </c>
      <c r="D31" s="39" t="str">
        <f>'Vendor Entry Sheet'!J33</f>
        <v/>
      </c>
      <c r="E31" t="str">
        <f>'Vendor Entry Sheet'!D33</f>
        <v/>
      </c>
      <c r="F31">
        <f>'Vendor Entry Sheet'!E33</f>
        <v>0</v>
      </c>
      <c r="H31" s="40">
        <f>'Vendor Entry Sheet'!F33</f>
        <v>0</v>
      </c>
      <c r="I31">
        <f>'Vendor Entry Sheet'!G33</f>
        <v>0</v>
      </c>
      <c r="K31" s="41">
        <v>1005</v>
      </c>
      <c r="L31">
        <f>'Vendor Entry Sheet'!H33</f>
        <v>0</v>
      </c>
      <c r="M31" s="41" t="s">
        <v>41</v>
      </c>
    </row>
    <row r="32" spans="1:13" x14ac:dyDescent="0.35">
      <c r="A32" s="37">
        <f>'Vendor Entry Sheet'!A34</f>
        <v>0</v>
      </c>
      <c r="B32" s="38" t="str">
        <f>'Vendor Entry Sheet'!C34</f>
        <v/>
      </c>
      <c r="C32" t="str">
        <f>'Vendor Entry Sheet'!I34</f>
        <v/>
      </c>
      <c r="D32" s="39" t="str">
        <f>'Vendor Entry Sheet'!J34</f>
        <v/>
      </c>
      <c r="E32" t="str">
        <f>'Vendor Entry Sheet'!D34</f>
        <v/>
      </c>
      <c r="F32">
        <f>'Vendor Entry Sheet'!E34</f>
        <v>0</v>
      </c>
      <c r="H32" s="40">
        <f>'Vendor Entry Sheet'!F34</f>
        <v>0</v>
      </c>
      <c r="I32">
        <f>'Vendor Entry Sheet'!G34</f>
        <v>0</v>
      </c>
      <c r="K32" s="41">
        <v>1005</v>
      </c>
      <c r="L32">
        <f>'Vendor Entry Sheet'!H34</f>
        <v>0</v>
      </c>
      <c r="M32" s="41" t="s">
        <v>41</v>
      </c>
    </row>
    <row r="33" spans="1:13" x14ac:dyDescent="0.35">
      <c r="A33" s="37">
        <f>'Vendor Entry Sheet'!A35</f>
        <v>0</v>
      </c>
      <c r="B33" s="38" t="str">
        <f>'Vendor Entry Sheet'!C35</f>
        <v/>
      </c>
      <c r="C33" t="str">
        <f>'Vendor Entry Sheet'!I35</f>
        <v/>
      </c>
      <c r="D33" s="39" t="str">
        <f>'Vendor Entry Sheet'!J35</f>
        <v/>
      </c>
      <c r="E33" t="str">
        <f>'Vendor Entry Sheet'!D35</f>
        <v/>
      </c>
      <c r="F33">
        <f>'Vendor Entry Sheet'!E35</f>
        <v>0</v>
      </c>
      <c r="H33" s="40">
        <f>'Vendor Entry Sheet'!F35</f>
        <v>0</v>
      </c>
      <c r="I33">
        <f>'Vendor Entry Sheet'!G35</f>
        <v>0</v>
      </c>
      <c r="K33" s="41">
        <v>1005</v>
      </c>
      <c r="L33">
        <f>'Vendor Entry Sheet'!H35</f>
        <v>0</v>
      </c>
      <c r="M33" s="41" t="s">
        <v>41</v>
      </c>
    </row>
    <row r="34" spans="1:13" x14ac:dyDescent="0.35">
      <c r="A34" s="37">
        <f>'Vendor Entry Sheet'!A36</f>
        <v>0</v>
      </c>
      <c r="B34" s="38" t="str">
        <f>'Vendor Entry Sheet'!C36</f>
        <v/>
      </c>
      <c r="C34" t="str">
        <f>'Vendor Entry Sheet'!I36</f>
        <v/>
      </c>
      <c r="D34" s="39" t="str">
        <f>'Vendor Entry Sheet'!J36</f>
        <v/>
      </c>
      <c r="E34" t="str">
        <f>'Vendor Entry Sheet'!D36</f>
        <v/>
      </c>
      <c r="F34">
        <f>'Vendor Entry Sheet'!E36</f>
        <v>0</v>
      </c>
      <c r="H34" s="40">
        <f>'Vendor Entry Sheet'!F36</f>
        <v>0</v>
      </c>
      <c r="I34">
        <f>'Vendor Entry Sheet'!G36</f>
        <v>0</v>
      </c>
      <c r="K34" s="41">
        <v>1005</v>
      </c>
      <c r="L34">
        <f>'Vendor Entry Sheet'!H36</f>
        <v>0</v>
      </c>
      <c r="M34" s="41" t="s">
        <v>41</v>
      </c>
    </row>
    <row r="35" spans="1:13" x14ac:dyDescent="0.35">
      <c r="A35" s="37">
        <f>'Vendor Entry Sheet'!A37</f>
        <v>0</v>
      </c>
      <c r="B35" s="38" t="str">
        <f>'Vendor Entry Sheet'!C37</f>
        <v/>
      </c>
      <c r="C35" t="str">
        <f>'Vendor Entry Sheet'!I37</f>
        <v/>
      </c>
      <c r="D35" s="39" t="str">
        <f>'Vendor Entry Sheet'!J37</f>
        <v/>
      </c>
      <c r="E35" t="str">
        <f>'Vendor Entry Sheet'!D37</f>
        <v/>
      </c>
      <c r="F35">
        <f>'Vendor Entry Sheet'!E37</f>
        <v>0</v>
      </c>
      <c r="H35" s="40">
        <f>'Vendor Entry Sheet'!F37</f>
        <v>0</v>
      </c>
      <c r="I35">
        <f>'Vendor Entry Sheet'!G37</f>
        <v>0</v>
      </c>
      <c r="K35" s="41">
        <v>1005</v>
      </c>
      <c r="L35">
        <f>'Vendor Entry Sheet'!H37</f>
        <v>0</v>
      </c>
      <c r="M35" s="41" t="s">
        <v>41</v>
      </c>
    </row>
    <row r="36" spans="1:13" x14ac:dyDescent="0.35">
      <c r="A36" s="37">
        <f>'Vendor Entry Sheet'!A38</f>
        <v>0</v>
      </c>
      <c r="B36" s="38" t="str">
        <f>'Vendor Entry Sheet'!C38</f>
        <v/>
      </c>
      <c r="C36" t="str">
        <f>'Vendor Entry Sheet'!I38</f>
        <v/>
      </c>
      <c r="D36" s="39" t="str">
        <f>'Vendor Entry Sheet'!J38</f>
        <v/>
      </c>
      <c r="E36" t="str">
        <f>'Vendor Entry Sheet'!D38</f>
        <v/>
      </c>
      <c r="F36">
        <f>'Vendor Entry Sheet'!E38</f>
        <v>0</v>
      </c>
      <c r="H36" s="40">
        <f>'Vendor Entry Sheet'!F38</f>
        <v>0</v>
      </c>
      <c r="I36">
        <f>'Vendor Entry Sheet'!G38</f>
        <v>0</v>
      </c>
      <c r="K36" s="41">
        <v>1005</v>
      </c>
      <c r="L36">
        <f>'Vendor Entry Sheet'!H38</f>
        <v>0</v>
      </c>
      <c r="M36" s="41" t="s">
        <v>41</v>
      </c>
    </row>
    <row r="37" spans="1:13" x14ac:dyDescent="0.35">
      <c r="A37" s="37">
        <f>'Vendor Entry Sheet'!A39</f>
        <v>0</v>
      </c>
      <c r="B37" s="38" t="str">
        <f>'Vendor Entry Sheet'!C39</f>
        <v/>
      </c>
      <c r="C37" t="str">
        <f>'Vendor Entry Sheet'!I39</f>
        <v/>
      </c>
      <c r="D37" s="39" t="str">
        <f>'Vendor Entry Sheet'!J39</f>
        <v/>
      </c>
      <c r="E37" t="str">
        <f>'Vendor Entry Sheet'!D39</f>
        <v/>
      </c>
      <c r="F37">
        <f>'Vendor Entry Sheet'!E39</f>
        <v>0</v>
      </c>
      <c r="H37" s="40">
        <f>'Vendor Entry Sheet'!F39</f>
        <v>0</v>
      </c>
      <c r="I37">
        <f>'Vendor Entry Sheet'!G39</f>
        <v>0</v>
      </c>
      <c r="K37" s="41">
        <v>1005</v>
      </c>
      <c r="L37">
        <f>'Vendor Entry Sheet'!H39</f>
        <v>0</v>
      </c>
      <c r="M37" s="41" t="s">
        <v>41</v>
      </c>
    </row>
    <row r="38" spans="1:13" x14ac:dyDescent="0.35">
      <c r="A38" s="37">
        <f>'Vendor Entry Sheet'!A40</f>
        <v>0</v>
      </c>
      <c r="B38" s="38" t="str">
        <f>'Vendor Entry Sheet'!C40</f>
        <v/>
      </c>
      <c r="C38" t="str">
        <f>'Vendor Entry Sheet'!I40</f>
        <v/>
      </c>
      <c r="D38" s="39" t="str">
        <f>'Vendor Entry Sheet'!J40</f>
        <v/>
      </c>
      <c r="E38" t="str">
        <f>'Vendor Entry Sheet'!D40</f>
        <v/>
      </c>
      <c r="F38">
        <f>'Vendor Entry Sheet'!E40</f>
        <v>0</v>
      </c>
      <c r="H38" s="40">
        <f>'Vendor Entry Sheet'!F40</f>
        <v>0</v>
      </c>
      <c r="I38">
        <f>'Vendor Entry Sheet'!G40</f>
        <v>0</v>
      </c>
      <c r="K38" s="41">
        <v>1005</v>
      </c>
      <c r="L38">
        <f>'Vendor Entry Sheet'!H40</f>
        <v>0</v>
      </c>
      <c r="M38" s="41" t="s">
        <v>41</v>
      </c>
    </row>
    <row r="39" spans="1:13" x14ac:dyDescent="0.35">
      <c r="A39" s="37">
        <f>'Vendor Entry Sheet'!A41</f>
        <v>0</v>
      </c>
      <c r="B39" s="38" t="str">
        <f>'Vendor Entry Sheet'!C41</f>
        <v/>
      </c>
      <c r="C39" t="str">
        <f>'Vendor Entry Sheet'!I41</f>
        <v/>
      </c>
      <c r="D39" s="39" t="str">
        <f>'Vendor Entry Sheet'!J41</f>
        <v/>
      </c>
      <c r="E39" t="str">
        <f>'Vendor Entry Sheet'!D41</f>
        <v/>
      </c>
      <c r="F39">
        <f>'Vendor Entry Sheet'!E41</f>
        <v>0</v>
      </c>
      <c r="H39" s="40">
        <f>'Vendor Entry Sheet'!F41</f>
        <v>0</v>
      </c>
      <c r="I39">
        <f>'Vendor Entry Sheet'!G41</f>
        <v>0</v>
      </c>
      <c r="K39" s="41">
        <v>1005</v>
      </c>
      <c r="L39">
        <f>'Vendor Entry Sheet'!H41</f>
        <v>0</v>
      </c>
      <c r="M39" s="41" t="s">
        <v>41</v>
      </c>
    </row>
    <row r="40" spans="1:13" x14ac:dyDescent="0.35">
      <c r="A40" s="37">
        <f>'Vendor Entry Sheet'!A42</f>
        <v>0</v>
      </c>
      <c r="B40" s="38" t="str">
        <f>'Vendor Entry Sheet'!C42</f>
        <v/>
      </c>
      <c r="C40" t="str">
        <f>'Vendor Entry Sheet'!I42</f>
        <v/>
      </c>
      <c r="D40" s="39" t="str">
        <f>'Vendor Entry Sheet'!J42</f>
        <v/>
      </c>
      <c r="E40" t="str">
        <f>'Vendor Entry Sheet'!D42</f>
        <v/>
      </c>
      <c r="F40">
        <f>'Vendor Entry Sheet'!E42</f>
        <v>0</v>
      </c>
      <c r="H40" s="40">
        <f>'Vendor Entry Sheet'!F42</f>
        <v>0</v>
      </c>
      <c r="I40">
        <f>'Vendor Entry Sheet'!G42</f>
        <v>0</v>
      </c>
      <c r="K40" s="41">
        <v>1005</v>
      </c>
      <c r="L40">
        <f>'Vendor Entry Sheet'!H42</f>
        <v>0</v>
      </c>
      <c r="M40" s="41" t="s">
        <v>41</v>
      </c>
    </row>
    <row r="41" spans="1:13" x14ac:dyDescent="0.35">
      <c r="A41" s="37">
        <f>'Vendor Entry Sheet'!A43</f>
        <v>0</v>
      </c>
      <c r="B41" s="38" t="str">
        <f>'Vendor Entry Sheet'!C43</f>
        <v/>
      </c>
      <c r="C41" t="str">
        <f>'Vendor Entry Sheet'!I43</f>
        <v/>
      </c>
      <c r="D41" s="39" t="str">
        <f>'Vendor Entry Sheet'!J43</f>
        <v/>
      </c>
      <c r="E41" t="str">
        <f>'Vendor Entry Sheet'!D43</f>
        <v/>
      </c>
      <c r="F41">
        <f>'Vendor Entry Sheet'!E43</f>
        <v>0</v>
      </c>
      <c r="H41" s="40">
        <f>'Vendor Entry Sheet'!F43</f>
        <v>0</v>
      </c>
      <c r="I41">
        <f>'Vendor Entry Sheet'!G43</f>
        <v>0</v>
      </c>
      <c r="K41" s="41">
        <v>1005</v>
      </c>
      <c r="L41">
        <f>'Vendor Entry Sheet'!H43</f>
        <v>0</v>
      </c>
      <c r="M41" s="41" t="s">
        <v>41</v>
      </c>
    </row>
    <row r="42" spans="1:13" x14ac:dyDescent="0.35">
      <c r="A42" s="37">
        <f>'Vendor Entry Sheet'!A44</f>
        <v>0</v>
      </c>
      <c r="B42" s="38" t="str">
        <f>'Vendor Entry Sheet'!C44</f>
        <v/>
      </c>
      <c r="C42" t="str">
        <f>'Vendor Entry Sheet'!I44</f>
        <v/>
      </c>
      <c r="D42" s="39" t="str">
        <f>'Vendor Entry Sheet'!J44</f>
        <v/>
      </c>
      <c r="E42" t="str">
        <f>'Vendor Entry Sheet'!D44</f>
        <v/>
      </c>
      <c r="F42">
        <f>'Vendor Entry Sheet'!E44</f>
        <v>0</v>
      </c>
      <c r="H42" s="40">
        <f>'Vendor Entry Sheet'!F44</f>
        <v>0</v>
      </c>
      <c r="I42">
        <f>'Vendor Entry Sheet'!G44</f>
        <v>0</v>
      </c>
      <c r="K42" s="41">
        <v>1005</v>
      </c>
      <c r="L42">
        <f>'Vendor Entry Sheet'!H44</f>
        <v>0</v>
      </c>
      <c r="M42" s="41" t="s">
        <v>41</v>
      </c>
    </row>
    <row r="43" spans="1:13" x14ac:dyDescent="0.35">
      <c r="A43" s="37">
        <f>'Vendor Entry Sheet'!A45</f>
        <v>0</v>
      </c>
      <c r="B43" s="38" t="str">
        <f>'Vendor Entry Sheet'!C45</f>
        <v/>
      </c>
      <c r="C43" t="str">
        <f>'Vendor Entry Sheet'!I45</f>
        <v/>
      </c>
      <c r="D43" s="39" t="str">
        <f>'Vendor Entry Sheet'!J45</f>
        <v/>
      </c>
      <c r="E43" t="str">
        <f>'Vendor Entry Sheet'!D45</f>
        <v/>
      </c>
      <c r="F43">
        <f>'Vendor Entry Sheet'!E45</f>
        <v>0</v>
      </c>
      <c r="H43" s="40">
        <f>'Vendor Entry Sheet'!F45</f>
        <v>0</v>
      </c>
      <c r="I43">
        <f>'Vendor Entry Sheet'!G45</f>
        <v>0</v>
      </c>
      <c r="K43" s="41">
        <v>1005</v>
      </c>
      <c r="L43">
        <f>'Vendor Entry Sheet'!H45</f>
        <v>0</v>
      </c>
      <c r="M43" s="41" t="s">
        <v>41</v>
      </c>
    </row>
    <row r="44" spans="1:13" x14ac:dyDescent="0.35">
      <c r="A44" s="37">
        <f>'Vendor Entry Sheet'!A46</f>
        <v>0</v>
      </c>
      <c r="B44" s="38" t="str">
        <f>'Vendor Entry Sheet'!C46</f>
        <v/>
      </c>
      <c r="C44" t="str">
        <f>'Vendor Entry Sheet'!I46</f>
        <v/>
      </c>
      <c r="D44" s="39" t="str">
        <f>'Vendor Entry Sheet'!J46</f>
        <v/>
      </c>
      <c r="E44" t="str">
        <f>'Vendor Entry Sheet'!D46</f>
        <v/>
      </c>
      <c r="F44">
        <f>'Vendor Entry Sheet'!E46</f>
        <v>0</v>
      </c>
      <c r="H44" s="40">
        <f>'Vendor Entry Sheet'!F46</f>
        <v>0</v>
      </c>
      <c r="I44">
        <f>'Vendor Entry Sheet'!G46</f>
        <v>0</v>
      </c>
      <c r="K44" s="41">
        <v>1005</v>
      </c>
      <c r="L44">
        <f>'Vendor Entry Sheet'!H46</f>
        <v>0</v>
      </c>
      <c r="M44" s="41" t="s">
        <v>41</v>
      </c>
    </row>
    <row r="45" spans="1:13" x14ac:dyDescent="0.35">
      <c r="A45" s="37">
        <f>'Vendor Entry Sheet'!A47</f>
        <v>0</v>
      </c>
      <c r="B45" s="38" t="str">
        <f>'Vendor Entry Sheet'!C47</f>
        <v/>
      </c>
      <c r="C45" t="str">
        <f>'Vendor Entry Sheet'!I47</f>
        <v/>
      </c>
      <c r="D45" s="39" t="str">
        <f>'Vendor Entry Sheet'!J47</f>
        <v/>
      </c>
      <c r="E45" t="str">
        <f>'Vendor Entry Sheet'!D47</f>
        <v/>
      </c>
      <c r="F45">
        <f>'Vendor Entry Sheet'!E47</f>
        <v>0</v>
      </c>
      <c r="H45" s="40">
        <f>'Vendor Entry Sheet'!F47</f>
        <v>0</v>
      </c>
      <c r="I45">
        <f>'Vendor Entry Sheet'!G47</f>
        <v>0</v>
      </c>
      <c r="K45" s="41">
        <v>1005</v>
      </c>
      <c r="L45">
        <f>'Vendor Entry Sheet'!H47</f>
        <v>0</v>
      </c>
      <c r="M45" s="41" t="s">
        <v>41</v>
      </c>
    </row>
    <row r="46" spans="1:13" x14ac:dyDescent="0.35">
      <c r="A46" s="37">
        <f>'Vendor Entry Sheet'!A48</f>
        <v>0</v>
      </c>
      <c r="B46" s="38" t="str">
        <f>'Vendor Entry Sheet'!C48</f>
        <v/>
      </c>
      <c r="C46" t="str">
        <f>'Vendor Entry Sheet'!I48</f>
        <v/>
      </c>
      <c r="D46" s="39" t="str">
        <f>'Vendor Entry Sheet'!J48</f>
        <v/>
      </c>
      <c r="E46" t="str">
        <f>'Vendor Entry Sheet'!D48</f>
        <v/>
      </c>
      <c r="F46">
        <f>'Vendor Entry Sheet'!E48</f>
        <v>0</v>
      </c>
      <c r="H46" s="40">
        <f>'Vendor Entry Sheet'!F48</f>
        <v>0</v>
      </c>
      <c r="I46">
        <f>'Vendor Entry Sheet'!G48</f>
        <v>0</v>
      </c>
      <c r="K46" s="41">
        <v>1005</v>
      </c>
      <c r="L46">
        <f>'Vendor Entry Sheet'!H48</f>
        <v>0</v>
      </c>
      <c r="M46" s="41" t="s">
        <v>41</v>
      </c>
    </row>
    <row r="47" spans="1:13" x14ac:dyDescent="0.35">
      <c r="A47" s="37">
        <f>'Vendor Entry Sheet'!A49</f>
        <v>0</v>
      </c>
      <c r="B47" s="38" t="str">
        <f>'Vendor Entry Sheet'!C49</f>
        <v/>
      </c>
      <c r="C47" t="str">
        <f>'Vendor Entry Sheet'!I49</f>
        <v/>
      </c>
      <c r="D47" s="39" t="str">
        <f>'Vendor Entry Sheet'!J49</f>
        <v/>
      </c>
      <c r="E47" t="str">
        <f>'Vendor Entry Sheet'!D49</f>
        <v/>
      </c>
      <c r="F47">
        <f>'Vendor Entry Sheet'!E49</f>
        <v>0</v>
      </c>
      <c r="H47" s="40">
        <f>'Vendor Entry Sheet'!F49</f>
        <v>0</v>
      </c>
      <c r="I47">
        <f>'Vendor Entry Sheet'!G49</f>
        <v>0</v>
      </c>
      <c r="K47" s="41">
        <v>1005</v>
      </c>
      <c r="L47">
        <f>'Vendor Entry Sheet'!H49</f>
        <v>0</v>
      </c>
      <c r="M47" s="41" t="s">
        <v>41</v>
      </c>
    </row>
    <row r="48" spans="1:13" x14ac:dyDescent="0.35">
      <c r="A48" s="37">
        <f>'Vendor Entry Sheet'!A50</f>
        <v>0</v>
      </c>
      <c r="B48" s="38" t="str">
        <f>'Vendor Entry Sheet'!C50</f>
        <v/>
      </c>
      <c r="C48" t="str">
        <f>'Vendor Entry Sheet'!I50</f>
        <v/>
      </c>
      <c r="D48" s="39" t="str">
        <f>'Vendor Entry Sheet'!J50</f>
        <v/>
      </c>
      <c r="E48" t="str">
        <f>'Vendor Entry Sheet'!D50</f>
        <v/>
      </c>
      <c r="F48">
        <f>'Vendor Entry Sheet'!E50</f>
        <v>0</v>
      </c>
      <c r="H48" s="40">
        <f>'Vendor Entry Sheet'!F50</f>
        <v>0</v>
      </c>
      <c r="I48">
        <f>'Vendor Entry Sheet'!G50</f>
        <v>0</v>
      </c>
      <c r="K48" s="41">
        <v>1005</v>
      </c>
      <c r="L48">
        <f>'Vendor Entry Sheet'!H50</f>
        <v>0</v>
      </c>
      <c r="M48" s="41" t="s">
        <v>41</v>
      </c>
    </row>
    <row r="49" spans="1:13" x14ac:dyDescent="0.35">
      <c r="A49" s="37">
        <f>'Vendor Entry Sheet'!A51</f>
        <v>0</v>
      </c>
      <c r="B49" s="38" t="str">
        <f>'Vendor Entry Sheet'!C51</f>
        <v/>
      </c>
      <c r="C49" t="str">
        <f>'Vendor Entry Sheet'!I51</f>
        <v/>
      </c>
      <c r="D49" s="39" t="str">
        <f>'Vendor Entry Sheet'!J51</f>
        <v/>
      </c>
      <c r="E49" t="str">
        <f>'Vendor Entry Sheet'!D51</f>
        <v/>
      </c>
      <c r="F49">
        <f>'Vendor Entry Sheet'!E51</f>
        <v>0</v>
      </c>
      <c r="H49" s="40">
        <f>'Vendor Entry Sheet'!F51</f>
        <v>0</v>
      </c>
      <c r="I49">
        <f>'Vendor Entry Sheet'!G51</f>
        <v>0</v>
      </c>
      <c r="K49" s="41">
        <v>1005</v>
      </c>
      <c r="L49">
        <f>'Vendor Entry Sheet'!H51</f>
        <v>0</v>
      </c>
      <c r="M49" s="41" t="s">
        <v>41</v>
      </c>
    </row>
    <row r="50" spans="1:13" x14ac:dyDescent="0.35">
      <c r="A50" s="37">
        <f>'Vendor Entry Sheet'!A52</f>
        <v>0</v>
      </c>
      <c r="B50" s="38" t="str">
        <f>'Vendor Entry Sheet'!C52</f>
        <v/>
      </c>
      <c r="C50" t="str">
        <f>'Vendor Entry Sheet'!I52</f>
        <v/>
      </c>
      <c r="D50" s="39" t="str">
        <f>'Vendor Entry Sheet'!J52</f>
        <v/>
      </c>
      <c r="E50" t="str">
        <f>'Vendor Entry Sheet'!D52</f>
        <v/>
      </c>
      <c r="F50">
        <f>'Vendor Entry Sheet'!E52</f>
        <v>0</v>
      </c>
      <c r="H50" s="40">
        <f>'Vendor Entry Sheet'!F52</f>
        <v>0</v>
      </c>
      <c r="I50">
        <f>'Vendor Entry Sheet'!G52</f>
        <v>0</v>
      </c>
      <c r="K50" s="41">
        <v>1005</v>
      </c>
      <c r="L50">
        <f>'Vendor Entry Sheet'!H52</f>
        <v>0</v>
      </c>
      <c r="M50" s="41" t="s">
        <v>41</v>
      </c>
    </row>
    <row r="51" spans="1:13" x14ac:dyDescent="0.35">
      <c r="A51" s="37">
        <f>'Vendor Entry Sheet'!A53</f>
        <v>0</v>
      </c>
      <c r="B51" s="38" t="str">
        <f>'Vendor Entry Sheet'!C53</f>
        <v/>
      </c>
      <c r="C51" t="str">
        <f>'Vendor Entry Sheet'!I53</f>
        <v/>
      </c>
      <c r="D51" s="39" t="str">
        <f>'Vendor Entry Sheet'!J53</f>
        <v/>
      </c>
      <c r="E51" t="str">
        <f>'Vendor Entry Sheet'!D53</f>
        <v/>
      </c>
      <c r="F51">
        <f>'Vendor Entry Sheet'!E53</f>
        <v>0</v>
      </c>
      <c r="H51" s="40">
        <f>'Vendor Entry Sheet'!F53</f>
        <v>0</v>
      </c>
      <c r="I51">
        <f>'Vendor Entry Sheet'!G53</f>
        <v>0</v>
      </c>
      <c r="K51" s="41">
        <v>1005</v>
      </c>
      <c r="L51">
        <f>'Vendor Entry Sheet'!H53</f>
        <v>0</v>
      </c>
      <c r="M51" s="41" t="s">
        <v>41</v>
      </c>
    </row>
    <row r="52" spans="1:13" x14ac:dyDescent="0.35">
      <c r="A52" s="37">
        <f>'Vendor Entry Sheet'!A54</f>
        <v>0</v>
      </c>
      <c r="B52" s="38" t="str">
        <f>'Vendor Entry Sheet'!C54</f>
        <v/>
      </c>
      <c r="C52" t="str">
        <f>'Vendor Entry Sheet'!I54</f>
        <v/>
      </c>
      <c r="D52" s="39" t="str">
        <f>'Vendor Entry Sheet'!J54</f>
        <v/>
      </c>
      <c r="E52" t="str">
        <f>'Vendor Entry Sheet'!D54</f>
        <v/>
      </c>
      <c r="F52">
        <f>'Vendor Entry Sheet'!E54</f>
        <v>0</v>
      </c>
      <c r="H52" s="40">
        <f>'Vendor Entry Sheet'!F54</f>
        <v>0</v>
      </c>
      <c r="I52">
        <f>'Vendor Entry Sheet'!G54</f>
        <v>0</v>
      </c>
      <c r="K52" s="41">
        <v>1005</v>
      </c>
      <c r="L52">
        <f>'Vendor Entry Sheet'!H54</f>
        <v>0</v>
      </c>
      <c r="M52" s="41" t="s">
        <v>41</v>
      </c>
    </row>
    <row r="53" spans="1:13" x14ac:dyDescent="0.35">
      <c r="A53" s="37">
        <f>'Vendor Entry Sheet'!A55</f>
        <v>0</v>
      </c>
      <c r="B53" s="38" t="str">
        <f>'Vendor Entry Sheet'!C55</f>
        <v/>
      </c>
      <c r="C53" t="str">
        <f>'Vendor Entry Sheet'!I55</f>
        <v/>
      </c>
      <c r="D53" s="39" t="str">
        <f>'Vendor Entry Sheet'!J55</f>
        <v/>
      </c>
      <c r="E53" t="str">
        <f>'Vendor Entry Sheet'!D55</f>
        <v/>
      </c>
      <c r="F53">
        <f>'Vendor Entry Sheet'!E55</f>
        <v>0</v>
      </c>
      <c r="H53" s="40">
        <f>'Vendor Entry Sheet'!F55</f>
        <v>0</v>
      </c>
      <c r="I53">
        <f>'Vendor Entry Sheet'!G55</f>
        <v>0</v>
      </c>
      <c r="K53" s="41">
        <v>1005</v>
      </c>
      <c r="L53">
        <f>'Vendor Entry Sheet'!H55</f>
        <v>0</v>
      </c>
      <c r="M53" s="41" t="s">
        <v>41</v>
      </c>
    </row>
    <row r="54" spans="1:13" x14ac:dyDescent="0.35">
      <c r="A54" s="37">
        <f>'Vendor Entry Sheet'!A56</f>
        <v>0</v>
      </c>
      <c r="B54" s="38" t="str">
        <f>'Vendor Entry Sheet'!C56</f>
        <v/>
      </c>
      <c r="C54" t="str">
        <f>'Vendor Entry Sheet'!I56</f>
        <v/>
      </c>
      <c r="D54" s="39" t="str">
        <f>'Vendor Entry Sheet'!J56</f>
        <v/>
      </c>
      <c r="E54" t="str">
        <f>'Vendor Entry Sheet'!D56</f>
        <v/>
      </c>
      <c r="F54">
        <f>'Vendor Entry Sheet'!E56</f>
        <v>0</v>
      </c>
      <c r="H54" s="40">
        <f>'Vendor Entry Sheet'!F56</f>
        <v>0</v>
      </c>
      <c r="I54">
        <f>'Vendor Entry Sheet'!G56</f>
        <v>0</v>
      </c>
      <c r="K54" s="41">
        <v>1005</v>
      </c>
      <c r="L54">
        <f>'Vendor Entry Sheet'!H56</f>
        <v>0</v>
      </c>
      <c r="M54" s="41" t="s">
        <v>41</v>
      </c>
    </row>
    <row r="55" spans="1:13" x14ac:dyDescent="0.35">
      <c r="A55" s="37">
        <f>'Vendor Entry Sheet'!A57</f>
        <v>0</v>
      </c>
      <c r="B55" s="38" t="str">
        <f>'Vendor Entry Sheet'!C57</f>
        <v/>
      </c>
      <c r="C55" t="str">
        <f>'Vendor Entry Sheet'!I57</f>
        <v/>
      </c>
      <c r="D55" s="39" t="str">
        <f>'Vendor Entry Sheet'!J57</f>
        <v/>
      </c>
      <c r="E55" t="str">
        <f>'Vendor Entry Sheet'!D57</f>
        <v/>
      </c>
      <c r="F55">
        <f>'Vendor Entry Sheet'!E57</f>
        <v>0</v>
      </c>
      <c r="H55" s="40">
        <f>'Vendor Entry Sheet'!F57</f>
        <v>0</v>
      </c>
      <c r="I55">
        <f>'Vendor Entry Sheet'!G57</f>
        <v>0</v>
      </c>
      <c r="K55" s="41">
        <v>1005</v>
      </c>
      <c r="L55">
        <f>'Vendor Entry Sheet'!H57</f>
        <v>0</v>
      </c>
      <c r="M55" s="41" t="s">
        <v>41</v>
      </c>
    </row>
    <row r="56" spans="1:13" x14ac:dyDescent="0.35">
      <c r="A56" s="37">
        <f>'Vendor Entry Sheet'!A58</f>
        <v>0</v>
      </c>
      <c r="B56" s="38" t="str">
        <f>'Vendor Entry Sheet'!C58</f>
        <v/>
      </c>
      <c r="C56" t="str">
        <f>'Vendor Entry Sheet'!I58</f>
        <v/>
      </c>
      <c r="D56" s="39" t="str">
        <f>'Vendor Entry Sheet'!J58</f>
        <v/>
      </c>
      <c r="E56" t="str">
        <f>'Vendor Entry Sheet'!D58</f>
        <v/>
      </c>
      <c r="F56">
        <f>'Vendor Entry Sheet'!E58</f>
        <v>0</v>
      </c>
      <c r="H56" s="40">
        <f>'Vendor Entry Sheet'!F58</f>
        <v>0</v>
      </c>
      <c r="I56">
        <f>'Vendor Entry Sheet'!G58</f>
        <v>0</v>
      </c>
      <c r="K56" s="41">
        <v>1005</v>
      </c>
      <c r="L56">
        <f>'Vendor Entry Sheet'!H58</f>
        <v>0</v>
      </c>
      <c r="M56" s="41" t="s">
        <v>41</v>
      </c>
    </row>
    <row r="57" spans="1:13" x14ac:dyDescent="0.35">
      <c r="A57" s="37">
        <f>'Vendor Entry Sheet'!A59</f>
        <v>0</v>
      </c>
      <c r="B57" s="38" t="str">
        <f>'Vendor Entry Sheet'!C59</f>
        <v/>
      </c>
      <c r="C57" t="str">
        <f>'Vendor Entry Sheet'!I59</f>
        <v/>
      </c>
      <c r="D57" s="39" t="str">
        <f>'Vendor Entry Sheet'!J59</f>
        <v/>
      </c>
      <c r="E57" t="str">
        <f>'Vendor Entry Sheet'!D59</f>
        <v/>
      </c>
      <c r="F57">
        <f>'Vendor Entry Sheet'!E59</f>
        <v>0</v>
      </c>
      <c r="H57" s="40">
        <f>'Vendor Entry Sheet'!F59</f>
        <v>0</v>
      </c>
      <c r="I57">
        <f>'Vendor Entry Sheet'!G59</f>
        <v>0</v>
      </c>
      <c r="K57" s="41">
        <v>1005</v>
      </c>
      <c r="L57">
        <f>'Vendor Entry Sheet'!H59</f>
        <v>0</v>
      </c>
      <c r="M57" s="41" t="s">
        <v>41</v>
      </c>
    </row>
    <row r="58" spans="1:13" x14ac:dyDescent="0.35">
      <c r="A58" s="37">
        <f>'Vendor Entry Sheet'!A60</f>
        <v>0</v>
      </c>
      <c r="B58" s="38" t="str">
        <f>'Vendor Entry Sheet'!C60</f>
        <v/>
      </c>
      <c r="C58" t="str">
        <f>'Vendor Entry Sheet'!I60</f>
        <v/>
      </c>
      <c r="D58" s="39" t="str">
        <f>'Vendor Entry Sheet'!J60</f>
        <v/>
      </c>
      <c r="E58" t="str">
        <f>'Vendor Entry Sheet'!D60</f>
        <v/>
      </c>
      <c r="F58">
        <f>'Vendor Entry Sheet'!E60</f>
        <v>0</v>
      </c>
      <c r="H58" s="40">
        <f>'Vendor Entry Sheet'!F60</f>
        <v>0</v>
      </c>
      <c r="I58">
        <f>'Vendor Entry Sheet'!G60</f>
        <v>0</v>
      </c>
      <c r="K58" s="41">
        <v>1005</v>
      </c>
      <c r="L58">
        <f>'Vendor Entry Sheet'!H60</f>
        <v>0</v>
      </c>
      <c r="M58" s="41" t="s">
        <v>41</v>
      </c>
    </row>
    <row r="59" spans="1:13" x14ac:dyDescent="0.35">
      <c r="A59" s="37">
        <f>'Vendor Entry Sheet'!A61</f>
        <v>0</v>
      </c>
      <c r="B59" s="38" t="str">
        <f>'Vendor Entry Sheet'!C61</f>
        <v/>
      </c>
      <c r="C59" t="str">
        <f>'Vendor Entry Sheet'!I61</f>
        <v/>
      </c>
      <c r="D59" s="39" t="str">
        <f>'Vendor Entry Sheet'!J61</f>
        <v/>
      </c>
      <c r="E59" t="str">
        <f>'Vendor Entry Sheet'!D61</f>
        <v/>
      </c>
      <c r="F59">
        <f>'Vendor Entry Sheet'!E61</f>
        <v>0</v>
      </c>
      <c r="H59" s="40">
        <f>'Vendor Entry Sheet'!F61</f>
        <v>0</v>
      </c>
      <c r="I59">
        <f>'Vendor Entry Sheet'!G61</f>
        <v>0</v>
      </c>
      <c r="K59" s="41">
        <v>1005</v>
      </c>
      <c r="L59">
        <f>'Vendor Entry Sheet'!H61</f>
        <v>0</v>
      </c>
      <c r="M59" s="41" t="s">
        <v>41</v>
      </c>
    </row>
    <row r="60" spans="1:13" x14ac:dyDescent="0.35">
      <c r="A60" s="37">
        <f>'Vendor Entry Sheet'!A62</f>
        <v>0</v>
      </c>
      <c r="B60" s="38" t="str">
        <f>'Vendor Entry Sheet'!C62</f>
        <v/>
      </c>
      <c r="C60" t="str">
        <f>'Vendor Entry Sheet'!I62</f>
        <v/>
      </c>
      <c r="D60" s="39" t="str">
        <f>'Vendor Entry Sheet'!J62</f>
        <v/>
      </c>
      <c r="E60" t="str">
        <f>'Vendor Entry Sheet'!D62</f>
        <v/>
      </c>
      <c r="F60">
        <f>'Vendor Entry Sheet'!E62</f>
        <v>0</v>
      </c>
      <c r="H60" s="40">
        <f>'Vendor Entry Sheet'!F62</f>
        <v>0</v>
      </c>
      <c r="I60">
        <f>'Vendor Entry Sheet'!G62</f>
        <v>0</v>
      </c>
      <c r="K60" s="41">
        <v>1005</v>
      </c>
      <c r="L60">
        <f>'Vendor Entry Sheet'!H62</f>
        <v>0</v>
      </c>
      <c r="M60" s="41" t="s">
        <v>41</v>
      </c>
    </row>
    <row r="61" spans="1:13" x14ac:dyDescent="0.35">
      <c r="A61" s="37">
        <f>'Vendor Entry Sheet'!A63</f>
        <v>0</v>
      </c>
      <c r="B61" s="38" t="str">
        <f>'Vendor Entry Sheet'!C63</f>
        <v/>
      </c>
      <c r="C61" t="str">
        <f>'Vendor Entry Sheet'!I63</f>
        <v/>
      </c>
      <c r="D61" s="39" t="str">
        <f>'Vendor Entry Sheet'!J63</f>
        <v/>
      </c>
      <c r="E61" t="str">
        <f>'Vendor Entry Sheet'!D63</f>
        <v/>
      </c>
      <c r="F61">
        <f>'Vendor Entry Sheet'!E63</f>
        <v>0</v>
      </c>
      <c r="H61" s="40">
        <f>'Vendor Entry Sheet'!F63</f>
        <v>0</v>
      </c>
      <c r="I61">
        <f>'Vendor Entry Sheet'!G63</f>
        <v>0</v>
      </c>
      <c r="K61" s="41">
        <v>1005</v>
      </c>
      <c r="L61">
        <f>'Vendor Entry Sheet'!H63</f>
        <v>0</v>
      </c>
      <c r="M61" s="41" t="s">
        <v>41</v>
      </c>
    </row>
    <row r="62" spans="1:13" x14ac:dyDescent="0.35">
      <c r="A62" s="37">
        <f>'Vendor Entry Sheet'!A64</f>
        <v>0</v>
      </c>
      <c r="B62" s="38" t="str">
        <f>'Vendor Entry Sheet'!C64</f>
        <v/>
      </c>
      <c r="C62" t="str">
        <f>'Vendor Entry Sheet'!I64</f>
        <v/>
      </c>
      <c r="D62" s="39" t="str">
        <f>'Vendor Entry Sheet'!J64</f>
        <v/>
      </c>
      <c r="E62" t="str">
        <f>'Vendor Entry Sheet'!D64</f>
        <v/>
      </c>
      <c r="F62">
        <f>'Vendor Entry Sheet'!E64</f>
        <v>0</v>
      </c>
      <c r="H62" s="40">
        <f>'Vendor Entry Sheet'!F64</f>
        <v>0</v>
      </c>
      <c r="I62">
        <f>'Vendor Entry Sheet'!G64</f>
        <v>0</v>
      </c>
      <c r="K62" s="41">
        <v>1005</v>
      </c>
      <c r="L62">
        <f>'Vendor Entry Sheet'!H64</f>
        <v>0</v>
      </c>
      <c r="M62" s="41" t="s">
        <v>41</v>
      </c>
    </row>
    <row r="63" spans="1:13" x14ac:dyDescent="0.35">
      <c r="A63" s="37">
        <f>'Vendor Entry Sheet'!A65</f>
        <v>0</v>
      </c>
      <c r="B63" s="38" t="str">
        <f>'Vendor Entry Sheet'!C65</f>
        <v/>
      </c>
      <c r="C63" t="str">
        <f>'Vendor Entry Sheet'!I65</f>
        <v/>
      </c>
      <c r="D63" s="39" t="str">
        <f>'Vendor Entry Sheet'!J65</f>
        <v/>
      </c>
      <c r="E63" t="str">
        <f>'Vendor Entry Sheet'!D65</f>
        <v/>
      </c>
      <c r="F63">
        <f>'Vendor Entry Sheet'!E65</f>
        <v>0</v>
      </c>
      <c r="H63" s="40">
        <f>'Vendor Entry Sheet'!F65</f>
        <v>0</v>
      </c>
      <c r="I63">
        <f>'Vendor Entry Sheet'!G65</f>
        <v>0</v>
      </c>
      <c r="K63" s="41">
        <v>1005</v>
      </c>
      <c r="L63">
        <f>'Vendor Entry Sheet'!H65</f>
        <v>0</v>
      </c>
      <c r="M63" s="41" t="s">
        <v>41</v>
      </c>
    </row>
    <row r="64" spans="1:13" x14ac:dyDescent="0.35">
      <c r="A64" s="37">
        <f>'Vendor Entry Sheet'!A66</f>
        <v>0</v>
      </c>
      <c r="B64" s="38" t="str">
        <f>'Vendor Entry Sheet'!C66</f>
        <v/>
      </c>
      <c r="C64" t="str">
        <f>'Vendor Entry Sheet'!I66</f>
        <v/>
      </c>
      <c r="D64" s="39" t="str">
        <f>'Vendor Entry Sheet'!J66</f>
        <v/>
      </c>
      <c r="E64" t="str">
        <f>'Vendor Entry Sheet'!D66</f>
        <v/>
      </c>
      <c r="F64">
        <f>'Vendor Entry Sheet'!E66</f>
        <v>0</v>
      </c>
      <c r="H64" s="40">
        <f>'Vendor Entry Sheet'!F66</f>
        <v>0</v>
      </c>
      <c r="I64">
        <f>'Vendor Entry Sheet'!G66</f>
        <v>0</v>
      </c>
      <c r="K64" s="41">
        <v>1005</v>
      </c>
      <c r="L64">
        <f>'Vendor Entry Sheet'!H66</f>
        <v>0</v>
      </c>
      <c r="M64" s="41" t="s">
        <v>41</v>
      </c>
    </row>
    <row r="65" spans="1:13" x14ac:dyDescent="0.35">
      <c r="A65" s="37">
        <f>'Vendor Entry Sheet'!A67</f>
        <v>0</v>
      </c>
      <c r="B65" s="38" t="str">
        <f>'Vendor Entry Sheet'!C67</f>
        <v/>
      </c>
      <c r="C65" t="str">
        <f>'Vendor Entry Sheet'!I67</f>
        <v/>
      </c>
      <c r="D65" s="39" t="str">
        <f>'Vendor Entry Sheet'!J67</f>
        <v/>
      </c>
      <c r="E65" t="str">
        <f>'Vendor Entry Sheet'!D67</f>
        <v/>
      </c>
      <c r="F65">
        <f>'Vendor Entry Sheet'!E67</f>
        <v>0</v>
      </c>
      <c r="H65" s="40">
        <f>'Vendor Entry Sheet'!F67</f>
        <v>0</v>
      </c>
      <c r="I65">
        <f>'Vendor Entry Sheet'!G67</f>
        <v>0</v>
      </c>
      <c r="K65" s="41">
        <v>1005</v>
      </c>
      <c r="L65">
        <f>'Vendor Entry Sheet'!H67</f>
        <v>0</v>
      </c>
      <c r="M65" s="41" t="s">
        <v>41</v>
      </c>
    </row>
    <row r="66" spans="1:13" x14ac:dyDescent="0.35">
      <c r="A66" s="37">
        <f>'Vendor Entry Sheet'!A68</f>
        <v>0</v>
      </c>
      <c r="B66" s="38" t="str">
        <f>'Vendor Entry Sheet'!C68</f>
        <v/>
      </c>
      <c r="C66" t="str">
        <f>'Vendor Entry Sheet'!I68</f>
        <v/>
      </c>
      <c r="D66" s="39" t="str">
        <f>'Vendor Entry Sheet'!J68</f>
        <v/>
      </c>
      <c r="E66" t="str">
        <f>'Vendor Entry Sheet'!D68</f>
        <v/>
      </c>
      <c r="F66">
        <f>'Vendor Entry Sheet'!E68</f>
        <v>0</v>
      </c>
      <c r="H66" s="40">
        <f>'Vendor Entry Sheet'!F68</f>
        <v>0</v>
      </c>
      <c r="I66">
        <f>'Vendor Entry Sheet'!G68</f>
        <v>0</v>
      </c>
      <c r="K66" s="41">
        <v>1005</v>
      </c>
      <c r="L66">
        <f>'Vendor Entry Sheet'!H68</f>
        <v>0</v>
      </c>
      <c r="M66" s="41" t="s">
        <v>41</v>
      </c>
    </row>
    <row r="67" spans="1:13" x14ac:dyDescent="0.35">
      <c r="A67" s="37">
        <f>'Vendor Entry Sheet'!A69</f>
        <v>0</v>
      </c>
      <c r="B67" s="38" t="str">
        <f>'Vendor Entry Sheet'!C69</f>
        <v/>
      </c>
      <c r="C67" t="str">
        <f>'Vendor Entry Sheet'!I69</f>
        <v/>
      </c>
      <c r="D67" s="39" t="str">
        <f>'Vendor Entry Sheet'!J69</f>
        <v/>
      </c>
      <c r="E67" t="str">
        <f>'Vendor Entry Sheet'!D69</f>
        <v/>
      </c>
      <c r="F67">
        <f>'Vendor Entry Sheet'!E69</f>
        <v>0</v>
      </c>
      <c r="H67" s="40">
        <f>'Vendor Entry Sheet'!F69</f>
        <v>0</v>
      </c>
      <c r="I67">
        <f>'Vendor Entry Sheet'!G69</f>
        <v>0</v>
      </c>
      <c r="K67" s="41">
        <v>1005</v>
      </c>
      <c r="L67">
        <f>'Vendor Entry Sheet'!H69</f>
        <v>0</v>
      </c>
      <c r="M67" s="41" t="s">
        <v>41</v>
      </c>
    </row>
    <row r="68" spans="1:13" x14ac:dyDescent="0.35">
      <c r="A68" s="37">
        <f>'Vendor Entry Sheet'!A70</f>
        <v>0</v>
      </c>
      <c r="B68" s="38" t="str">
        <f>'Vendor Entry Sheet'!C70</f>
        <v/>
      </c>
      <c r="C68" t="str">
        <f>'Vendor Entry Sheet'!I70</f>
        <v/>
      </c>
      <c r="D68" s="39" t="str">
        <f>'Vendor Entry Sheet'!J70</f>
        <v/>
      </c>
      <c r="E68" t="str">
        <f>'Vendor Entry Sheet'!D70</f>
        <v/>
      </c>
      <c r="F68">
        <f>'Vendor Entry Sheet'!E70</f>
        <v>0</v>
      </c>
      <c r="H68" s="40">
        <f>'Vendor Entry Sheet'!F70</f>
        <v>0</v>
      </c>
      <c r="I68">
        <f>'Vendor Entry Sheet'!G70</f>
        <v>0</v>
      </c>
      <c r="K68" s="41">
        <v>1005</v>
      </c>
      <c r="L68">
        <f>'Vendor Entry Sheet'!H70</f>
        <v>0</v>
      </c>
      <c r="M68" s="41" t="s">
        <v>41</v>
      </c>
    </row>
    <row r="69" spans="1:13" x14ac:dyDescent="0.35">
      <c r="A69" s="37">
        <f>'Vendor Entry Sheet'!A71</f>
        <v>0</v>
      </c>
      <c r="B69" s="38" t="str">
        <f>'Vendor Entry Sheet'!C71</f>
        <v/>
      </c>
      <c r="C69" t="str">
        <f>'Vendor Entry Sheet'!I71</f>
        <v/>
      </c>
      <c r="D69" s="39" t="str">
        <f>'Vendor Entry Sheet'!J71</f>
        <v/>
      </c>
      <c r="E69" t="str">
        <f>'Vendor Entry Sheet'!D71</f>
        <v/>
      </c>
      <c r="F69">
        <f>'Vendor Entry Sheet'!E71</f>
        <v>0</v>
      </c>
      <c r="H69" s="40">
        <f>'Vendor Entry Sheet'!F71</f>
        <v>0</v>
      </c>
      <c r="I69">
        <f>'Vendor Entry Sheet'!G71</f>
        <v>0</v>
      </c>
      <c r="K69" s="41">
        <v>1005</v>
      </c>
      <c r="L69">
        <f>'Vendor Entry Sheet'!H71</f>
        <v>0</v>
      </c>
      <c r="M69" s="41" t="s">
        <v>41</v>
      </c>
    </row>
    <row r="70" spans="1:13" x14ac:dyDescent="0.35">
      <c r="A70" s="37">
        <f>'Vendor Entry Sheet'!A72</f>
        <v>0</v>
      </c>
      <c r="B70" s="38" t="str">
        <f>'Vendor Entry Sheet'!C72</f>
        <v/>
      </c>
      <c r="C70" t="str">
        <f>'Vendor Entry Sheet'!I72</f>
        <v/>
      </c>
      <c r="D70" s="39" t="str">
        <f>'Vendor Entry Sheet'!J72</f>
        <v/>
      </c>
      <c r="E70" t="str">
        <f>'Vendor Entry Sheet'!D72</f>
        <v/>
      </c>
      <c r="F70">
        <f>'Vendor Entry Sheet'!E72</f>
        <v>0</v>
      </c>
      <c r="H70" s="40">
        <f>'Vendor Entry Sheet'!F72</f>
        <v>0</v>
      </c>
      <c r="I70">
        <f>'Vendor Entry Sheet'!G72</f>
        <v>0</v>
      </c>
      <c r="K70" s="41">
        <v>1005</v>
      </c>
      <c r="L70">
        <f>'Vendor Entry Sheet'!H72</f>
        <v>0</v>
      </c>
      <c r="M70" s="41" t="s">
        <v>41</v>
      </c>
    </row>
    <row r="71" spans="1:13" x14ac:dyDescent="0.35">
      <c r="A71" s="37">
        <f>'Vendor Entry Sheet'!A73</f>
        <v>0</v>
      </c>
      <c r="B71" s="38" t="str">
        <f>'Vendor Entry Sheet'!C73</f>
        <v/>
      </c>
      <c r="C71" t="str">
        <f>'Vendor Entry Sheet'!I73</f>
        <v/>
      </c>
      <c r="D71" s="39" t="str">
        <f>'Vendor Entry Sheet'!J73</f>
        <v/>
      </c>
      <c r="E71" t="str">
        <f>'Vendor Entry Sheet'!D73</f>
        <v/>
      </c>
      <c r="F71">
        <f>'Vendor Entry Sheet'!E73</f>
        <v>0</v>
      </c>
      <c r="H71" s="40">
        <f>'Vendor Entry Sheet'!F73</f>
        <v>0</v>
      </c>
      <c r="I71">
        <f>'Vendor Entry Sheet'!G73</f>
        <v>0</v>
      </c>
      <c r="K71" s="41">
        <v>1005</v>
      </c>
      <c r="L71">
        <f>'Vendor Entry Sheet'!H73</f>
        <v>0</v>
      </c>
      <c r="M71" s="41" t="s">
        <v>41</v>
      </c>
    </row>
    <row r="72" spans="1:13" x14ac:dyDescent="0.35">
      <c r="A72" s="37">
        <f>'Vendor Entry Sheet'!A74</f>
        <v>0</v>
      </c>
      <c r="B72" s="38" t="str">
        <f>'Vendor Entry Sheet'!C74</f>
        <v/>
      </c>
      <c r="C72" t="str">
        <f>'Vendor Entry Sheet'!I74</f>
        <v/>
      </c>
      <c r="D72" s="39" t="str">
        <f>'Vendor Entry Sheet'!J74</f>
        <v/>
      </c>
      <c r="E72" t="str">
        <f>'Vendor Entry Sheet'!D74</f>
        <v/>
      </c>
      <c r="F72">
        <f>'Vendor Entry Sheet'!E74</f>
        <v>0</v>
      </c>
      <c r="H72" s="40">
        <f>'Vendor Entry Sheet'!F74</f>
        <v>0</v>
      </c>
      <c r="I72">
        <f>'Vendor Entry Sheet'!G74</f>
        <v>0</v>
      </c>
      <c r="K72" s="41">
        <v>1005</v>
      </c>
      <c r="L72">
        <f>'Vendor Entry Sheet'!H74</f>
        <v>0</v>
      </c>
      <c r="M72" s="41" t="s">
        <v>41</v>
      </c>
    </row>
    <row r="73" spans="1:13" x14ac:dyDescent="0.35">
      <c r="A73" s="37">
        <f>'Vendor Entry Sheet'!A75</f>
        <v>0</v>
      </c>
      <c r="B73" s="38" t="str">
        <f>'Vendor Entry Sheet'!C75</f>
        <v/>
      </c>
      <c r="C73" t="str">
        <f>'Vendor Entry Sheet'!I75</f>
        <v/>
      </c>
      <c r="D73" s="39" t="str">
        <f>'Vendor Entry Sheet'!J75</f>
        <v/>
      </c>
      <c r="E73" t="str">
        <f>'Vendor Entry Sheet'!D75</f>
        <v/>
      </c>
      <c r="F73">
        <f>'Vendor Entry Sheet'!E75</f>
        <v>0</v>
      </c>
      <c r="H73" s="40">
        <f>'Vendor Entry Sheet'!F75</f>
        <v>0</v>
      </c>
      <c r="I73">
        <f>'Vendor Entry Sheet'!G75</f>
        <v>0</v>
      </c>
      <c r="K73" s="41">
        <v>1005</v>
      </c>
      <c r="L73">
        <f>'Vendor Entry Sheet'!H75</f>
        <v>0</v>
      </c>
      <c r="M73" s="41" t="s">
        <v>41</v>
      </c>
    </row>
    <row r="74" spans="1:13" x14ac:dyDescent="0.35">
      <c r="A74" s="37">
        <f>'Vendor Entry Sheet'!A76</f>
        <v>0</v>
      </c>
      <c r="B74" s="38" t="str">
        <f>'Vendor Entry Sheet'!C76</f>
        <v/>
      </c>
      <c r="C74" t="str">
        <f>'Vendor Entry Sheet'!I76</f>
        <v/>
      </c>
      <c r="D74" s="39" t="str">
        <f>'Vendor Entry Sheet'!J76</f>
        <v/>
      </c>
      <c r="E74" t="str">
        <f>'Vendor Entry Sheet'!D76</f>
        <v/>
      </c>
      <c r="F74">
        <f>'Vendor Entry Sheet'!E76</f>
        <v>0</v>
      </c>
      <c r="H74" s="40">
        <f>'Vendor Entry Sheet'!F76</f>
        <v>0</v>
      </c>
      <c r="I74">
        <f>'Vendor Entry Sheet'!G76</f>
        <v>0</v>
      </c>
      <c r="K74" s="41">
        <v>1005</v>
      </c>
      <c r="L74">
        <f>'Vendor Entry Sheet'!H76</f>
        <v>0</v>
      </c>
      <c r="M74" s="41" t="s">
        <v>41</v>
      </c>
    </row>
    <row r="75" spans="1:13" x14ac:dyDescent="0.35">
      <c r="A75" s="37">
        <f>'Vendor Entry Sheet'!A77</f>
        <v>0</v>
      </c>
      <c r="B75" s="38" t="str">
        <f>'Vendor Entry Sheet'!C77</f>
        <v/>
      </c>
      <c r="C75" t="str">
        <f>'Vendor Entry Sheet'!I77</f>
        <v/>
      </c>
      <c r="D75" s="39" t="str">
        <f>'Vendor Entry Sheet'!J77</f>
        <v/>
      </c>
      <c r="E75" t="str">
        <f>'Vendor Entry Sheet'!D77</f>
        <v/>
      </c>
      <c r="F75">
        <f>'Vendor Entry Sheet'!E77</f>
        <v>0</v>
      </c>
      <c r="H75" s="40">
        <f>'Vendor Entry Sheet'!F77</f>
        <v>0</v>
      </c>
      <c r="I75">
        <f>'Vendor Entry Sheet'!G77</f>
        <v>0</v>
      </c>
      <c r="K75" s="41">
        <v>1005</v>
      </c>
      <c r="L75">
        <f>'Vendor Entry Sheet'!H77</f>
        <v>0</v>
      </c>
      <c r="M75" s="41" t="s">
        <v>41</v>
      </c>
    </row>
    <row r="76" spans="1:13" x14ac:dyDescent="0.35">
      <c r="A76" s="37">
        <f>'Vendor Entry Sheet'!A78</f>
        <v>0</v>
      </c>
      <c r="B76" s="38" t="str">
        <f>'Vendor Entry Sheet'!C78</f>
        <v/>
      </c>
      <c r="C76" t="str">
        <f>'Vendor Entry Sheet'!I78</f>
        <v/>
      </c>
      <c r="D76" s="39" t="str">
        <f>'Vendor Entry Sheet'!J78</f>
        <v/>
      </c>
      <c r="E76" t="str">
        <f>'Vendor Entry Sheet'!D78</f>
        <v/>
      </c>
      <c r="F76">
        <f>'Vendor Entry Sheet'!E78</f>
        <v>0</v>
      </c>
      <c r="H76" s="40">
        <f>'Vendor Entry Sheet'!F78</f>
        <v>0</v>
      </c>
      <c r="I76">
        <f>'Vendor Entry Sheet'!G78</f>
        <v>0</v>
      </c>
      <c r="K76" s="41">
        <v>1005</v>
      </c>
      <c r="L76">
        <f>'Vendor Entry Sheet'!H78</f>
        <v>0</v>
      </c>
      <c r="M76" s="41" t="s">
        <v>41</v>
      </c>
    </row>
    <row r="77" spans="1:13" x14ac:dyDescent="0.35">
      <c r="A77" s="37">
        <f>'Vendor Entry Sheet'!A79</f>
        <v>0</v>
      </c>
      <c r="B77" s="38" t="str">
        <f>'Vendor Entry Sheet'!C79</f>
        <v/>
      </c>
      <c r="C77" t="str">
        <f>'Vendor Entry Sheet'!I79</f>
        <v/>
      </c>
      <c r="D77" s="39" t="str">
        <f>'Vendor Entry Sheet'!J79</f>
        <v/>
      </c>
      <c r="E77" t="str">
        <f>'Vendor Entry Sheet'!D79</f>
        <v/>
      </c>
      <c r="F77">
        <f>'Vendor Entry Sheet'!E79</f>
        <v>0</v>
      </c>
      <c r="H77" s="40">
        <f>'Vendor Entry Sheet'!F79</f>
        <v>0</v>
      </c>
      <c r="I77">
        <f>'Vendor Entry Sheet'!G79</f>
        <v>0</v>
      </c>
      <c r="K77" s="41">
        <v>1005</v>
      </c>
      <c r="L77">
        <f>'Vendor Entry Sheet'!H79</f>
        <v>0</v>
      </c>
      <c r="M77" s="41" t="s">
        <v>41</v>
      </c>
    </row>
    <row r="78" spans="1:13" x14ac:dyDescent="0.35">
      <c r="A78" s="37">
        <f>'Vendor Entry Sheet'!A80</f>
        <v>0</v>
      </c>
      <c r="B78" s="38" t="str">
        <f>'Vendor Entry Sheet'!C80</f>
        <v/>
      </c>
      <c r="C78" t="str">
        <f>'Vendor Entry Sheet'!I80</f>
        <v/>
      </c>
      <c r="D78" s="39" t="str">
        <f>'Vendor Entry Sheet'!J80</f>
        <v/>
      </c>
      <c r="E78" t="str">
        <f>'Vendor Entry Sheet'!D80</f>
        <v/>
      </c>
      <c r="F78">
        <f>'Vendor Entry Sheet'!E80</f>
        <v>0</v>
      </c>
      <c r="H78" s="40">
        <f>'Vendor Entry Sheet'!F80</f>
        <v>0</v>
      </c>
      <c r="I78">
        <f>'Vendor Entry Sheet'!G80</f>
        <v>0</v>
      </c>
      <c r="K78" s="41">
        <v>1005</v>
      </c>
      <c r="L78">
        <f>'Vendor Entry Sheet'!H80</f>
        <v>0</v>
      </c>
      <c r="M78" s="41" t="s">
        <v>41</v>
      </c>
    </row>
    <row r="79" spans="1:13" x14ac:dyDescent="0.35">
      <c r="A79" s="37">
        <f>'Vendor Entry Sheet'!A81</f>
        <v>0</v>
      </c>
      <c r="B79" s="38" t="str">
        <f>'Vendor Entry Sheet'!C81</f>
        <v/>
      </c>
      <c r="C79" t="str">
        <f>'Vendor Entry Sheet'!I81</f>
        <v/>
      </c>
      <c r="D79" s="39" t="str">
        <f>'Vendor Entry Sheet'!J81</f>
        <v/>
      </c>
      <c r="E79" t="str">
        <f>'Vendor Entry Sheet'!D81</f>
        <v/>
      </c>
      <c r="F79">
        <f>'Vendor Entry Sheet'!E81</f>
        <v>0</v>
      </c>
      <c r="H79" s="40">
        <f>'Vendor Entry Sheet'!F81</f>
        <v>0</v>
      </c>
      <c r="I79">
        <f>'Vendor Entry Sheet'!G81</f>
        <v>0</v>
      </c>
      <c r="K79" s="41">
        <v>1005</v>
      </c>
      <c r="L79">
        <f>'Vendor Entry Sheet'!H81</f>
        <v>0</v>
      </c>
      <c r="M79" s="41" t="s">
        <v>41</v>
      </c>
    </row>
    <row r="80" spans="1:13" x14ac:dyDescent="0.35">
      <c r="A80" s="37">
        <f>'Vendor Entry Sheet'!A82</f>
        <v>0</v>
      </c>
      <c r="B80" s="38" t="str">
        <f>'Vendor Entry Sheet'!C82</f>
        <v/>
      </c>
      <c r="C80" t="str">
        <f>'Vendor Entry Sheet'!I82</f>
        <v/>
      </c>
      <c r="D80" s="39" t="str">
        <f>'Vendor Entry Sheet'!J82</f>
        <v/>
      </c>
      <c r="E80" t="str">
        <f>'Vendor Entry Sheet'!D82</f>
        <v/>
      </c>
      <c r="F80">
        <f>'Vendor Entry Sheet'!E82</f>
        <v>0</v>
      </c>
      <c r="H80" s="40">
        <f>'Vendor Entry Sheet'!F82</f>
        <v>0</v>
      </c>
      <c r="I80">
        <f>'Vendor Entry Sheet'!G82</f>
        <v>0</v>
      </c>
      <c r="K80" s="41">
        <v>1005</v>
      </c>
      <c r="L80">
        <f>'Vendor Entry Sheet'!H82</f>
        <v>0</v>
      </c>
      <c r="M80" s="41" t="s">
        <v>41</v>
      </c>
    </row>
    <row r="81" spans="1:13" x14ac:dyDescent="0.35">
      <c r="A81" s="37">
        <f>'Vendor Entry Sheet'!A83</f>
        <v>0</v>
      </c>
      <c r="B81" s="38" t="str">
        <f>'Vendor Entry Sheet'!C83</f>
        <v/>
      </c>
      <c r="C81" t="str">
        <f>'Vendor Entry Sheet'!I83</f>
        <v/>
      </c>
      <c r="D81" s="39" t="str">
        <f>'Vendor Entry Sheet'!J83</f>
        <v/>
      </c>
      <c r="E81" t="str">
        <f>'Vendor Entry Sheet'!D83</f>
        <v/>
      </c>
      <c r="F81">
        <f>'Vendor Entry Sheet'!E83</f>
        <v>0</v>
      </c>
      <c r="H81" s="40">
        <f>'Vendor Entry Sheet'!F83</f>
        <v>0</v>
      </c>
      <c r="I81">
        <f>'Vendor Entry Sheet'!G83</f>
        <v>0</v>
      </c>
      <c r="K81" s="41">
        <v>1005</v>
      </c>
      <c r="L81">
        <f>'Vendor Entry Sheet'!H83</f>
        <v>0</v>
      </c>
      <c r="M81" s="41" t="s">
        <v>41</v>
      </c>
    </row>
    <row r="82" spans="1:13" x14ac:dyDescent="0.35">
      <c r="A82" s="37">
        <f>'Vendor Entry Sheet'!A84</f>
        <v>0</v>
      </c>
      <c r="B82" s="38" t="str">
        <f>'Vendor Entry Sheet'!C84</f>
        <v/>
      </c>
      <c r="C82" t="str">
        <f>'Vendor Entry Sheet'!I84</f>
        <v/>
      </c>
      <c r="D82" s="39" t="str">
        <f>'Vendor Entry Sheet'!J84</f>
        <v/>
      </c>
      <c r="E82" t="str">
        <f>'Vendor Entry Sheet'!D84</f>
        <v/>
      </c>
      <c r="F82">
        <f>'Vendor Entry Sheet'!E84</f>
        <v>0</v>
      </c>
      <c r="H82" s="40">
        <f>'Vendor Entry Sheet'!F84</f>
        <v>0</v>
      </c>
      <c r="I82">
        <f>'Vendor Entry Sheet'!G84</f>
        <v>0</v>
      </c>
      <c r="K82" s="41">
        <v>1005</v>
      </c>
      <c r="L82">
        <f>'Vendor Entry Sheet'!H84</f>
        <v>0</v>
      </c>
      <c r="M82" s="41" t="s">
        <v>41</v>
      </c>
    </row>
    <row r="83" spans="1:13" x14ac:dyDescent="0.35">
      <c r="A83" s="37">
        <f>'Vendor Entry Sheet'!A85</f>
        <v>0</v>
      </c>
      <c r="B83" s="38" t="str">
        <f>'Vendor Entry Sheet'!C85</f>
        <v/>
      </c>
      <c r="C83" t="str">
        <f>'Vendor Entry Sheet'!I85</f>
        <v/>
      </c>
      <c r="D83" s="39" t="str">
        <f>'Vendor Entry Sheet'!J85</f>
        <v/>
      </c>
      <c r="E83" t="str">
        <f>'Vendor Entry Sheet'!D85</f>
        <v/>
      </c>
      <c r="F83">
        <f>'Vendor Entry Sheet'!E85</f>
        <v>0</v>
      </c>
      <c r="H83" s="40">
        <f>'Vendor Entry Sheet'!F85</f>
        <v>0</v>
      </c>
      <c r="I83">
        <f>'Vendor Entry Sheet'!G85</f>
        <v>0</v>
      </c>
      <c r="K83" s="41">
        <v>1005</v>
      </c>
      <c r="L83">
        <f>'Vendor Entry Sheet'!H85</f>
        <v>0</v>
      </c>
      <c r="M83" s="41" t="s">
        <v>41</v>
      </c>
    </row>
    <row r="84" spans="1:13" x14ac:dyDescent="0.35">
      <c r="A84" s="37">
        <f>'Vendor Entry Sheet'!A86</f>
        <v>0</v>
      </c>
      <c r="B84" s="38" t="str">
        <f>'Vendor Entry Sheet'!C86</f>
        <v/>
      </c>
      <c r="C84" t="str">
        <f>'Vendor Entry Sheet'!I86</f>
        <v/>
      </c>
      <c r="D84" s="39" t="str">
        <f>'Vendor Entry Sheet'!J86</f>
        <v/>
      </c>
      <c r="E84" t="str">
        <f>'Vendor Entry Sheet'!D86</f>
        <v/>
      </c>
      <c r="F84">
        <f>'Vendor Entry Sheet'!E86</f>
        <v>0</v>
      </c>
      <c r="H84" s="40">
        <f>'Vendor Entry Sheet'!F86</f>
        <v>0</v>
      </c>
      <c r="I84">
        <f>'Vendor Entry Sheet'!G86</f>
        <v>0</v>
      </c>
      <c r="K84" s="41">
        <v>1005</v>
      </c>
      <c r="L84">
        <f>'Vendor Entry Sheet'!H86</f>
        <v>0</v>
      </c>
      <c r="M84" s="41" t="s">
        <v>41</v>
      </c>
    </row>
    <row r="85" spans="1:13" x14ac:dyDescent="0.35">
      <c r="A85" s="37">
        <f>'Vendor Entry Sheet'!A87</f>
        <v>0</v>
      </c>
      <c r="B85" s="38" t="str">
        <f>'Vendor Entry Sheet'!C87</f>
        <v/>
      </c>
      <c r="C85" t="str">
        <f>'Vendor Entry Sheet'!I87</f>
        <v/>
      </c>
      <c r="D85" s="39" t="str">
        <f>'Vendor Entry Sheet'!J87</f>
        <v/>
      </c>
      <c r="E85" t="str">
        <f>'Vendor Entry Sheet'!D87</f>
        <v/>
      </c>
      <c r="F85">
        <f>'Vendor Entry Sheet'!E87</f>
        <v>0</v>
      </c>
      <c r="H85" s="40">
        <f>'Vendor Entry Sheet'!F87</f>
        <v>0</v>
      </c>
      <c r="I85">
        <f>'Vendor Entry Sheet'!G87</f>
        <v>0</v>
      </c>
      <c r="K85" s="41">
        <v>1005</v>
      </c>
      <c r="L85">
        <f>'Vendor Entry Sheet'!H87</f>
        <v>0</v>
      </c>
      <c r="M85" s="41" t="s">
        <v>41</v>
      </c>
    </row>
    <row r="86" spans="1:13" x14ac:dyDescent="0.35">
      <c r="A86" s="37">
        <f>'Vendor Entry Sheet'!A88</f>
        <v>0</v>
      </c>
      <c r="B86" s="38" t="str">
        <f>'Vendor Entry Sheet'!C88</f>
        <v/>
      </c>
      <c r="C86" t="str">
        <f>'Vendor Entry Sheet'!I88</f>
        <v/>
      </c>
      <c r="D86" s="39" t="str">
        <f>'Vendor Entry Sheet'!J88</f>
        <v/>
      </c>
      <c r="E86" t="str">
        <f>'Vendor Entry Sheet'!D88</f>
        <v/>
      </c>
      <c r="F86">
        <f>'Vendor Entry Sheet'!E88</f>
        <v>0</v>
      </c>
      <c r="H86" s="40">
        <f>'Vendor Entry Sheet'!F88</f>
        <v>0</v>
      </c>
      <c r="I86">
        <f>'Vendor Entry Sheet'!G88</f>
        <v>0</v>
      </c>
      <c r="K86" s="41">
        <v>1005</v>
      </c>
      <c r="L86">
        <f>'Vendor Entry Sheet'!H88</f>
        <v>0</v>
      </c>
      <c r="M86" s="41" t="s">
        <v>41</v>
      </c>
    </row>
    <row r="87" spans="1:13" x14ac:dyDescent="0.35">
      <c r="A87" s="37">
        <f>'Vendor Entry Sheet'!A89</f>
        <v>0</v>
      </c>
      <c r="B87" s="38" t="str">
        <f>'Vendor Entry Sheet'!C89</f>
        <v/>
      </c>
      <c r="C87" t="str">
        <f>'Vendor Entry Sheet'!I89</f>
        <v/>
      </c>
      <c r="D87" s="39" t="str">
        <f>'Vendor Entry Sheet'!J89</f>
        <v/>
      </c>
      <c r="E87" t="str">
        <f>'Vendor Entry Sheet'!D89</f>
        <v/>
      </c>
      <c r="F87">
        <f>'Vendor Entry Sheet'!E89</f>
        <v>0</v>
      </c>
      <c r="H87" s="40">
        <f>'Vendor Entry Sheet'!F89</f>
        <v>0</v>
      </c>
      <c r="I87">
        <f>'Vendor Entry Sheet'!G89</f>
        <v>0</v>
      </c>
      <c r="K87" s="41">
        <v>1005</v>
      </c>
      <c r="L87">
        <f>'Vendor Entry Sheet'!H89</f>
        <v>0</v>
      </c>
      <c r="M87" s="41" t="s">
        <v>41</v>
      </c>
    </row>
    <row r="88" spans="1:13" x14ac:dyDescent="0.35">
      <c r="A88" s="37">
        <f>'Vendor Entry Sheet'!A90</f>
        <v>0</v>
      </c>
      <c r="B88" s="38" t="str">
        <f>'Vendor Entry Sheet'!C90</f>
        <v/>
      </c>
      <c r="C88" t="str">
        <f>'Vendor Entry Sheet'!I90</f>
        <v/>
      </c>
      <c r="D88" s="39" t="str">
        <f>'Vendor Entry Sheet'!J90</f>
        <v/>
      </c>
      <c r="E88" t="str">
        <f>'Vendor Entry Sheet'!D90</f>
        <v/>
      </c>
      <c r="F88">
        <f>'Vendor Entry Sheet'!E90</f>
        <v>0</v>
      </c>
      <c r="H88" s="40">
        <f>'Vendor Entry Sheet'!F90</f>
        <v>0</v>
      </c>
      <c r="I88">
        <f>'Vendor Entry Sheet'!G90</f>
        <v>0</v>
      </c>
      <c r="K88" s="41">
        <v>1005</v>
      </c>
      <c r="L88">
        <f>'Vendor Entry Sheet'!H90</f>
        <v>0</v>
      </c>
      <c r="M88" s="41" t="s">
        <v>41</v>
      </c>
    </row>
    <row r="89" spans="1:13" x14ac:dyDescent="0.35">
      <c r="A89" s="37">
        <f>'Vendor Entry Sheet'!A91</f>
        <v>0</v>
      </c>
      <c r="B89" s="38" t="str">
        <f>'Vendor Entry Sheet'!C91</f>
        <v/>
      </c>
      <c r="C89" t="str">
        <f>'Vendor Entry Sheet'!I91</f>
        <v/>
      </c>
      <c r="D89" s="39" t="str">
        <f>'Vendor Entry Sheet'!J91</f>
        <v/>
      </c>
      <c r="E89" t="str">
        <f>'Vendor Entry Sheet'!D91</f>
        <v/>
      </c>
      <c r="F89">
        <f>'Vendor Entry Sheet'!E91</f>
        <v>0</v>
      </c>
      <c r="H89" s="40">
        <f>'Vendor Entry Sheet'!F91</f>
        <v>0</v>
      </c>
      <c r="I89">
        <f>'Vendor Entry Sheet'!G91</f>
        <v>0</v>
      </c>
      <c r="K89" s="41">
        <v>1005</v>
      </c>
      <c r="L89">
        <f>'Vendor Entry Sheet'!H91</f>
        <v>0</v>
      </c>
      <c r="M89" s="41" t="s">
        <v>41</v>
      </c>
    </row>
    <row r="90" spans="1:13" x14ac:dyDescent="0.35">
      <c r="A90" s="37">
        <f>'Vendor Entry Sheet'!A92</f>
        <v>0</v>
      </c>
      <c r="B90" s="38" t="str">
        <f>'Vendor Entry Sheet'!C92</f>
        <v/>
      </c>
      <c r="C90" t="str">
        <f>'Vendor Entry Sheet'!I92</f>
        <v/>
      </c>
      <c r="D90" s="39" t="str">
        <f>'Vendor Entry Sheet'!J92</f>
        <v/>
      </c>
      <c r="E90" t="str">
        <f>'Vendor Entry Sheet'!D92</f>
        <v/>
      </c>
      <c r="F90">
        <f>'Vendor Entry Sheet'!E92</f>
        <v>0</v>
      </c>
      <c r="H90" s="40">
        <f>'Vendor Entry Sheet'!F92</f>
        <v>0</v>
      </c>
      <c r="I90">
        <f>'Vendor Entry Sheet'!G92</f>
        <v>0</v>
      </c>
      <c r="K90" s="41">
        <v>1005</v>
      </c>
      <c r="L90">
        <f>'Vendor Entry Sheet'!H92</f>
        <v>0</v>
      </c>
      <c r="M90" s="41" t="s">
        <v>41</v>
      </c>
    </row>
    <row r="91" spans="1:13" x14ac:dyDescent="0.35">
      <c r="A91" s="37">
        <f>'Vendor Entry Sheet'!A93</f>
        <v>0</v>
      </c>
      <c r="B91" s="38" t="str">
        <f>'Vendor Entry Sheet'!C93</f>
        <v/>
      </c>
      <c r="C91" t="str">
        <f>'Vendor Entry Sheet'!I93</f>
        <v/>
      </c>
      <c r="D91" s="39" t="str">
        <f>'Vendor Entry Sheet'!J93</f>
        <v/>
      </c>
      <c r="E91" t="str">
        <f>'Vendor Entry Sheet'!D93</f>
        <v/>
      </c>
      <c r="F91">
        <f>'Vendor Entry Sheet'!E93</f>
        <v>0</v>
      </c>
      <c r="H91" s="40">
        <f>'Vendor Entry Sheet'!F93</f>
        <v>0</v>
      </c>
      <c r="I91">
        <f>'Vendor Entry Sheet'!G93</f>
        <v>0</v>
      </c>
      <c r="K91" s="41">
        <v>1005</v>
      </c>
      <c r="L91">
        <f>'Vendor Entry Sheet'!H93</f>
        <v>0</v>
      </c>
      <c r="M91" s="41" t="s">
        <v>41</v>
      </c>
    </row>
    <row r="92" spans="1:13" x14ac:dyDescent="0.35">
      <c r="A92" s="37">
        <f>'Vendor Entry Sheet'!A94</f>
        <v>0</v>
      </c>
      <c r="B92" s="38" t="str">
        <f>'Vendor Entry Sheet'!C94</f>
        <v/>
      </c>
      <c r="C92" t="str">
        <f>'Vendor Entry Sheet'!I94</f>
        <v/>
      </c>
      <c r="D92" s="39" t="str">
        <f>'Vendor Entry Sheet'!J94</f>
        <v/>
      </c>
      <c r="E92" t="str">
        <f>'Vendor Entry Sheet'!D94</f>
        <v/>
      </c>
      <c r="F92">
        <f>'Vendor Entry Sheet'!E94</f>
        <v>0</v>
      </c>
      <c r="H92" s="40">
        <f>'Vendor Entry Sheet'!F94</f>
        <v>0</v>
      </c>
      <c r="I92">
        <f>'Vendor Entry Sheet'!G94</f>
        <v>0</v>
      </c>
      <c r="K92" s="41">
        <v>1005</v>
      </c>
      <c r="L92">
        <f>'Vendor Entry Sheet'!H94</f>
        <v>0</v>
      </c>
      <c r="M92" s="41" t="s">
        <v>41</v>
      </c>
    </row>
    <row r="93" spans="1:13" x14ac:dyDescent="0.35">
      <c r="A93" s="37">
        <f>'Vendor Entry Sheet'!A95</f>
        <v>0</v>
      </c>
      <c r="B93" s="38" t="str">
        <f>'Vendor Entry Sheet'!C95</f>
        <v/>
      </c>
      <c r="C93" t="str">
        <f>'Vendor Entry Sheet'!I95</f>
        <v/>
      </c>
      <c r="D93" s="39" t="str">
        <f>'Vendor Entry Sheet'!J95</f>
        <v/>
      </c>
      <c r="E93" t="str">
        <f>'Vendor Entry Sheet'!D95</f>
        <v/>
      </c>
      <c r="F93">
        <f>'Vendor Entry Sheet'!E95</f>
        <v>0</v>
      </c>
      <c r="H93" s="40">
        <f>'Vendor Entry Sheet'!F95</f>
        <v>0</v>
      </c>
      <c r="I93">
        <f>'Vendor Entry Sheet'!G95</f>
        <v>0</v>
      </c>
      <c r="K93" s="41">
        <v>1005</v>
      </c>
      <c r="L93">
        <f>'Vendor Entry Sheet'!H95</f>
        <v>0</v>
      </c>
      <c r="M93" s="41" t="s">
        <v>41</v>
      </c>
    </row>
    <row r="94" spans="1:13" x14ac:dyDescent="0.35">
      <c r="A94" s="37">
        <f>'Vendor Entry Sheet'!A96</f>
        <v>0</v>
      </c>
      <c r="B94" s="38" t="str">
        <f>'Vendor Entry Sheet'!C96</f>
        <v/>
      </c>
      <c r="C94" t="str">
        <f>'Vendor Entry Sheet'!I96</f>
        <v/>
      </c>
      <c r="D94" s="39" t="str">
        <f>'Vendor Entry Sheet'!J96</f>
        <v/>
      </c>
      <c r="E94" t="str">
        <f>'Vendor Entry Sheet'!D96</f>
        <v/>
      </c>
      <c r="F94">
        <f>'Vendor Entry Sheet'!E96</f>
        <v>0</v>
      </c>
      <c r="H94" s="40">
        <f>'Vendor Entry Sheet'!F96</f>
        <v>0</v>
      </c>
      <c r="I94">
        <f>'Vendor Entry Sheet'!G96</f>
        <v>0</v>
      </c>
      <c r="K94" s="41">
        <v>1005</v>
      </c>
      <c r="L94">
        <f>'Vendor Entry Sheet'!H96</f>
        <v>0</v>
      </c>
      <c r="M94" s="41" t="s">
        <v>41</v>
      </c>
    </row>
    <row r="95" spans="1:13" x14ac:dyDescent="0.35">
      <c r="A95" s="37">
        <f>'Vendor Entry Sheet'!A97</f>
        <v>0</v>
      </c>
      <c r="B95" s="38" t="str">
        <f>'Vendor Entry Sheet'!C97</f>
        <v/>
      </c>
      <c r="C95" t="str">
        <f>'Vendor Entry Sheet'!I97</f>
        <v/>
      </c>
      <c r="D95" s="39" t="str">
        <f>'Vendor Entry Sheet'!J97</f>
        <v/>
      </c>
      <c r="E95" t="str">
        <f>'Vendor Entry Sheet'!D97</f>
        <v/>
      </c>
      <c r="F95">
        <f>'Vendor Entry Sheet'!E97</f>
        <v>0</v>
      </c>
      <c r="H95" s="40">
        <f>'Vendor Entry Sheet'!F97</f>
        <v>0</v>
      </c>
      <c r="I95">
        <f>'Vendor Entry Sheet'!G97</f>
        <v>0</v>
      </c>
      <c r="K95" s="41">
        <v>1005</v>
      </c>
      <c r="L95">
        <f>'Vendor Entry Sheet'!H97</f>
        <v>0</v>
      </c>
      <c r="M95" s="41" t="s">
        <v>41</v>
      </c>
    </row>
    <row r="96" spans="1:13" x14ac:dyDescent="0.35">
      <c r="A96" s="37">
        <f>'Vendor Entry Sheet'!A98</f>
        <v>0</v>
      </c>
      <c r="B96" s="38" t="str">
        <f>'Vendor Entry Sheet'!C98</f>
        <v/>
      </c>
      <c r="C96" t="str">
        <f>'Vendor Entry Sheet'!I98</f>
        <v/>
      </c>
      <c r="D96" s="39" t="str">
        <f>'Vendor Entry Sheet'!J98</f>
        <v/>
      </c>
      <c r="E96" t="str">
        <f>'Vendor Entry Sheet'!D98</f>
        <v/>
      </c>
      <c r="F96">
        <f>'Vendor Entry Sheet'!E98</f>
        <v>0</v>
      </c>
      <c r="H96" s="40">
        <f>'Vendor Entry Sheet'!F98</f>
        <v>0</v>
      </c>
      <c r="I96">
        <f>'Vendor Entry Sheet'!G98</f>
        <v>0</v>
      </c>
      <c r="K96" s="41">
        <v>1005</v>
      </c>
      <c r="L96">
        <f>'Vendor Entry Sheet'!H98</f>
        <v>0</v>
      </c>
      <c r="M96" s="41" t="s">
        <v>41</v>
      </c>
    </row>
    <row r="97" spans="1:13" x14ac:dyDescent="0.35">
      <c r="A97" s="37">
        <f>'Vendor Entry Sheet'!A99</f>
        <v>0</v>
      </c>
      <c r="B97" s="38" t="str">
        <f>'Vendor Entry Sheet'!C99</f>
        <v/>
      </c>
      <c r="C97" t="str">
        <f>'Vendor Entry Sheet'!I99</f>
        <v/>
      </c>
      <c r="D97" s="39" t="str">
        <f>'Vendor Entry Sheet'!J99</f>
        <v/>
      </c>
      <c r="E97" t="str">
        <f>'Vendor Entry Sheet'!D99</f>
        <v/>
      </c>
      <c r="F97">
        <f>'Vendor Entry Sheet'!E99</f>
        <v>0</v>
      </c>
      <c r="H97" s="40">
        <f>'Vendor Entry Sheet'!F99</f>
        <v>0</v>
      </c>
      <c r="I97">
        <f>'Vendor Entry Sheet'!G99</f>
        <v>0</v>
      </c>
      <c r="K97" s="41">
        <v>1005</v>
      </c>
      <c r="L97">
        <f>'Vendor Entry Sheet'!H99</f>
        <v>0</v>
      </c>
      <c r="M97" s="41" t="s">
        <v>41</v>
      </c>
    </row>
    <row r="98" spans="1:13" x14ac:dyDescent="0.35">
      <c r="A98" s="37">
        <f>'Vendor Entry Sheet'!A100</f>
        <v>0</v>
      </c>
      <c r="B98" s="38" t="str">
        <f>'Vendor Entry Sheet'!C100</f>
        <v/>
      </c>
      <c r="C98" t="str">
        <f>'Vendor Entry Sheet'!I100</f>
        <v/>
      </c>
      <c r="D98" s="39" t="str">
        <f>'Vendor Entry Sheet'!J100</f>
        <v/>
      </c>
      <c r="E98" t="str">
        <f>'Vendor Entry Sheet'!D100</f>
        <v/>
      </c>
      <c r="F98">
        <f>'Vendor Entry Sheet'!E100</f>
        <v>0</v>
      </c>
      <c r="H98" s="40">
        <f>'Vendor Entry Sheet'!F100</f>
        <v>0</v>
      </c>
      <c r="I98">
        <f>'Vendor Entry Sheet'!G100</f>
        <v>0</v>
      </c>
      <c r="K98" s="41">
        <v>1005</v>
      </c>
      <c r="L98">
        <f>'Vendor Entry Sheet'!H100</f>
        <v>0</v>
      </c>
      <c r="M98" s="41" t="s">
        <v>41</v>
      </c>
    </row>
    <row r="99" spans="1:13" x14ac:dyDescent="0.35">
      <c r="A99" s="37">
        <f>'Vendor Entry Sheet'!A101</f>
        <v>0</v>
      </c>
      <c r="B99" s="38" t="str">
        <f>'Vendor Entry Sheet'!C101</f>
        <v/>
      </c>
      <c r="C99" t="str">
        <f>'Vendor Entry Sheet'!I101</f>
        <v/>
      </c>
      <c r="D99" s="39" t="str">
        <f>'Vendor Entry Sheet'!J101</f>
        <v/>
      </c>
      <c r="E99" t="str">
        <f>'Vendor Entry Sheet'!D101</f>
        <v/>
      </c>
      <c r="F99">
        <f>'Vendor Entry Sheet'!E101</f>
        <v>0</v>
      </c>
      <c r="H99" s="40">
        <f>'Vendor Entry Sheet'!F101</f>
        <v>0</v>
      </c>
      <c r="I99">
        <f>'Vendor Entry Sheet'!G101</f>
        <v>0</v>
      </c>
      <c r="K99" s="41">
        <v>1005</v>
      </c>
      <c r="L99">
        <f>'Vendor Entry Sheet'!H101</f>
        <v>0</v>
      </c>
      <c r="M99" s="41" t="s">
        <v>41</v>
      </c>
    </row>
    <row r="100" spans="1:13" x14ac:dyDescent="0.35">
      <c r="A100" s="37">
        <f>'Vendor Entry Sheet'!A102</f>
        <v>0</v>
      </c>
      <c r="B100" s="38" t="str">
        <f>'Vendor Entry Sheet'!C102</f>
        <v/>
      </c>
      <c r="C100" t="str">
        <f>'Vendor Entry Sheet'!I102</f>
        <v/>
      </c>
      <c r="D100" s="39" t="str">
        <f>'Vendor Entry Sheet'!J102</f>
        <v/>
      </c>
      <c r="E100" t="str">
        <f>'Vendor Entry Sheet'!D102</f>
        <v/>
      </c>
      <c r="F100">
        <f>'Vendor Entry Sheet'!E102</f>
        <v>0</v>
      </c>
      <c r="H100" s="40">
        <f>'Vendor Entry Sheet'!F102</f>
        <v>0</v>
      </c>
      <c r="I100">
        <f>'Vendor Entry Sheet'!G102</f>
        <v>0</v>
      </c>
      <c r="K100" s="41">
        <v>1005</v>
      </c>
      <c r="L100">
        <f>'Vendor Entry Sheet'!H102</f>
        <v>0</v>
      </c>
      <c r="M100" s="41" t="s">
        <v>41</v>
      </c>
    </row>
    <row r="101" spans="1:13" x14ac:dyDescent="0.35">
      <c r="A101" s="37">
        <f>'Vendor Entry Sheet'!A103</f>
        <v>0</v>
      </c>
      <c r="B101" s="38" t="str">
        <f>'Vendor Entry Sheet'!C103</f>
        <v/>
      </c>
      <c r="C101" t="str">
        <f>'Vendor Entry Sheet'!I103</f>
        <v/>
      </c>
      <c r="D101" s="39" t="str">
        <f>'Vendor Entry Sheet'!J103</f>
        <v/>
      </c>
      <c r="E101" t="str">
        <f>'Vendor Entry Sheet'!D103</f>
        <v/>
      </c>
      <c r="F101">
        <f>'Vendor Entry Sheet'!E103</f>
        <v>0</v>
      </c>
      <c r="H101" s="40">
        <f>'Vendor Entry Sheet'!F103</f>
        <v>0</v>
      </c>
      <c r="I101">
        <f>'Vendor Entry Sheet'!G103</f>
        <v>0</v>
      </c>
      <c r="K101" s="41">
        <v>1005</v>
      </c>
      <c r="L101">
        <f>'Vendor Entry Sheet'!H103</f>
        <v>0</v>
      </c>
      <c r="M101" s="41" t="s">
        <v>41</v>
      </c>
    </row>
    <row r="102" spans="1:13" x14ac:dyDescent="0.35">
      <c r="A102" s="37">
        <f>'Vendor Entry Sheet'!A104</f>
        <v>0</v>
      </c>
      <c r="B102" s="38" t="str">
        <f>'Vendor Entry Sheet'!C104</f>
        <v/>
      </c>
      <c r="C102" t="str">
        <f>'Vendor Entry Sheet'!I104</f>
        <v/>
      </c>
      <c r="D102" s="39" t="str">
        <f>'Vendor Entry Sheet'!J104</f>
        <v/>
      </c>
      <c r="E102" t="str">
        <f>'Vendor Entry Sheet'!D104</f>
        <v/>
      </c>
      <c r="F102">
        <f>'Vendor Entry Sheet'!E104</f>
        <v>0</v>
      </c>
      <c r="H102" s="40">
        <f>'Vendor Entry Sheet'!F104</f>
        <v>0</v>
      </c>
      <c r="I102">
        <f>'Vendor Entry Sheet'!G104</f>
        <v>0</v>
      </c>
      <c r="K102" s="41">
        <v>1005</v>
      </c>
      <c r="L102">
        <f>'Vendor Entry Sheet'!H104</f>
        <v>0</v>
      </c>
      <c r="M102" s="41" t="s">
        <v>41</v>
      </c>
    </row>
    <row r="103" spans="1:13" x14ac:dyDescent="0.35">
      <c r="A103" s="37">
        <f>'Vendor Entry Sheet'!A105</f>
        <v>0</v>
      </c>
      <c r="B103" s="38" t="str">
        <f>'Vendor Entry Sheet'!C105</f>
        <v/>
      </c>
      <c r="C103" t="str">
        <f>'Vendor Entry Sheet'!I105</f>
        <v/>
      </c>
      <c r="D103" s="39" t="str">
        <f>'Vendor Entry Sheet'!J105</f>
        <v/>
      </c>
      <c r="E103" t="str">
        <f>'Vendor Entry Sheet'!D105</f>
        <v/>
      </c>
      <c r="F103">
        <f>'Vendor Entry Sheet'!E105</f>
        <v>0</v>
      </c>
      <c r="H103" s="40">
        <f>'Vendor Entry Sheet'!F105</f>
        <v>0</v>
      </c>
      <c r="I103">
        <f>'Vendor Entry Sheet'!G105</f>
        <v>0</v>
      </c>
      <c r="K103" s="41">
        <v>1005</v>
      </c>
      <c r="L103">
        <f>'Vendor Entry Sheet'!H105</f>
        <v>0</v>
      </c>
      <c r="M103" s="41" t="s">
        <v>41</v>
      </c>
    </row>
    <row r="104" spans="1:13" x14ac:dyDescent="0.35">
      <c r="A104" s="37">
        <f>'Vendor Entry Sheet'!A106</f>
        <v>0</v>
      </c>
      <c r="B104" s="38" t="str">
        <f>'Vendor Entry Sheet'!C106</f>
        <v/>
      </c>
      <c r="C104" t="str">
        <f>'Vendor Entry Sheet'!I106</f>
        <v/>
      </c>
      <c r="D104" s="39" t="str">
        <f>'Vendor Entry Sheet'!J106</f>
        <v/>
      </c>
      <c r="E104" t="str">
        <f>'Vendor Entry Sheet'!D106</f>
        <v/>
      </c>
      <c r="F104">
        <f>'Vendor Entry Sheet'!E106</f>
        <v>0</v>
      </c>
      <c r="H104" s="40">
        <f>'Vendor Entry Sheet'!F106</f>
        <v>0</v>
      </c>
      <c r="I104">
        <f>'Vendor Entry Sheet'!G106</f>
        <v>0</v>
      </c>
      <c r="K104" s="41">
        <v>1005</v>
      </c>
      <c r="L104">
        <f>'Vendor Entry Sheet'!H106</f>
        <v>0</v>
      </c>
      <c r="M104" s="41" t="s">
        <v>41</v>
      </c>
    </row>
    <row r="105" spans="1:13" x14ac:dyDescent="0.35">
      <c r="A105" s="37">
        <f>'Vendor Entry Sheet'!A107</f>
        <v>0</v>
      </c>
      <c r="B105" s="38" t="str">
        <f>'Vendor Entry Sheet'!C107</f>
        <v/>
      </c>
      <c r="C105" t="str">
        <f>'Vendor Entry Sheet'!I107</f>
        <v/>
      </c>
      <c r="D105" s="39" t="str">
        <f>'Vendor Entry Sheet'!J107</f>
        <v/>
      </c>
      <c r="E105" t="str">
        <f>'Vendor Entry Sheet'!D107</f>
        <v/>
      </c>
      <c r="F105">
        <f>'Vendor Entry Sheet'!E107</f>
        <v>0</v>
      </c>
      <c r="H105" s="40">
        <f>'Vendor Entry Sheet'!F107</f>
        <v>0</v>
      </c>
      <c r="I105">
        <f>'Vendor Entry Sheet'!G107</f>
        <v>0</v>
      </c>
      <c r="K105" s="41">
        <v>1005</v>
      </c>
      <c r="L105">
        <f>'Vendor Entry Sheet'!H107</f>
        <v>0</v>
      </c>
      <c r="M105" s="41" t="s">
        <v>41</v>
      </c>
    </row>
    <row r="106" spans="1:13" x14ac:dyDescent="0.35">
      <c r="A106" s="37">
        <f>'Vendor Entry Sheet'!A108</f>
        <v>0</v>
      </c>
      <c r="B106" s="38" t="str">
        <f>'Vendor Entry Sheet'!C108</f>
        <v/>
      </c>
      <c r="C106" t="str">
        <f>'Vendor Entry Sheet'!I108</f>
        <v/>
      </c>
      <c r="D106" s="39" t="str">
        <f>'Vendor Entry Sheet'!J108</f>
        <v/>
      </c>
      <c r="E106" t="str">
        <f>'Vendor Entry Sheet'!D108</f>
        <v/>
      </c>
      <c r="F106">
        <f>'Vendor Entry Sheet'!E108</f>
        <v>0</v>
      </c>
      <c r="H106" s="40">
        <f>'Vendor Entry Sheet'!F108</f>
        <v>0</v>
      </c>
      <c r="I106">
        <f>'Vendor Entry Sheet'!G108</f>
        <v>0</v>
      </c>
      <c r="K106" s="41">
        <v>1005</v>
      </c>
      <c r="L106">
        <f>'Vendor Entry Sheet'!H108</f>
        <v>0</v>
      </c>
      <c r="M106" s="41" t="s">
        <v>41</v>
      </c>
    </row>
    <row r="107" spans="1:13" x14ac:dyDescent="0.35">
      <c r="A107" s="37">
        <f>'Vendor Entry Sheet'!A109</f>
        <v>0</v>
      </c>
      <c r="B107" s="38" t="str">
        <f>'Vendor Entry Sheet'!C109</f>
        <v/>
      </c>
      <c r="C107" t="str">
        <f>'Vendor Entry Sheet'!I109</f>
        <v/>
      </c>
      <c r="D107" s="39" t="str">
        <f>'Vendor Entry Sheet'!J109</f>
        <v/>
      </c>
      <c r="E107" t="str">
        <f>'Vendor Entry Sheet'!D109</f>
        <v/>
      </c>
      <c r="F107">
        <f>'Vendor Entry Sheet'!E109</f>
        <v>0</v>
      </c>
      <c r="H107" s="40">
        <f>'Vendor Entry Sheet'!F109</f>
        <v>0</v>
      </c>
      <c r="I107">
        <f>'Vendor Entry Sheet'!G109</f>
        <v>0</v>
      </c>
      <c r="K107" s="41">
        <v>1005</v>
      </c>
      <c r="L107">
        <f>'Vendor Entry Sheet'!H109</f>
        <v>0</v>
      </c>
      <c r="M107" s="41" t="s">
        <v>41</v>
      </c>
    </row>
    <row r="108" spans="1:13" x14ac:dyDescent="0.35">
      <c r="A108" s="37">
        <f>'Vendor Entry Sheet'!A110</f>
        <v>0</v>
      </c>
      <c r="B108" s="38" t="str">
        <f>'Vendor Entry Sheet'!C110</f>
        <v/>
      </c>
      <c r="C108" t="str">
        <f>'Vendor Entry Sheet'!I110</f>
        <v/>
      </c>
      <c r="D108" s="39" t="str">
        <f>'Vendor Entry Sheet'!J110</f>
        <v/>
      </c>
      <c r="E108" t="str">
        <f>'Vendor Entry Sheet'!D110</f>
        <v/>
      </c>
      <c r="F108">
        <f>'Vendor Entry Sheet'!E110</f>
        <v>0</v>
      </c>
      <c r="H108" s="40">
        <f>'Vendor Entry Sheet'!F110</f>
        <v>0</v>
      </c>
      <c r="I108">
        <f>'Vendor Entry Sheet'!G110</f>
        <v>0</v>
      </c>
      <c r="K108" s="41">
        <v>1005</v>
      </c>
      <c r="L108">
        <f>'Vendor Entry Sheet'!H110</f>
        <v>0</v>
      </c>
      <c r="M108" s="41" t="s">
        <v>41</v>
      </c>
    </row>
    <row r="109" spans="1:13" x14ac:dyDescent="0.35">
      <c r="A109" s="37">
        <f>'Vendor Entry Sheet'!A111</f>
        <v>0</v>
      </c>
      <c r="B109" s="38" t="str">
        <f>'Vendor Entry Sheet'!C111</f>
        <v/>
      </c>
      <c r="C109" t="str">
        <f>'Vendor Entry Sheet'!I111</f>
        <v/>
      </c>
      <c r="D109" s="39" t="str">
        <f>'Vendor Entry Sheet'!J111</f>
        <v/>
      </c>
      <c r="E109" t="str">
        <f>'Vendor Entry Sheet'!D111</f>
        <v/>
      </c>
      <c r="F109">
        <f>'Vendor Entry Sheet'!E111</f>
        <v>0</v>
      </c>
      <c r="H109" s="40">
        <f>'Vendor Entry Sheet'!F111</f>
        <v>0</v>
      </c>
      <c r="I109">
        <f>'Vendor Entry Sheet'!G111</f>
        <v>0</v>
      </c>
      <c r="K109" s="41">
        <v>1005</v>
      </c>
      <c r="L109">
        <f>'Vendor Entry Sheet'!H111</f>
        <v>0</v>
      </c>
      <c r="M109" s="41" t="s">
        <v>41</v>
      </c>
    </row>
    <row r="110" spans="1:13" x14ac:dyDescent="0.35">
      <c r="A110" s="37">
        <f>'Vendor Entry Sheet'!A112</f>
        <v>0</v>
      </c>
      <c r="B110" s="38" t="str">
        <f>'Vendor Entry Sheet'!C112</f>
        <v/>
      </c>
      <c r="C110" t="str">
        <f>'Vendor Entry Sheet'!I112</f>
        <v/>
      </c>
      <c r="D110" s="39" t="str">
        <f>'Vendor Entry Sheet'!J112</f>
        <v/>
      </c>
      <c r="E110" t="str">
        <f>'Vendor Entry Sheet'!D112</f>
        <v/>
      </c>
      <c r="F110">
        <f>'Vendor Entry Sheet'!E112</f>
        <v>0</v>
      </c>
      <c r="H110" s="40">
        <f>'Vendor Entry Sheet'!F112</f>
        <v>0</v>
      </c>
      <c r="I110">
        <f>'Vendor Entry Sheet'!G112</f>
        <v>0</v>
      </c>
      <c r="K110" s="41">
        <v>1005</v>
      </c>
      <c r="L110">
        <f>'Vendor Entry Sheet'!H112</f>
        <v>0</v>
      </c>
      <c r="M110" s="41" t="s">
        <v>41</v>
      </c>
    </row>
    <row r="111" spans="1:13" x14ac:dyDescent="0.35">
      <c r="A111" s="37">
        <f>'Vendor Entry Sheet'!A113</f>
        <v>0</v>
      </c>
      <c r="B111" s="38" t="str">
        <f>'Vendor Entry Sheet'!C113</f>
        <v/>
      </c>
      <c r="C111" t="str">
        <f>'Vendor Entry Sheet'!I113</f>
        <v/>
      </c>
      <c r="D111" s="39" t="str">
        <f>'Vendor Entry Sheet'!J113</f>
        <v/>
      </c>
      <c r="E111" t="str">
        <f>'Vendor Entry Sheet'!D113</f>
        <v/>
      </c>
      <c r="F111">
        <f>'Vendor Entry Sheet'!E113</f>
        <v>0</v>
      </c>
      <c r="H111" s="40">
        <f>'Vendor Entry Sheet'!F113</f>
        <v>0</v>
      </c>
      <c r="I111">
        <f>'Vendor Entry Sheet'!G113</f>
        <v>0</v>
      </c>
      <c r="K111" s="41">
        <v>1005</v>
      </c>
      <c r="L111">
        <f>'Vendor Entry Sheet'!H113</f>
        <v>0</v>
      </c>
      <c r="M111" s="41" t="s">
        <v>41</v>
      </c>
    </row>
    <row r="112" spans="1:13" x14ac:dyDescent="0.35">
      <c r="A112" s="37">
        <f>'Vendor Entry Sheet'!A114</f>
        <v>0</v>
      </c>
      <c r="B112" s="38" t="str">
        <f>'Vendor Entry Sheet'!C114</f>
        <v/>
      </c>
      <c r="C112" t="str">
        <f>'Vendor Entry Sheet'!I114</f>
        <v/>
      </c>
      <c r="D112" s="39" t="str">
        <f>'Vendor Entry Sheet'!J114</f>
        <v/>
      </c>
      <c r="E112" t="str">
        <f>'Vendor Entry Sheet'!D114</f>
        <v/>
      </c>
      <c r="F112">
        <f>'Vendor Entry Sheet'!E114</f>
        <v>0</v>
      </c>
      <c r="H112" s="40">
        <f>'Vendor Entry Sheet'!F114</f>
        <v>0</v>
      </c>
      <c r="I112">
        <f>'Vendor Entry Sheet'!G114</f>
        <v>0</v>
      </c>
      <c r="K112" s="41">
        <v>1005</v>
      </c>
      <c r="L112">
        <f>'Vendor Entry Sheet'!H114</f>
        <v>0</v>
      </c>
      <c r="M112" s="41" t="s">
        <v>41</v>
      </c>
    </row>
    <row r="113" spans="1:13" x14ac:dyDescent="0.35">
      <c r="A113" s="37">
        <f>'Vendor Entry Sheet'!A115</f>
        <v>0</v>
      </c>
      <c r="B113" s="38" t="str">
        <f>'Vendor Entry Sheet'!C115</f>
        <v/>
      </c>
      <c r="C113" t="str">
        <f>'Vendor Entry Sheet'!I115</f>
        <v/>
      </c>
      <c r="D113" s="39" t="str">
        <f>'Vendor Entry Sheet'!J115</f>
        <v/>
      </c>
      <c r="E113" t="str">
        <f>'Vendor Entry Sheet'!D115</f>
        <v/>
      </c>
      <c r="F113">
        <f>'Vendor Entry Sheet'!E115</f>
        <v>0</v>
      </c>
      <c r="H113" s="40">
        <f>'Vendor Entry Sheet'!F115</f>
        <v>0</v>
      </c>
      <c r="I113">
        <f>'Vendor Entry Sheet'!G115</f>
        <v>0</v>
      </c>
      <c r="K113" s="41">
        <v>1005</v>
      </c>
      <c r="L113">
        <f>'Vendor Entry Sheet'!H115</f>
        <v>0</v>
      </c>
      <c r="M113" s="41" t="s">
        <v>41</v>
      </c>
    </row>
    <row r="114" spans="1:13" x14ac:dyDescent="0.35">
      <c r="A114" s="37">
        <f>'Vendor Entry Sheet'!A116</f>
        <v>0</v>
      </c>
      <c r="B114" s="38" t="str">
        <f>'Vendor Entry Sheet'!C116</f>
        <v/>
      </c>
      <c r="C114" t="str">
        <f>'Vendor Entry Sheet'!I116</f>
        <v/>
      </c>
      <c r="D114" s="39" t="str">
        <f>'Vendor Entry Sheet'!J116</f>
        <v/>
      </c>
      <c r="E114" t="str">
        <f>'Vendor Entry Sheet'!D116</f>
        <v/>
      </c>
      <c r="F114">
        <f>'Vendor Entry Sheet'!E116</f>
        <v>0</v>
      </c>
      <c r="H114" s="40">
        <f>'Vendor Entry Sheet'!F116</f>
        <v>0</v>
      </c>
      <c r="I114">
        <f>'Vendor Entry Sheet'!G116</f>
        <v>0</v>
      </c>
      <c r="K114" s="41">
        <v>1005</v>
      </c>
      <c r="L114">
        <f>'Vendor Entry Sheet'!H116</f>
        <v>0</v>
      </c>
      <c r="M114" s="41" t="s">
        <v>41</v>
      </c>
    </row>
    <row r="115" spans="1:13" x14ac:dyDescent="0.35">
      <c r="A115" s="37">
        <f>'Vendor Entry Sheet'!A117</f>
        <v>0</v>
      </c>
      <c r="B115" s="38" t="str">
        <f>'Vendor Entry Sheet'!C117</f>
        <v/>
      </c>
      <c r="C115" t="str">
        <f>'Vendor Entry Sheet'!I117</f>
        <v/>
      </c>
      <c r="D115" s="39" t="str">
        <f>'Vendor Entry Sheet'!J117</f>
        <v/>
      </c>
      <c r="E115" t="str">
        <f>'Vendor Entry Sheet'!D117</f>
        <v/>
      </c>
      <c r="F115">
        <f>'Vendor Entry Sheet'!E117</f>
        <v>0</v>
      </c>
      <c r="H115" s="40">
        <f>'Vendor Entry Sheet'!F117</f>
        <v>0</v>
      </c>
      <c r="I115">
        <f>'Vendor Entry Sheet'!G117</f>
        <v>0</v>
      </c>
      <c r="K115" s="41">
        <v>1005</v>
      </c>
      <c r="L115">
        <f>'Vendor Entry Sheet'!H117</f>
        <v>0</v>
      </c>
      <c r="M115" s="41" t="s">
        <v>41</v>
      </c>
    </row>
    <row r="116" spans="1:13" x14ac:dyDescent="0.35">
      <c r="A116" s="37">
        <f>'Vendor Entry Sheet'!A118</f>
        <v>0</v>
      </c>
      <c r="B116" s="38" t="str">
        <f>'Vendor Entry Sheet'!C118</f>
        <v/>
      </c>
      <c r="C116" t="str">
        <f>'Vendor Entry Sheet'!I118</f>
        <v/>
      </c>
      <c r="D116" s="39" t="str">
        <f>'Vendor Entry Sheet'!J118</f>
        <v/>
      </c>
      <c r="E116" t="str">
        <f>'Vendor Entry Sheet'!D118</f>
        <v/>
      </c>
      <c r="F116">
        <f>'Vendor Entry Sheet'!E118</f>
        <v>0</v>
      </c>
      <c r="H116" s="40">
        <f>'Vendor Entry Sheet'!F118</f>
        <v>0</v>
      </c>
      <c r="I116">
        <f>'Vendor Entry Sheet'!G118</f>
        <v>0</v>
      </c>
      <c r="K116" s="41">
        <v>1005</v>
      </c>
      <c r="L116">
        <f>'Vendor Entry Sheet'!H118</f>
        <v>0</v>
      </c>
      <c r="M116" s="41" t="s">
        <v>41</v>
      </c>
    </row>
    <row r="117" spans="1:13" x14ac:dyDescent="0.35">
      <c r="A117" s="37">
        <f>'Vendor Entry Sheet'!A119</f>
        <v>0</v>
      </c>
      <c r="B117" s="38" t="str">
        <f>'Vendor Entry Sheet'!C119</f>
        <v/>
      </c>
      <c r="C117" t="str">
        <f>'Vendor Entry Sheet'!I119</f>
        <v/>
      </c>
      <c r="D117" s="39" t="str">
        <f>'Vendor Entry Sheet'!J119</f>
        <v/>
      </c>
      <c r="E117" t="str">
        <f>'Vendor Entry Sheet'!D119</f>
        <v/>
      </c>
      <c r="F117">
        <f>'Vendor Entry Sheet'!E119</f>
        <v>0</v>
      </c>
      <c r="H117" s="40">
        <f>'Vendor Entry Sheet'!F119</f>
        <v>0</v>
      </c>
      <c r="I117">
        <f>'Vendor Entry Sheet'!G119</f>
        <v>0</v>
      </c>
      <c r="K117" s="41">
        <v>1005</v>
      </c>
      <c r="L117">
        <f>'Vendor Entry Sheet'!H119</f>
        <v>0</v>
      </c>
      <c r="M117" s="41" t="s">
        <v>41</v>
      </c>
    </row>
    <row r="118" spans="1:13" x14ac:dyDescent="0.35">
      <c r="A118" s="37">
        <f>'Vendor Entry Sheet'!A120</f>
        <v>0</v>
      </c>
      <c r="B118" s="38" t="str">
        <f>'Vendor Entry Sheet'!C120</f>
        <v/>
      </c>
      <c r="C118" t="str">
        <f>'Vendor Entry Sheet'!I120</f>
        <v/>
      </c>
      <c r="D118" s="39" t="str">
        <f>'Vendor Entry Sheet'!J120</f>
        <v/>
      </c>
      <c r="E118" t="str">
        <f>'Vendor Entry Sheet'!D120</f>
        <v/>
      </c>
      <c r="F118">
        <f>'Vendor Entry Sheet'!E120</f>
        <v>0</v>
      </c>
      <c r="H118" s="40">
        <f>'Vendor Entry Sheet'!F120</f>
        <v>0</v>
      </c>
      <c r="I118">
        <f>'Vendor Entry Sheet'!G120</f>
        <v>0</v>
      </c>
      <c r="K118" s="41">
        <v>1005</v>
      </c>
      <c r="L118">
        <f>'Vendor Entry Sheet'!H120</f>
        <v>0</v>
      </c>
      <c r="M118" s="41" t="s">
        <v>41</v>
      </c>
    </row>
    <row r="119" spans="1:13" x14ac:dyDescent="0.35">
      <c r="A119" s="37">
        <f>'Vendor Entry Sheet'!A121</f>
        <v>0</v>
      </c>
      <c r="B119" s="38" t="str">
        <f>'Vendor Entry Sheet'!C121</f>
        <v/>
      </c>
      <c r="C119" t="str">
        <f>'Vendor Entry Sheet'!I121</f>
        <v/>
      </c>
      <c r="D119" s="39" t="str">
        <f>'Vendor Entry Sheet'!J121</f>
        <v/>
      </c>
      <c r="E119" t="str">
        <f>'Vendor Entry Sheet'!D121</f>
        <v/>
      </c>
      <c r="F119">
        <f>'Vendor Entry Sheet'!E121</f>
        <v>0</v>
      </c>
      <c r="H119" s="40">
        <f>'Vendor Entry Sheet'!F121</f>
        <v>0</v>
      </c>
      <c r="I119">
        <f>'Vendor Entry Sheet'!G121</f>
        <v>0</v>
      </c>
      <c r="K119" s="41">
        <v>1005</v>
      </c>
      <c r="L119">
        <f>'Vendor Entry Sheet'!H121</f>
        <v>0</v>
      </c>
      <c r="M119" s="41" t="s">
        <v>41</v>
      </c>
    </row>
    <row r="120" spans="1:13" x14ac:dyDescent="0.35">
      <c r="A120" s="37">
        <f>'Vendor Entry Sheet'!A122</f>
        <v>0</v>
      </c>
      <c r="B120" s="38" t="str">
        <f>'Vendor Entry Sheet'!C122</f>
        <v/>
      </c>
      <c r="C120" t="str">
        <f>'Vendor Entry Sheet'!I122</f>
        <v/>
      </c>
      <c r="D120" s="39" t="str">
        <f>'Vendor Entry Sheet'!J122</f>
        <v/>
      </c>
      <c r="E120" t="str">
        <f>'Vendor Entry Sheet'!D122</f>
        <v/>
      </c>
      <c r="F120">
        <f>'Vendor Entry Sheet'!E122</f>
        <v>0</v>
      </c>
      <c r="H120" s="40">
        <f>'Vendor Entry Sheet'!F122</f>
        <v>0</v>
      </c>
      <c r="I120">
        <f>'Vendor Entry Sheet'!G122</f>
        <v>0</v>
      </c>
      <c r="K120" s="41">
        <v>1005</v>
      </c>
      <c r="L120">
        <f>'Vendor Entry Sheet'!H122</f>
        <v>0</v>
      </c>
      <c r="M120" s="41" t="s">
        <v>41</v>
      </c>
    </row>
    <row r="121" spans="1:13" x14ac:dyDescent="0.35">
      <c r="A121" s="37">
        <f>'Vendor Entry Sheet'!A123</f>
        <v>0</v>
      </c>
      <c r="B121" s="38" t="str">
        <f>'Vendor Entry Sheet'!C123</f>
        <v/>
      </c>
      <c r="C121" t="str">
        <f>'Vendor Entry Sheet'!I123</f>
        <v/>
      </c>
      <c r="D121" s="39" t="str">
        <f>'Vendor Entry Sheet'!J123</f>
        <v/>
      </c>
      <c r="E121" t="str">
        <f>'Vendor Entry Sheet'!D123</f>
        <v/>
      </c>
      <c r="F121">
        <f>'Vendor Entry Sheet'!E123</f>
        <v>0</v>
      </c>
      <c r="H121" s="40">
        <f>'Vendor Entry Sheet'!F123</f>
        <v>0</v>
      </c>
      <c r="I121">
        <f>'Vendor Entry Sheet'!G123</f>
        <v>0</v>
      </c>
      <c r="K121" s="41">
        <v>1005</v>
      </c>
      <c r="L121">
        <f>'Vendor Entry Sheet'!H123</f>
        <v>0</v>
      </c>
      <c r="M121" s="41" t="s">
        <v>41</v>
      </c>
    </row>
    <row r="122" spans="1:13" x14ac:dyDescent="0.35">
      <c r="A122" s="37">
        <f>'Vendor Entry Sheet'!A124</f>
        <v>0</v>
      </c>
      <c r="B122" s="38" t="str">
        <f>'Vendor Entry Sheet'!C124</f>
        <v/>
      </c>
      <c r="C122" t="str">
        <f>'Vendor Entry Sheet'!I124</f>
        <v/>
      </c>
      <c r="D122" s="39" t="str">
        <f>'Vendor Entry Sheet'!J124</f>
        <v/>
      </c>
      <c r="E122" t="str">
        <f>'Vendor Entry Sheet'!D124</f>
        <v/>
      </c>
      <c r="F122">
        <f>'Vendor Entry Sheet'!E124</f>
        <v>0</v>
      </c>
      <c r="H122" s="40">
        <f>'Vendor Entry Sheet'!F124</f>
        <v>0</v>
      </c>
      <c r="I122">
        <f>'Vendor Entry Sheet'!G124</f>
        <v>0</v>
      </c>
      <c r="K122" s="41">
        <v>1005</v>
      </c>
      <c r="L122">
        <f>'Vendor Entry Sheet'!H124</f>
        <v>0</v>
      </c>
      <c r="M122" s="41" t="s">
        <v>41</v>
      </c>
    </row>
    <row r="123" spans="1:13" x14ac:dyDescent="0.35">
      <c r="A123" s="37">
        <f>'Vendor Entry Sheet'!A125</f>
        <v>0</v>
      </c>
      <c r="B123" s="38" t="str">
        <f>'Vendor Entry Sheet'!C125</f>
        <v/>
      </c>
      <c r="C123" t="str">
        <f>'Vendor Entry Sheet'!I125</f>
        <v/>
      </c>
      <c r="D123" s="39" t="str">
        <f>'Vendor Entry Sheet'!J125</f>
        <v/>
      </c>
      <c r="E123" t="str">
        <f>'Vendor Entry Sheet'!D125</f>
        <v/>
      </c>
      <c r="F123">
        <f>'Vendor Entry Sheet'!E125</f>
        <v>0</v>
      </c>
      <c r="H123" s="40">
        <f>'Vendor Entry Sheet'!F125</f>
        <v>0</v>
      </c>
      <c r="I123">
        <f>'Vendor Entry Sheet'!G125</f>
        <v>0</v>
      </c>
      <c r="K123" s="41">
        <v>1005</v>
      </c>
      <c r="L123">
        <f>'Vendor Entry Sheet'!H125</f>
        <v>0</v>
      </c>
      <c r="M123" s="41" t="s">
        <v>41</v>
      </c>
    </row>
    <row r="124" spans="1:13" x14ac:dyDescent="0.35">
      <c r="A124" s="37">
        <f>'Vendor Entry Sheet'!A126</f>
        <v>0</v>
      </c>
      <c r="B124" s="38" t="str">
        <f>'Vendor Entry Sheet'!C126</f>
        <v/>
      </c>
      <c r="C124" t="str">
        <f>'Vendor Entry Sheet'!I126</f>
        <v/>
      </c>
      <c r="D124" s="39" t="str">
        <f>'Vendor Entry Sheet'!J126</f>
        <v/>
      </c>
      <c r="E124" t="str">
        <f>'Vendor Entry Sheet'!D126</f>
        <v/>
      </c>
      <c r="F124">
        <f>'Vendor Entry Sheet'!E126</f>
        <v>0</v>
      </c>
      <c r="H124" s="40">
        <f>'Vendor Entry Sheet'!F126</f>
        <v>0</v>
      </c>
      <c r="I124">
        <f>'Vendor Entry Sheet'!G126</f>
        <v>0</v>
      </c>
      <c r="K124" s="41">
        <v>1005</v>
      </c>
      <c r="L124">
        <f>'Vendor Entry Sheet'!H126</f>
        <v>0</v>
      </c>
      <c r="M124" s="41" t="s">
        <v>41</v>
      </c>
    </row>
    <row r="125" spans="1:13" x14ac:dyDescent="0.35">
      <c r="A125" s="37">
        <f>'Vendor Entry Sheet'!A127</f>
        <v>0</v>
      </c>
      <c r="B125" s="38" t="str">
        <f>'Vendor Entry Sheet'!C127</f>
        <v/>
      </c>
      <c r="C125" t="str">
        <f>'Vendor Entry Sheet'!I127</f>
        <v/>
      </c>
      <c r="D125" s="39" t="str">
        <f>'Vendor Entry Sheet'!J127</f>
        <v/>
      </c>
      <c r="E125" t="str">
        <f>'Vendor Entry Sheet'!D127</f>
        <v/>
      </c>
      <c r="F125">
        <f>'Vendor Entry Sheet'!E127</f>
        <v>0</v>
      </c>
      <c r="H125" s="40">
        <f>'Vendor Entry Sheet'!F127</f>
        <v>0</v>
      </c>
      <c r="I125">
        <f>'Vendor Entry Sheet'!G127</f>
        <v>0</v>
      </c>
      <c r="K125" s="41">
        <v>1005</v>
      </c>
      <c r="L125">
        <f>'Vendor Entry Sheet'!H127</f>
        <v>0</v>
      </c>
      <c r="M125" s="41" t="s">
        <v>41</v>
      </c>
    </row>
    <row r="126" spans="1:13" x14ac:dyDescent="0.35">
      <c r="A126" s="37">
        <f>'Vendor Entry Sheet'!A128</f>
        <v>0</v>
      </c>
      <c r="B126" s="38" t="str">
        <f>'Vendor Entry Sheet'!C128</f>
        <v/>
      </c>
      <c r="C126" t="str">
        <f>'Vendor Entry Sheet'!I128</f>
        <v/>
      </c>
      <c r="D126" s="39" t="str">
        <f>'Vendor Entry Sheet'!J128</f>
        <v/>
      </c>
      <c r="E126" t="str">
        <f>'Vendor Entry Sheet'!D128</f>
        <v/>
      </c>
      <c r="F126">
        <f>'Vendor Entry Sheet'!E128</f>
        <v>0</v>
      </c>
      <c r="H126" s="40">
        <f>'Vendor Entry Sheet'!F128</f>
        <v>0</v>
      </c>
      <c r="I126">
        <f>'Vendor Entry Sheet'!G128</f>
        <v>0</v>
      </c>
      <c r="K126" s="41">
        <v>1005</v>
      </c>
      <c r="L126">
        <f>'Vendor Entry Sheet'!H128</f>
        <v>0</v>
      </c>
      <c r="M126" s="41" t="s">
        <v>41</v>
      </c>
    </row>
    <row r="127" spans="1:13" x14ac:dyDescent="0.35">
      <c r="A127" s="37">
        <f>'Vendor Entry Sheet'!A129</f>
        <v>0</v>
      </c>
      <c r="B127" s="38" t="str">
        <f>'Vendor Entry Sheet'!C129</f>
        <v/>
      </c>
      <c r="C127" t="str">
        <f>'Vendor Entry Sheet'!I129</f>
        <v/>
      </c>
      <c r="D127" s="39" t="str">
        <f>'Vendor Entry Sheet'!J129</f>
        <v/>
      </c>
      <c r="E127" t="str">
        <f>'Vendor Entry Sheet'!D129</f>
        <v/>
      </c>
      <c r="F127">
        <f>'Vendor Entry Sheet'!E129</f>
        <v>0</v>
      </c>
      <c r="H127" s="40">
        <f>'Vendor Entry Sheet'!F129</f>
        <v>0</v>
      </c>
      <c r="I127">
        <f>'Vendor Entry Sheet'!G129</f>
        <v>0</v>
      </c>
      <c r="K127" s="41">
        <v>1005</v>
      </c>
      <c r="L127">
        <f>'Vendor Entry Sheet'!H129</f>
        <v>0</v>
      </c>
      <c r="M127" s="41" t="s">
        <v>41</v>
      </c>
    </row>
    <row r="128" spans="1:13" x14ac:dyDescent="0.35">
      <c r="A128" s="37">
        <f>'Vendor Entry Sheet'!A130</f>
        <v>0</v>
      </c>
      <c r="B128" s="38" t="str">
        <f>'Vendor Entry Sheet'!C130</f>
        <v/>
      </c>
      <c r="C128" t="str">
        <f>'Vendor Entry Sheet'!I130</f>
        <v/>
      </c>
      <c r="D128" s="39" t="str">
        <f>'Vendor Entry Sheet'!J130</f>
        <v/>
      </c>
      <c r="E128" t="str">
        <f>'Vendor Entry Sheet'!D130</f>
        <v/>
      </c>
      <c r="F128">
        <f>'Vendor Entry Sheet'!E130</f>
        <v>0</v>
      </c>
      <c r="H128" s="40">
        <f>'Vendor Entry Sheet'!F130</f>
        <v>0</v>
      </c>
      <c r="I128">
        <f>'Vendor Entry Sheet'!G130</f>
        <v>0</v>
      </c>
      <c r="K128" s="41">
        <v>1005</v>
      </c>
      <c r="L128">
        <f>'Vendor Entry Sheet'!H130</f>
        <v>0</v>
      </c>
      <c r="M128" s="41" t="s">
        <v>41</v>
      </c>
    </row>
    <row r="129" spans="1:13" x14ac:dyDescent="0.35">
      <c r="A129" s="37">
        <f>'Vendor Entry Sheet'!A131</f>
        <v>0</v>
      </c>
      <c r="B129" s="38" t="str">
        <f>'Vendor Entry Sheet'!C131</f>
        <v/>
      </c>
      <c r="C129" t="str">
        <f>'Vendor Entry Sheet'!I131</f>
        <v/>
      </c>
      <c r="D129" s="39" t="str">
        <f>'Vendor Entry Sheet'!J131</f>
        <v/>
      </c>
      <c r="E129" t="str">
        <f>'Vendor Entry Sheet'!D131</f>
        <v/>
      </c>
      <c r="F129">
        <f>'Vendor Entry Sheet'!E131</f>
        <v>0</v>
      </c>
      <c r="H129" s="40">
        <f>'Vendor Entry Sheet'!F131</f>
        <v>0</v>
      </c>
      <c r="I129">
        <f>'Vendor Entry Sheet'!G131</f>
        <v>0</v>
      </c>
      <c r="K129" s="41">
        <v>1005</v>
      </c>
      <c r="L129">
        <f>'Vendor Entry Sheet'!H131</f>
        <v>0</v>
      </c>
      <c r="M129" s="41" t="s">
        <v>41</v>
      </c>
    </row>
    <row r="130" spans="1:13" x14ac:dyDescent="0.35">
      <c r="A130" s="37">
        <f>'Vendor Entry Sheet'!A132</f>
        <v>0</v>
      </c>
      <c r="B130" s="38" t="str">
        <f>'Vendor Entry Sheet'!C132</f>
        <v/>
      </c>
      <c r="C130" t="str">
        <f>'Vendor Entry Sheet'!I132</f>
        <v/>
      </c>
      <c r="D130" s="39" t="str">
        <f>'Vendor Entry Sheet'!J132</f>
        <v/>
      </c>
      <c r="E130" t="str">
        <f>'Vendor Entry Sheet'!D132</f>
        <v/>
      </c>
      <c r="F130">
        <f>'Vendor Entry Sheet'!E132</f>
        <v>0</v>
      </c>
      <c r="H130" s="40">
        <f>'Vendor Entry Sheet'!F132</f>
        <v>0</v>
      </c>
      <c r="I130">
        <f>'Vendor Entry Sheet'!G132</f>
        <v>0</v>
      </c>
      <c r="K130" s="41">
        <v>1005</v>
      </c>
      <c r="L130">
        <f>'Vendor Entry Sheet'!H132</f>
        <v>0</v>
      </c>
      <c r="M130" s="41" t="s">
        <v>41</v>
      </c>
    </row>
    <row r="131" spans="1:13" x14ac:dyDescent="0.35">
      <c r="A131" s="37">
        <f>'Vendor Entry Sheet'!A133</f>
        <v>0</v>
      </c>
      <c r="B131" s="38" t="str">
        <f>'Vendor Entry Sheet'!C133</f>
        <v/>
      </c>
      <c r="C131" t="str">
        <f>'Vendor Entry Sheet'!I133</f>
        <v/>
      </c>
      <c r="D131" s="39" t="str">
        <f>'Vendor Entry Sheet'!J133</f>
        <v/>
      </c>
      <c r="E131" t="str">
        <f>'Vendor Entry Sheet'!D133</f>
        <v/>
      </c>
      <c r="F131">
        <f>'Vendor Entry Sheet'!E133</f>
        <v>0</v>
      </c>
      <c r="H131" s="40">
        <f>'Vendor Entry Sheet'!F133</f>
        <v>0</v>
      </c>
      <c r="I131">
        <f>'Vendor Entry Sheet'!G133</f>
        <v>0</v>
      </c>
      <c r="K131" s="41">
        <v>1005</v>
      </c>
      <c r="L131">
        <f>'Vendor Entry Sheet'!H133</f>
        <v>0</v>
      </c>
      <c r="M131" s="41" t="s">
        <v>41</v>
      </c>
    </row>
    <row r="132" spans="1:13" x14ac:dyDescent="0.35">
      <c r="A132" s="37">
        <f>'Vendor Entry Sheet'!A134</f>
        <v>0</v>
      </c>
      <c r="B132" s="38" t="str">
        <f>'Vendor Entry Sheet'!C134</f>
        <v/>
      </c>
      <c r="C132" t="str">
        <f>'Vendor Entry Sheet'!I134</f>
        <v/>
      </c>
      <c r="D132" s="39" t="str">
        <f>'Vendor Entry Sheet'!J134</f>
        <v/>
      </c>
      <c r="E132" t="str">
        <f>'Vendor Entry Sheet'!D134</f>
        <v/>
      </c>
      <c r="F132">
        <f>'Vendor Entry Sheet'!E134</f>
        <v>0</v>
      </c>
      <c r="H132" s="40">
        <f>'Vendor Entry Sheet'!F134</f>
        <v>0</v>
      </c>
      <c r="I132">
        <f>'Vendor Entry Sheet'!G134</f>
        <v>0</v>
      </c>
      <c r="K132" s="41">
        <v>1005</v>
      </c>
      <c r="L132">
        <f>'Vendor Entry Sheet'!H134</f>
        <v>0</v>
      </c>
      <c r="M132" s="41" t="s">
        <v>41</v>
      </c>
    </row>
    <row r="133" spans="1:13" x14ac:dyDescent="0.35">
      <c r="A133" s="37">
        <f>'Vendor Entry Sheet'!A135</f>
        <v>0</v>
      </c>
      <c r="B133" s="38" t="str">
        <f>'Vendor Entry Sheet'!C135</f>
        <v/>
      </c>
      <c r="C133" t="str">
        <f>'Vendor Entry Sheet'!I135</f>
        <v/>
      </c>
      <c r="D133" s="39" t="str">
        <f>'Vendor Entry Sheet'!J135</f>
        <v/>
      </c>
      <c r="E133" t="str">
        <f>'Vendor Entry Sheet'!D135</f>
        <v/>
      </c>
      <c r="F133">
        <f>'Vendor Entry Sheet'!E135</f>
        <v>0</v>
      </c>
      <c r="H133" s="40">
        <f>'Vendor Entry Sheet'!F135</f>
        <v>0</v>
      </c>
      <c r="I133">
        <f>'Vendor Entry Sheet'!G135</f>
        <v>0</v>
      </c>
      <c r="K133" s="41">
        <v>1005</v>
      </c>
      <c r="L133">
        <f>'Vendor Entry Sheet'!H135</f>
        <v>0</v>
      </c>
      <c r="M133" s="41" t="s">
        <v>41</v>
      </c>
    </row>
    <row r="134" spans="1:13" x14ac:dyDescent="0.35">
      <c r="A134" s="37">
        <f>'Vendor Entry Sheet'!A136</f>
        <v>0</v>
      </c>
      <c r="B134" s="38" t="str">
        <f>'Vendor Entry Sheet'!C136</f>
        <v/>
      </c>
      <c r="C134" t="str">
        <f>'Vendor Entry Sheet'!I136</f>
        <v/>
      </c>
      <c r="D134" s="39" t="str">
        <f>'Vendor Entry Sheet'!J136</f>
        <v/>
      </c>
      <c r="E134" t="str">
        <f>'Vendor Entry Sheet'!D136</f>
        <v/>
      </c>
      <c r="F134">
        <f>'Vendor Entry Sheet'!E136</f>
        <v>0</v>
      </c>
      <c r="H134" s="40">
        <f>'Vendor Entry Sheet'!F136</f>
        <v>0</v>
      </c>
      <c r="I134">
        <f>'Vendor Entry Sheet'!G136</f>
        <v>0</v>
      </c>
      <c r="K134" s="41">
        <v>1005</v>
      </c>
      <c r="L134">
        <f>'Vendor Entry Sheet'!H136</f>
        <v>0</v>
      </c>
      <c r="M134" s="41" t="s">
        <v>41</v>
      </c>
    </row>
    <row r="135" spans="1:13" x14ac:dyDescent="0.35">
      <c r="A135" s="37">
        <f>'Vendor Entry Sheet'!A137</f>
        <v>0</v>
      </c>
      <c r="B135" s="38">
        <f>'Vendor Entry Sheet'!C137</f>
        <v>0</v>
      </c>
      <c r="C135">
        <f>'Vendor Entry Sheet'!I137</f>
        <v>0</v>
      </c>
      <c r="D135" s="39">
        <f>'Vendor Entry Sheet'!J137</f>
        <v>0</v>
      </c>
      <c r="E135">
        <f>'Vendor Entry Sheet'!D137</f>
        <v>0</v>
      </c>
      <c r="F135">
        <f>'Vendor Entry Sheet'!E137</f>
        <v>0</v>
      </c>
      <c r="H135" s="40">
        <f>'Vendor Entry Sheet'!F137</f>
        <v>0</v>
      </c>
      <c r="I135">
        <f>'Vendor Entry Sheet'!G137</f>
        <v>0</v>
      </c>
      <c r="K135" s="41">
        <v>1005</v>
      </c>
      <c r="L135">
        <f>'Vendor Entry Sheet'!H137</f>
        <v>0</v>
      </c>
      <c r="M135" s="41" t="s">
        <v>41</v>
      </c>
    </row>
    <row r="136" spans="1:13" x14ac:dyDescent="0.35">
      <c r="A136" s="37">
        <f>'Vendor Entry Sheet'!A138</f>
        <v>0</v>
      </c>
      <c r="B136" s="38">
        <f>'Vendor Entry Sheet'!C138</f>
        <v>0</v>
      </c>
      <c r="C136">
        <f>'Vendor Entry Sheet'!I138</f>
        <v>0</v>
      </c>
      <c r="D136" s="39">
        <f>'Vendor Entry Sheet'!J138</f>
        <v>0</v>
      </c>
      <c r="E136">
        <f>'Vendor Entry Sheet'!D138</f>
        <v>0</v>
      </c>
      <c r="F136">
        <f>'Vendor Entry Sheet'!E138</f>
        <v>0</v>
      </c>
      <c r="H136" s="40">
        <f>'Vendor Entry Sheet'!F138</f>
        <v>0</v>
      </c>
      <c r="I136">
        <f>'Vendor Entry Sheet'!G138</f>
        <v>0</v>
      </c>
      <c r="K136" s="41">
        <v>1005</v>
      </c>
      <c r="L136">
        <f>'Vendor Entry Sheet'!H138</f>
        <v>0</v>
      </c>
      <c r="M136" s="41" t="s">
        <v>41</v>
      </c>
    </row>
    <row r="137" spans="1:13" x14ac:dyDescent="0.35">
      <c r="A137" s="37">
        <f>'Vendor Entry Sheet'!A139</f>
        <v>0</v>
      </c>
      <c r="B137" s="38">
        <f>'Vendor Entry Sheet'!C139</f>
        <v>0</v>
      </c>
      <c r="C137">
        <f>'Vendor Entry Sheet'!I139</f>
        <v>0</v>
      </c>
      <c r="D137" s="39">
        <f>'Vendor Entry Sheet'!J139</f>
        <v>0</v>
      </c>
      <c r="E137">
        <f>'Vendor Entry Sheet'!D139</f>
        <v>0</v>
      </c>
      <c r="F137">
        <f>'Vendor Entry Sheet'!E139</f>
        <v>0</v>
      </c>
      <c r="H137" s="40">
        <f>'Vendor Entry Sheet'!F139</f>
        <v>0</v>
      </c>
      <c r="I137">
        <f>'Vendor Entry Sheet'!G139</f>
        <v>0</v>
      </c>
      <c r="K137" s="41">
        <v>1005</v>
      </c>
      <c r="L137">
        <f>'Vendor Entry Sheet'!H139</f>
        <v>0</v>
      </c>
      <c r="M137" s="41" t="s">
        <v>41</v>
      </c>
    </row>
    <row r="138" spans="1:13" x14ac:dyDescent="0.35">
      <c r="A138" s="37">
        <f>'Vendor Entry Sheet'!A140</f>
        <v>0</v>
      </c>
      <c r="B138" s="38">
        <f>'Vendor Entry Sheet'!C140</f>
        <v>0</v>
      </c>
      <c r="C138">
        <f>'Vendor Entry Sheet'!I140</f>
        <v>0</v>
      </c>
      <c r="D138" s="39">
        <f>'Vendor Entry Sheet'!J140</f>
        <v>0</v>
      </c>
      <c r="E138">
        <f>'Vendor Entry Sheet'!D140</f>
        <v>0</v>
      </c>
      <c r="F138">
        <f>'Vendor Entry Sheet'!E140</f>
        <v>0</v>
      </c>
      <c r="H138" s="40">
        <f>'Vendor Entry Sheet'!F140</f>
        <v>0</v>
      </c>
      <c r="I138">
        <f>'Vendor Entry Sheet'!G140</f>
        <v>0</v>
      </c>
      <c r="K138" s="41">
        <v>1005</v>
      </c>
      <c r="L138">
        <f>'Vendor Entry Sheet'!H140</f>
        <v>0</v>
      </c>
      <c r="M138" s="41" t="s">
        <v>41</v>
      </c>
    </row>
    <row r="139" spans="1:13" x14ac:dyDescent="0.35">
      <c r="A139" s="37">
        <f>'Vendor Entry Sheet'!A141</f>
        <v>0</v>
      </c>
      <c r="B139" s="38">
        <f>'Vendor Entry Sheet'!C141</f>
        <v>0</v>
      </c>
      <c r="C139">
        <f>'Vendor Entry Sheet'!I141</f>
        <v>0</v>
      </c>
      <c r="D139" s="39">
        <f>'Vendor Entry Sheet'!J141</f>
        <v>0</v>
      </c>
      <c r="E139">
        <f>'Vendor Entry Sheet'!D141</f>
        <v>0</v>
      </c>
      <c r="F139">
        <f>'Vendor Entry Sheet'!E141</f>
        <v>0</v>
      </c>
      <c r="H139" s="40">
        <f>'Vendor Entry Sheet'!F141</f>
        <v>0</v>
      </c>
      <c r="I139">
        <f>'Vendor Entry Sheet'!G141</f>
        <v>0</v>
      </c>
      <c r="K139" s="41">
        <v>1005</v>
      </c>
      <c r="L139">
        <f>'Vendor Entry Sheet'!H141</f>
        <v>0</v>
      </c>
      <c r="M139" s="41" t="s">
        <v>41</v>
      </c>
    </row>
    <row r="140" spans="1:13" x14ac:dyDescent="0.35">
      <c r="A140" s="37">
        <f>'Vendor Entry Sheet'!A142</f>
        <v>0</v>
      </c>
      <c r="B140" s="38">
        <f>'Vendor Entry Sheet'!C142</f>
        <v>0</v>
      </c>
      <c r="C140">
        <f>'Vendor Entry Sheet'!I142</f>
        <v>0</v>
      </c>
      <c r="D140" s="39">
        <f>'Vendor Entry Sheet'!J142</f>
        <v>0</v>
      </c>
      <c r="E140">
        <f>'Vendor Entry Sheet'!D142</f>
        <v>0</v>
      </c>
      <c r="F140">
        <f>'Vendor Entry Sheet'!E142</f>
        <v>0</v>
      </c>
      <c r="H140" s="40">
        <f>'Vendor Entry Sheet'!F142</f>
        <v>0</v>
      </c>
      <c r="I140">
        <f>'Vendor Entry Sheet'!G142</f>
        <v>0</v>
      </c>
      <c r="K140" s="41">
        <v>1005</v>
      </c>
      <c r="L140">
        <f>'Vendor Entry Sheet'!H142</f>
        <v>0</v>
      </c>
      <c r="M140" s="41" t="s">
        <v>41</v>
      </c>
    </row>
    <row r="141" spans="1:13" x14ac:dyDescent="0.35">
      <c r="A141" s="37">
        <f>'Vendor Entry Sheet'!A143</f>
        <v>0</v>
      </c>
      <c r="B141" s="38">
        <f>'Vendor Entry Sheet'!C143</f>
        <v>0</v>
      </c>
      <c r="C141">
        <f>'Vendor Entry Sheet'!I143</f>
        <v>0</v>
      </c>
      <c r="D141" s="39">
        <f>'Vendor Entry Sheet'!J143</f>
        <v>0</v>
      </c>
      <c r="E141">
        <f>'Vendor Entry Sheet'!D143</f>
        <v>0</v>
      </c>
      <c r="F141">
        <f>'Vendor Entry Sheet'!E143</f>
        <v>0</v>
      </c>
      <c r="H141" s="40">
        <f>'Vendor Entry Sheet'!F143</f>
        <v>0</v>
      </c>
      <c r="I141">
        <f>'Vendor Entry Sheet'!G143</f>
        <v>0</v>
      </c>
      <c r="K141" s="41">
        <v>1005</v>
      </c>
      <c r="L141">
        <f>'Vendor Entry Sheet'!H143</f>
        <v>0</v>
      </c>
      <c r="M141" s="41" t="s">
        <v>41</v>
      </c>
    </row>
    <row r="142" spans="1:13" x14ac:dyDescent="0.35">
      <c r="A142" s="37">
        <f>'Vendor Entry Sheet'!A144</f>
        <v>0</v>
      </c>
      <c r="B142" s="38">
        <f>'Vendor Entry Sheet'!C144</f>
        <v>0</v>
      </c>
      <c r="C142">
        <f>'Vendor Entry Sheet'!I144</f>
        <v>0</v>
      </c>
      <c r="D142" s="39">
        <f>'Vendor Entry Sheet'!J144</f>
        <v>0</v>
      </c>
      <c r="E142">
        <f>'Vendor Entry Sheet'!D144</f>
        <v>0</v>
      </c>
      <c r="F142">
        <f>'Vendor Entry Sheet'!E144</f>
        <v>0</v>
      </c>
      <c r="H142" s="40">
        <f>'Vendor Entry Sheet'!F144</f>
        <v>0</v>
      </c>
      <c r="I142">
        <f>'Vendor Entry Sheet'!G144</f>
        <v>0</v>
      </c>
      <c r="K142" s="41">
        <v>1005</v>
      </c>
      <c r="L142">
        <f>'Vendor Entry Sheet'!H144</f>
        <v>0</v>
      </c>
      <c r="M142" s="41" t="s">
        <v>41</v>
      </c>
    </row>
    <row r="143" spans="1:13" x14ac:dyDescent="0.35">
      <c r="A143" s="37">
        <f>'Vendor Entry Sheet'!A145</f>
        <v>0</v>
      </c>
      <c r="B143" s="38">
        <f>'Vendor Entry Sheet'!C145</f>
        <v>0</v>
      </c>
      <c r="C143">
        <f>'Vendor Entry Sheet'!I145</f>
        <v>0</v>
      </c>
      <c r="D143" s="39">
        <f>'Vendor Entry Sheet'!J145</f>
        <v>0</v>
      </c>
      <c r="E143">
        <f>'Vendor Entry Sheet'!D145</f>
        <v>0</v>
      </c>
      <c r="F143">
        <f>'Vendor Entry Sheet'!E145</f>
        <v>0</v>
      </c>
      <c r="H143" s="40">
        <f>'Vendor Entry Sheet'!F145</f>
        <v>0</v>
      </c>
      <c r="I143">
        <f>'Vendor Entry Sheet'!G145</f>
        <v>0</v>
      </c>
      <c r="K143" s="41">
        <v>1005</v>
      </c>
      <c r="L143">
        <f>'Vendor Entry Sheet'!H145</f>
        <v>0</v>
      </c>
      <c r="M143" s="41" t="s">
        <v>41</v>
      </c>
    </row>
    <row r="144" spans="1:13" x14ac:dyDescent="0.35">
      <c r="A144" s="37">
        <f>'Vendor Entry Sheet'!A146</f>
        <v>0</v>
      </c>
      <c r="B144" s="38">
        <f>'Vendor Entry Sheet'!C146</f>
        <v>0</v>
      </c>
      <c r="C144">
        <f>'Vendor Entry Sheet'!I146</f>
        <v>0</v>
      </c>
      <c r="D144" s="39">
        <f>'Vendor Entry Sheet'!J146</f>
        <v>0</v>
      </c>
      <c r="E144">
        <f>'Vendor Entry Sheet'!D146</f>
        <v>0</v>
      </c>
      <c r="F144">
        <f>'Vendor Entry Sheet'!E146</f>
        <v>0</v>
      </c>
      <c r="H144" s="40">
        <f>'Vendor Entry Sheet'!F146</f>
        <v>0</v>
      </c>
      <c r="I144">
        <f>'Vendor Entry Sheet'!G146</f>
        <v>0</v>
      </c>
      <c r="K144" s="41">
        <v>1005</v>
      </c>
      <c r="L144">
        <f>'Vendor Entry Sheet'!H146</f>
        <v>0</v>
      </c>
      <c r="M144" s="41" t="s">
        <v>41</v>
      </c>
    </row>
    <row r="145" spans="1:13" x14ac:dyDescent="0.35">
      <c r="A145" s="37">
        <f>'Vendor Entry Sheet'!A147</f>
        <v>0</v>
      </c>
      <c r="B145" s="38">
        <f>'Vendor Entry Sheet'!C147</f>
        <v>0</v>
      </c>
      <c r="C145">
        <f>'Vendor Entry Sheet'!I147</f>
        <v>0</v>
      </c>
      <c r="D145" s="39">
        <f>'Vendor Entry Sheet'!J147</f>
        <v>0</v>
      </c>
      <c r="E145">
        <f>'Vendor Entry Sheet'!D147</f>
        <v>0</v>
      </c>
      <c r="F145">
        <f>'Vendor Entry Sheet'!E147</f>
        <v>0</v>
      </c>
      <c r="H145" s="40">
        <f>'Vendor Entry Sheet'!F147</f>
        <v>0</v>
      </c>
      <c r="I145">
        <f>'Vendor Entry Sheet'!G147</f>
        <v>0</v>
      </c>
      <c r="K145" s="41">
        <v>1005</v>
      </c>
      <c r="L145">
        <f>'Vendor Entry Sheet'!H147</f>
        <v>0</v>
      </c>
      <c r="M145" s="41" t="s">
        <v>41</v>
      </c>
    </row>
    <row r="146" spans="1:13" x14ac:dyDescent="0.35">
      <c r="A146" s="37">
        <f>'Vendor Entry Sheet'!A148</f>
        <v>0</v>
      </c>
      <c r="B146" s="38">
        <f>'Vendor Entry Sheet'!C148</f>
        <v>0</v>
      </c>
      <c r="C146">
        <f>'Vendor Entry Sheet'!I148</f>
        <v>0</v>
      </c>
      <c r="D146" s="39">
        <f>'Vendor Entry Sheet'!J148</f>
        <v>0</v>
      </c>
      <c r="E146">
        <f>'Vendor Entry Sheet'!D148</f>
        <v>0</v>
      </c>
      <c r="F146">
        <f>'Vendor Entry Sheet'!E148</f>
        <v>0</v>
      </c>
      <c r="H146" s="40">
        <f>'Vendor Entry Sheet'!F148</f>
        <v>0</v>
      </c>
      <c r="I146">
        <f>'Vendor Entry Sheet'!G148</f>
        <v>0</v>
      </c>
      <c r="K146" s="41">
        <v>1005</v>
      </c>
      <c r="L146">
        <f>'Vendor Entry Sheet'!H148</f>
        <v>0</v>
      </c>
      <c r="M146" s="41" t="s">
        <v>41</v>
      </c>
    </row>
    <row r="147" spans="1:13" x14ac:dyDescent="0.35">
      <c r="A147" s="37">
        <f>'Vendor Entry Sheet'!A149</f>
        <v>0</v>
      </c>
      <c r="B147" s="38">
        <f>'Vendor Entry Sheet'!C149</f>
        <v>0</v>
      </c>
      <c r="C147">
        <f>'Vendor Entry Sheet'!I149</f>
        <v>0</v>
      </c>
      <c r="D147" s="39">
        <f>'Vendor Entry Sheet'!J149</f>
        <v>0</v>
      </c>
      <c r="E147">
        <f>'Vendor Entry Sheet'!D149</f>
        <v>0</v>
      </c>
      <c r="F147">
        <f>'Vendor Entry Sheet'!E149</f>
        <v>0</v>
      </c>
      <c r="H147" s="40">
        <f>'Vendor Entry Sheet'!F149</f>
        <v>0</v>
      </c>
      <c r="I147">
        <f>'Vendor Entry Sheet'!G149</f>
        <v>0</v>
      </c>
      <c r="K147" s="41">
        <v>1005</v>
      </c>
      <c r="L147">
        <f>'Vendor Entry Sheet'!H149</f>
        <v>0</v>
      </c>
      <c r="M147" s="41" t="s">
        <v>41</v>
      </c>
    </row>
    <row r="148" spans="1:13" x14ac:dyDescent="0.35">
      <c r="A148" s="37">
        <f>'Vendor Entry Sheet'!A150</f>
        <v>0</v>
      </c>
      <c r="B148" s="38">
        <f>'Vendor Entry Sheet'!C150</f>
        <v>0</v>
      </c>
      <c r="C148">
        <f>'Vendor Entry Sheet'!I150</f>
        <v>0</v>
      </c>
      <c r="D148" s="39">
        <f>'Vendor Entry Sheet'!J150</f>
        <v>0</v>
      </c>
      <c r="E148">
        <f>'Vendor Entry Sheet'!D150</f>
        <v>0</v>
      </c>
      <c r="F148">
        <f>'Vendor Entry Sheet'!E150</f>
        <v>0</v>
      </c>
      <c r="H148" s="40">
        <f>'Vendor Entry Sheet'!F150</f>
        <v>0</v>
      </c>
      <c r="I148">
        <f>'Vendor Entry Sheet'!G150</f>
        <v>0</v>
      </c>
      <c r="K148" s="41">
        <v>1005</v>
      </c>
      <c r="L148">
        <f>'Vendor Entry Sheet'!H150</f>
        <v>0</v>
      </c>
      <c r="M148" s="41" t="s">
        <v>41</v>
      </c>
    </row>
    <row r="149" spans="1:13" x14ac:dyDescent="0.35">
      <c r="A149" s="37">
        <f>'Vendor Entry Sheet'!A151</f>
        <v>0</v>
      </c>
      <c r="B149" s="38">
        <f>'Vendor Entry Sheet'!C151</f>
        <v>0</v>
      </c>
      <c r="C149">
        <f>'Vendor Entry Sheet'!I151</f>
        <v>0</v>
      </c>
      <c r="D149" s="39">
        <f>'Vendor Entry Sheet'!J151</f>
        <v>0</v>
      </c>
      <c r="E149">
        <f>'Vendor Entry Sheet'!D151</f>
        <v>0</v>
      </c>
      <c r="F149">
        <f>'Vendor Entry Sheet'!E151</f>
        <v>0</v>
      </c>
      <c r="H149" s="40">
        <f>'Vendor Entry Sheet'!F151</f>
        <v>0</v>
      </c>
      <c r="I149">
        <f>'Vendor Entry Sheet'!G151</f>
        <v>0</v>
      </c>
      <c r="K149" s="41">
        <v>1005</v>
      </c>
      <c r="L149">
        <f>'Vendor Entry Sheet'!H151</f>
        <v>0</v>
      </c>
      <c r="M149" s="41" t="s">
        <v>41</v>
      </c>
    </row>
    <row r="150" spans="1:13" x14ac:dyDescent="0.35">
      <c r="A150" s="37">
        <f>'Vendor Entry Sheet'!A152</f>
        <v>0</v>
      </c>
      <c r="B150" s="38">
        <f>'Vendor Entry Sheet'!C152</f>
        <v>0</v>
      </c>
      <c r="C150">
        <f>'Vendor Entry Sheet'!I152</f>
        <v>0</v>
      </c>
      <c r="D150" s="39">
        <f>'Vendor Entry Sheet'!J152</f>
        <v>0</v>
      </c>
      <c r="E150">
        <f>'Vendor Entry Sheet'!D152</f>
        <v>0</v>
      </c>
      <c r="F150">
        <f>'Vendor Entry Sheet'!E152</f>
        <v>0</v>
      </c>
      <c r="H150" s="40">
        <f>'Vendor Entry Sheet'!F152</f>
        <v>0</v>
      </c>
      <c r="I150">
        <f>'Vendor Entry Sheet'!G152</f>
        <v>0</v>
      </c>
      <c r="K150" s="41">
        <v>1005</v>
      </c>
      <c r="L150">
        <f>'Vendor Entry Sheet'!H152</f>
        <v>0</v>
      </c>
      <c r="M150" s="41" t="s">
        <v>41</v>
      </c>
    </row>
    <row r="151" spans="1:13" x14ac:dyDescent="0.35">
      <c r="A151" s="37">
        <f>'Vendor Entry Sheet'!A153</f>
        <v>0</v>
      </c>
      <c r="B151" s="38">
        <f>'Vendor Entry Sheet'!C153</f>
        <v>0</v>
      </c>
      <c r="C151">
        <f>'Vendor Entry Sheet'!I153</f>
        <v>0</v>
      </c>
      <c r="D151" s="39">
        <f>'Vendor Entry Sheet'!J153</f>
        <v>0</v>
      </c>
      <c r="E151">
        <f>'Vendor Entry Sheet'!D153</f>
        <v>0</v>
      </c>
      <c r="F151">
        <f>'Vendor Entry Sheet'!E153</f>
        <v>0</v>
      </c>
      <c r="H151" s="40">
        <f>'Vendor Entry Sheet'!F153</f>
        <v>0</v>
      </c>
      <c r="I151">
        <f>'Vendor Entry Sheet'!G153</f>
        <v>0</v>
      </c>
      <c r="K151" s="41">
        <v>1005</v>
      </c>
      <c r="L151">
        <f>'Vendor Entry Sheet'!H153</f>
        <v>0</v>
      </c>
      <c r="M151" s="41" t="s">
        <v>41</v>
      </c>
    </row>
    <row r="152" spans="1:13" x14ac:dyDescent="0.35">
      <c r="A152" s="37">
        <f>'Vendor Entry Sheet'!A154</f>
        <v>0</v>
      </c>
      <c r="B152" s="38">
        <f>'Vendor Entry Sheet'!C154</f>
        <v>0</v>
      </c>
      <c r="C152">
        <f>'Vendor Entry Sheet'!I154</f>
        <v>0</v>
      </c>
      <c r="D152" s="39">
        <f>'Vendor Entry Sheet'!J154</f>
        <v>0</v>
      </c>
      <c r="E152">
        <f>'Vendor Entry Sheet'!D154</f>
        <v>0</v>
      </c>
      <c r="F152">
        <f>'Vendor Entry Sheet'!E154</f>
        <v>0</v>
      </c>
      <c r="H152" s="40">
        <f>'Vendor Entry Sheet'!F154</f>
        <v>0</v>
      </c>
      <c r="I152">
        <f>'Vendor Entry Sheet'!G154</f>
        <v>0</v>
      </c>
      <c r="K152" s="41">
        <v>1005</v>
      </c>
      <c r="L152">
        <f>'Vendor Entry Sheet'!H154</f>
        <v>0</v>
      </c>
      <c r="M152" s="41" t="s">
        <v>41</v>
      </c>
    </row>
    <row r="153" spans="1:13" x14ac:dyDescent="0.35">
      <c r="A153" s="37">
        <f>'Vendor Entry Sheet'!A155</f>
        <v>0</v>
      </c>
      <c r="B153" s="38">
        <f>'Vendor Entry Sheet'!C155</f>
        <v>0</v>
      </c>
      <c r="C153">
        <f>'Vendor Entry Sheet'!I155</f>
        <v>0</v>
      </c>
      <c r="D153" s="39">
        <f>'Vendor Entry Sheet'!J155</f>
        <v>0</v>
      </c>
      <c r="E153">
        <f>'Vendor Entry Sheet'!D155</f>
        <v>0</v>
      </c>
      <c r="F153">
        <f>'Vendor Entry Sheet'!E155</f>
        <v>0</v>
      </c>
      <c r="H153" s="40">
        <f>'Vendor Entry Sheet'!F155</f>
        <v>0</v>
      </c>
      <c r="I153">
        <f>'Vendor Entry Sheet'!G155</f>
        <v>0</v>
      </c>
      <c r="K153" s="41">
        <v>1005</v>
      </c>
      <c r="L153">
        <f>'Vendor Entry Sheet'!H155</f>
        <v>0</v>
      </c>
      <c r="M153" s="41" t="s">
        <v>41</v>
      </c>
    </row>
    <row r="154" spans="1:13" x14ac:dyDescent="0.35">
      <c r="A154" s="37">
        <f>'Vendor Entry Sheet'!A156</f>
        <v>0</v>
      </c>
      <c r="B154" s="38">
        <f>'Vendor Entry Sheet'!C156</f>
        <v>0</v>
      </c>
      <c r="C154">
        <f>'Vendor Entry Sheet'!I156</f>
        <v>0</v>
      </c>
      <c r="D154" s="39">
        <f>'Vendor Entry Sheet'!J156</f>
        <v>0</v>
      </c>
      <c r="E154">
        <f>'Vendor Entry Sheet'!D156</f>
        <v>0</v>
      </c>
      <c r="F154">
        <f>'Vendor Entry Sheet'!E156</f>
        <v>0</v>
      </c>
      <c r="H154" s="40">
        <f>'Vendor Entry Sheet'!F156</f>
        <v>0</v>
      </c>
      <c r="I154">
        <f>'Vendor Entry Sheet'!G156</f>
        <v>0</v>
      </c>
      <c r="K154" s="41">
        <v>1005</v>
      </c>
      <c r="L154">
        <f>'Vendor Entry Sheet'!H156</f>
        <v>0</v>
      </c>
      <c r="M154" s="41" t="s">
        <v>41</v>
      </c>
    </row>
    <row r="155" spans="1:13" x14ac:dyDescent="0.35">
      <c r="A155" s="37">
        <f>'Vendor Entry Sheet'!A157</f>
        <v>0</v>
      </c>
      <c r="B155" s="38">
        <f>'Vendor Entry Sheet'!C157</f>
        <v>0</v>
      </c>
      <c r="C155">
        <f>'Vendor Entry Sheet'!I157</f>
        <v>0</v>
      </c>
      <c r="D155" s="39">
        <f>'Vendor Entry Sheet'!J157</f>
        <v>0</v>
      </c>
      <c r="E155">
        <f>'Vendor Entry Sheet'!D157</f>
        <v>0</v>
      </c>
      <c r="F155">
        <f>'Vendor Entry Sheet'!E157</f>
        <v>0</v>
      </c>
      <c r="H155" s="40">
        <f>'Vendor Entry Sheet'!F157</f>
        <v>0</v>
      </c>
      <c r="I155">
        <f>'Vendor Entry Sheet'!G157</f>
        <v>0</v>
      </c>
      <c r="K155" s="41">
        <v>1005</v>
      </c>
      <c r="L155">
        <f>'Vendor Entry Sheet'!H157</f>
        <v>0</v>
      </c>
      <c r="M155" s="41" t="s">
        <v>41</v>
      </c>
    </row>
    <row r="156" spans="1:13" x14ac:dyDescent="0.35">
      <c r="A156" s="37">
        <f>'Vendor Entry Sheet'!A158</f>
        <v>0</v>
      </c>
      <c r="B156" s="38">
        <f>'Vendor Entry Sheet'!C158</f>
        <v>0</v>
      </c>
      <c r="C156">
        <f>'Vendor Entry Sheet'!I158</f>
        <v>0</v>
      </c>
      <c r="D156" s="39">
        <f>'Vendor Entry Sheet'!J158</f>
        <v>0</v>
      </c>
      <c r="E156">
        <f>'Vendor Entry Sheet'!D158</f>
        <v>0</v>
      </c>
      <c r="F156">
        <f>'Vendor Entry Sheet'!E158</f>
        <v>0</v>
      </c>
      <c r="H156" s="40">
        <f>'Vendor Entry Sheet'!F158</f>
        <v>0</v>
      </c>
      <c r="I156">
        <f>'Vendor Entry Sheet'!G158</f>
        <v>0</v>
      </c>
      <c r="K156" s="41">
        <v>1005</v>
      </c>
      <c r="L156">
        <f>'Vendor Entry Sheet'!H158</f>
        <v>0</v>
      </c>
      <c r="M156" s="41" t="s">
        <v>41</v>
      </c>
    </row>
    <row r="157" spans="1:13" x14ac:dyDescent="0.35">
      <c r="A157" s="37">
        <f>'Vendor Entry Sheet'!A159</f>
        <v>0</v>
      </c>
      <c r="B157" s="38">
        <f>'Vendor Entry Sheet'!C159</f>
        <v>0</v>
      </c>
      <c r="C157">
        <f>'Vendor Entry Sheet'!I159</f>
        <v>0</v>
      </c>
      <c r="D157" s="39">
        <f>'Vendor Entry Sheet'!J159</f>
        <v>0</v>
      </c>
      <c r="E157">
        <f>'Vendor Entry Sheet'!D159</f>
        <v>0</v>
      </c>
      <c r="F157">
        <f>'Vendor Entry Sheet'!E159</f>
        <v>0</v>
      </c>
      <c r="H157" s="40">
        <f>'Vendor Entry Sheet'!F159</f>
        <v>0</v>
      </c>
      <c r="I157">
        <f>'Vendor Entry Sheet'!G159</f>
        <v>0</v>
      </c>
      <c r="K157" s="41">
        <v>1005</v>
      </c>
      <c r="L157">
        <f>'Vendor Entry Sheet'!H159</f>
        <v>0</v>
      </c>
      <c r="M157" s="41" t="s">
        <v>41</v>
      </c>
    </row>
    <row r="158" spans="1:13" x14ac:dyDescent="0.35">
      <c r="A158" s="37">
        <f>'Vendor Entry Sheet'!A160</f>
        <v>0</v>
      </c>
      <c r="B158" s="38">
        <f>'Vendor Entry Sheet'!C160</f>
        <v>0</v>
      </c>
      <c r="C158">
        <f>'Vendor Entry Sheet'!I160</f>
        <v>0</v>
      </c>
      <c r="D158" s="39">
        <f>'Vendor Entry Sheet'!J160</f>
        <v>0</v>
      </c>
      <c r="E158">
        <f>'Vendor Entry Sheet'!D160</f>
        <v>0</v>
      </c>
      <c r="F158">
        <f>'Vendor Entry Sheet'!E160</f>
        <v>0</v>
      </c>
      <c r="H158" s="40">
        <f>'Vendor Entry Sheet'!F160</f>
        <v>0</v>
      </c>
      <c r="I158">
        <f>'Vendor Entry Sheet'!G160</f>
        <v>0</v>
      </c>
      <c r="K158" s="41">
        <v>1005</v>
      </c>
      <c r="L158">
        <f>'Vendor Entry Sheet'!H160</f>
        <v>0</v>
      </c>
      <c r="M158" s="41" t="s">
        <v>41</v>
      </c>
    </row>
    <row r="159" spans="1:13" x14ac:dyDescent="0.35">
      <c r="A159" s="37">
        <f>'Vendor Entry Sheet'!A161</f>
        <v>0</v>
      </c>
      <c r="B159" s="38">
        <f>'Vendor Entry Sheet'!C161</f>
        <v>0</v>
      </c>
      <c r="C159">
        <f>'Vendor Entry Sheet'!I161</f>
        <v>0</v>
      </c>
      <c r="D159" s="39">
        <f>'Vendor Entry Sheet'!J161</f>
        <v>0</v>
      </c>
      <c r="E159">
        <f>'Vendor Entry Sheet'!D161</f>
        <v>0</v>
      </c>
      <c r="F159">
        <f>'Vendor Entry Sheet'!E161</f>
        <v>0</v>
      </c>
      <c r="H159" s="40">
        <f>'Vendor Entry Sheet'!F161</f>
        <v>0</v>
      </c>
      <c r="I159">
        <f>'Vendor Entry Sheet'!G161</f>
        <v>0</v>
      </c>
      <c r="K159" s="41">
        <v>1005</v>
      </c>
      <c r="L159">
        <f>'Vendor Entry Sheet'!H161</f>
        <v>0</v>
      </c>
      <c r="M159" s="41" t="s">
        <v>41</v>
      </c>
    </row>
    <row r="160" spans="1:13" x14ac:dyDescent="0.35">
      <c r="A160" s="37">
        <f>'Vendor Entry Sheet'!A162</f>
        <v>0</v>
      </c>
      <c r="B160" s="38">
        <f>'Vendor Entry Sheet'!C162</f>
        <v>0</v>
      </c>
      <c r="C160">
        <f>'Vendor Entry Sheet'!I162</f>
        <v>0</v>
      </c>
      <c r="D160" s="39">
        <f>'Vendor Entry Sheet'!J162</f>
        <v>0</v>
      </c>
      <c r="E160">
        <f>'Vendor Entry Sheet'!D162</f>
        <v>0</v>
      </c>
      <c r="F160">
        <f>'Vendor Entry Sheet'!E162</f>
        <v>0</v>
      </c>
      <c r="H160" s="40">
        <f>'Vendor Entry Sheet'!F162</f>
        <v>0</v>
      </c>
      <c r="I160">
        <f>'Vendor Entry Sheet'!G162</f>
        <v>0</v>
      </c>
      <c r="K160" s="41">
        <v>1005</v>
      </c>
      <c r="L160">
        <f>'Vendor Entry Sheet'!H162</f>
        <v>0</v>
      </c>
      <c r="M160" s="41" t="s">
        <v>41</v>
      </c>
    </row>
    <row r="161" spans="1:13" x14ac:dyDescent="0.35">
      <c r="A161" s="37">
        <f>'Vendor Entry Sheet'!A163</f>
        <v>0</v>
      </c>
      <c r="B161" s="38">
        <f>'Vendor Entry Sheet'!C163</f>
        <v>0</v>
      </c>
      <c r="C161">
        <f>'Vendor Entry Sheet'!I163</f>
        <v>0</v>
      </c>
      <c r="D161" s="39">
        <f>'Vendor Entry Sheet'!J163</f>
        <v>0</v>
      </c>
      <c r="E161">
        <f>'Vendor Entry Sheet'!D163</f>
        <v>0</v>
      </c>
      <c r="F161">
        <f>'Vendor Entry Sheet'!E163</f>
        <v>0</v>
      </c>
      <c r="H161" s="40">
        <f>'Vendor Entry Sheet'!F163</f>
        <v>0</v>
      </c>
      <c r="I161">
        <f>'Vendor Entry Sheet'!G163</f>
        <v>0</v>
      </c>
      <c r="K161" s="41">
        <v>1005</v>
      </c>
      <c r="L161">
        <f>'Vendor Entry Sheet'!H163</f>
        <v>0</v>
      </c>
      <c r="M161" s="41" t="s">
        <v>41</v>
      </c>
    </row>
    <row r="162" spans="1:13" x14ac:dyDescent="0.35">
      <c r="A162" s="37">
        <f>'Vendor Entry Sheet'!A164</f>
        <v>0</v>
      </c>
      <c r="B162" s="38">
        <f>'Vendor Entry Sheet'!C164</f>
        <v>0</v>
      </c>
      <c r="C162">
        <f>'Vendor Entry Sheet'!I164</f>
        <v>0</v>
      </c>
      <c r="D162" s="39">
        <f>'Vendor Entry Sheet'!J164</f>
        <v>0</v>
      </c>
      <c r="E162">
        <f>'Vendor Entry Sheet'!D164</f>
        <v>0</v>
      </c>
      <c r="F162">
        <f>'Vendor Entry Sheet'!E164</f>
        <v>0</v>
      </c>
      <c r="H162" s="40">
        <f>'Vendor Entry Sheet'!F164</f>
        <v>0</v>
      </c>
      <c r="I162">
        <f>'Vendor Entry Sheet'!G164</f>
        <v>0</v>
      </c>
      <c r="K162" s="41">
        <v>1005</v>
      </c>
      <c r="L162">
        <f>'Vendor Entry Sheet'!H164</f>
        <v>0</v>
      </c>
      <c r="M162" s="41" t="s">
        <v>41</v>
      </c>
    </row>
    <row r="163" spans="1:13" x14ac:dyDescent="0.35">
      <c r="A163" s="37">
        <f>'Vendor Entry Sheet'!A165</f>
        <v>0</v>
      </c>
      <c r="B163" s="38">
        <f>'Vendor Entry Sheet'!C165</f>
        <v>0</v>
      </c>
      <c r="C163">
        <f>'Vendor Entry Sheet'!I165</f>
        <v>0</v>
      </c>
      <c r="D163" s="39">
        <f>'Vendor Entry Sheet'!J165</f>
        <v>0</v>
      </c>
      <c r="E163">
        <f>'Vendor Entry Sheet'!D165</f>
        <v>0</v>
      </c>
      <c r="F163">
        <f>'Vendor Entry Sheet'!E165</f>
        <v>0</v>
      </c>
      <c r="H163" s="40">
        <f>'Vendor Entry Sheet'!F165</f>
        <v>0</v>
      </c>
      <c r="I163">
        <f>'Vendor Entry Sheet'!G165</f>
        <v>0</v>
      </c>
      <c r="K163" s="41">
        <v>1005</v>
      </c>
      <c r="L163">
        <f>'Vendor Entry Sheet'!H165</f>
        <v>0</v>
      </c>
      <c r="M163" s="41" t="s">
        <v>41</v>
      </c>
    </row>
    <row r="164" spans="1:13" x14ac:dyDescent="0.35">
      <c r="A164" s="37">
        <f>'Vendor Entry Sheet'!A166</f>
        <v>0</v>
      </c>
      <c r="B164" s="38">
        <f>'Vendor Entry Sheet'!C166</f>
        <v>0</v>
      </c>
      <c r="C164">
        <f>'Vendor Entry Sheet'!I166</f>
        <v>0</v>
      </c>
      <c r="D164" s="39">
        <f>'Vendor Entry Sheet'!J166</f>
        <v>0</v>
      </c>
      <c r="E164">
        <f>'Vendor Entry Sheet'!D166</f>
        <v>0</v>
      </c>
      <c r="F164">
        <f>'Vendor Entry Sheet'!E166</f>
        <v>0</v>
      </c>
      <c r="H164" s="40">
        <f>'Vendor Entry Sheet'!F166</f>
        <v>0</v>
      </c>
      <c r="I164">
        <f>'Vendor Entry Sheet'!G166</f>
        <v>0</v>
      </c>
      <c r="K164" s="41">
        <v>1005</v>
      </c>
      <c r="L164">
        <f>'Vendor Entry Sheet'!H166</f>
        <v>0</v>
      </c>
      <c r="M164" s="41" t="s">
        <v>41</v>
      </c>
    </row>
    <row r="165" spans="1:13" x14ac:dyDescent="0.35">
      <c r="A165" s="37">
        <f>'Vendor Entry Sheet'!A167</f>
        <v>0</v>
      </c>
      <c r="B165" s="38">
        <f>'Vendor Entry Sheet'!C167</f>
        <v>0</v>
      </c>
      <c r="C165">
        <f>'Vendor Entry Sheet'!I167</f>
        <v>0</v>
      </c>
      <c r="D165" s="39">
        <f>'Vendor Entry Sheet'!J167</f>
        <v>0</v>
      </c>
      <c r="E165">
        <f>'Vendor Entry Sheet'!D167</f>
        <v>0</v>
      </c>
      <c r="F165">
        <f>'Vendor Entry Sheet'!E167</f>
        <v>0</v>
      </c>
      <c r="H165" s="40">
        <f>'Vendor Entry Sheet'!F167</f>
        <v>0</v>
      </c>
      <c r="I165">
        <f>'Vendor Entry Sheet'!G167</f>
        <v>0</v>
      </c>
      <c r="K165" s="41">
        <v>1005</v>
      </c>
      <c r="L165">
        <f>'Vendor Entry Sheet'!H167</f>
        <v>0</v>
      </c>
      <c r="M165" s="41" t="s">
        <v>41</v>
      </c>
    </row>
    <row r="166" spans="1:13" x14ac:dyDescent="0.35">
      <c r="A166" s="37">
        <f>'Vendor Entry Sheet'!A168</f>
        <v>0</v>
      </c>
      <c r="B166" s="38">
        <f>'Vendor Entry Sheet'!C168</f>
        <v>0</v>
      </c>
      <c r="C166">
        <f>'Vendor Entry Sheet'!I168</f>
        <v>0</v>
      </c>
      <c r="D166" s="39">
        <f>'Vendor Entry Sheet'!J168</f>
        <v>0</v>
      </c>
      <c r="E166">
        <f>'Vendor Entry Sheet'!D168</f>
        <v>0</v>
      </c>
      <c r="F166">
        <f>'Vendor Entry Sheet'!E168</f>
        <v>0</v>
      </c>
      <c r="H166" s="40">
        <f>'Vendor Entry Sheet'!F168</f>
        <v>0</v>
      </c>
      <c r="I166">
        <f>'Vendor Entry Sheet'!G168</f>
        <v>0</v>
      </c>
      <c r="K166" s="41">
        <v>1005</v>
      </c>
      <c r="L166">
        <f>'Vendor Entry Sheet'!H168</f>
        <v>0</v>
      </c>
      <c r="M166" s="41" t="s">
        <v>41</v>
      </c>
    </row>
    <row r="167" spans="1:13" x14ac:dyDescent="0.35">
      <c r="A167" s="37">
        <f>'Vendor Entry Sheet'!A169</f>
        <v>0</v>
      </c>
      <c r="B167" s="38">
        <f>'Vendor Entry Sheet'!C169</f>
        <v>0</v>
      </c>
      <c r="C167">
        <f>'Vendor Entry Sheet'!I169</f>
        <v>0</v>
      </c>
      <c r="D167" s="39">
        <f>'Vendor Entry Sheet'!J169</f>
        <v>0</v>
      </c>
      <c r="E167">
        <f>'Vendor Entry Sheet'!D169</f>
        <v>0</v>
      </c>
      <c r="F167">
        <f>'Vendor Entry Sheet'!E169</f>
        <v>0</v>
      </c>
      <c r="H167" s="40">
        <f>'Vendor Entry Sheet'!F169</f>
        <v>0</v>
      </c>
      <c r="I167">
        <f>'Vendor Entry Sheet'!G169</f>
        <v>0</v>
      </c>
      <c r="K167" s="41">
        <v>1005</v>
      </c>
      <c r="L167">
        <f>'Vendor Entry Sheet'!H169</f>
        <v>0</v>
      </c>
      <c r="M167" s="41" t="s">
        <v>41</v>
      </c>
    </row>
    <row r="168" spans="1:13" x14ac:dyDescent="0.35">
      <c r="A168" s="37">
        <f>'Vendor Entry Sheet'!A170</f>
        <v>0</v>
      </c>
      <c r="B168" s="38">
        <f>'Vendor Entry Sheet'!C170</f>
        <v>0</v>
      </c>
      <c r="C168">
        <f>'Vendor Entry Sheet'!I170</f>
        <v>0</v>
      </c>
      <c r="D168" s="39">
        <f>'Vendor Entry Sheet'!J170</f>
        <v>0</v>
      </c>
      <c r="E168">
        <f>'Vendor Entry Sheet'!D170</f>
        <v>0</v>
      </c>
      <c r="F168">
        <f>'Vendor Entry Sheet'!E170</f>
        <v>0</v>
      </c>
      <c r="H168" s="40">
        <f>'Vendor Entry Sheet'!F170</f>
        <v>0</v>
      </c>
      <c r="I168">
        <f>'Vendor Entry Sheet'!G170</f>
        <v>0</v>
      </c>
      <c r="K168" s="41">
        <v>1005</v>
      </c>
      <c r="L168">
        <f>'Vendor Entry Sheet'!H170</f>
        <v>0</v>
      </c>
      <c r="M168" s="41" t="s">
        <v>41</v>
      </c>
    </row>
    <row r="169" spans="1:13" x14ac:dyDescent="0.35">
      <c r="A169" s="37">
        <f>'Vendor Entry Sheet'!A171</f>
        <v>0</v>
      </c>
      <c r="B169" s="38">
        <f>'Vendor Entry Sheet'!C171</f>
        <v>0</v>
      </c>
      <c r="C169">
        <f>'Vendor Entry Sheet'!I171</f>
        <v>0</v>
      </c>
      <c r="D169" s="39">
        <f>'Vendor Entry Sheet'!J171</f>
        <v>0</v>
      </c>
      <c r="E169">
        <f>'Vendor Entry Sheet'!D171</f>
        <v>0</v>
      </c>
      <c r="F169">
        <f>'Vendor Entry Sheet'!E171</f>
        <v>0</v>
      </c>
      <c r="H169" s="40">
        <f>'Vendor Entry Sheet'!F171</f>
        <v>0</v>
      </c>
      <c r="I169">
        <f>'Vendor Entry Sheet'!G171</f>
        <v>0</v>
      </c>
      <c r="K169" s="41">
        <v>1005</v>
      </c>
      <c r="L169">
        <f>'Vendor Entry Sheet'!H171</f>
        <v>0</v>
      </c>
      <c r="M169" s="41" t="s">
        <v>41</v>
      </c>
    </row>
    <row r="170" spans="1:13" x14ac:dyDescent="0.35">
      <c r="A170" s="37">
        <f>'Vendor Entry Sheet'!A172</f>
        <v>0</v>
      </c>
      <c r="B170" s="38">
        <f>'Vendor Entry Sheet'!C172</f>
        <v>0</v>
      </c>
      <c r="C170">
        <f>'Vendor Entry Sheet'!I172</f>
        <v>0</v>
      </c>
      <c r="D170" s="39">
        <f>'Vendor Entry Sheet'!J172</f>
        <v>0</v>
      </c>
      <c r="E170">
        <f>'Vendor Entry Sheet'!D172</f>
        <v>0</v>
      </c>
      <c r="F170">
        <f>'Vendor Entry Sheet'!E172</f>
        <v>0</v>
      </c>
      <c r="H170" s="40">
        <f>'Vendor Entry Sheet'!F172</f>
        <v>0</v>
      </c>
      <c r="I170">
        <f>'Vendor Entry Sheet'!G172</f>
        <v>0</v>
      </c>
      <c r="K170" s="41">
        <v>1005</v>
      </c>
      <c r="L170">
        <f>'Vendor Entry Sheet'!H172</f>
        <v>0</v>
      </c>
      <c r="M170" s="41" t="s">
        <v>41</v>
      </c>
    </row>
    <row r="171" spans="1:13" x14ac:dyDescent="0.35">
      <c r="A171" s="37">
        <f>'Vendor Entry Sheet'!A173</f>
        <v>0</v>
      </c>
      <c r="B171" s="38">
        <f>'Vendor Entry Sheet'!C173</f>
        <v>0</v>
      </c>
      <c r="C171">
        <f>'Vendor Entry Sheet'!I173</f>
        <v>0</v>
      </c>
      <c r="D171" s="39">
        <f>'Vendor Entry Sheet'!J173</f>
        <v>0</v>
      </c>
      <c r="E171">
        <f>'Vendor Entry Sheet'!D173</f>
        <v>0</v>
      </c>
      <c r="F171">
        <f>'Vendor Entry Sheet'!E173</f>
        <v>0</v>
      </c>
      <c r="H171" s="40">
        <f>'Vendor Entry Sheet'!F173</f>
        <v>0</v>
      </c>
      <c r="I171">
        <f>'Vendor Entry Sheet'!G173</f>
        <v>0</v>
      </c>
      <c r="K171" s="41">
        <v>1005</v>
      </c>
      <c r="L171">
        <f>'Vendor Entry Sheet'!H173</f>
        <v>0</v>
      </c>
      <c r="M171" s="41" t="s">
        <v>41</v>
      </c>
    </row>
    <row r="172" spans="1:13" x14ac:dyDescent="0.35">
      <c r="A172" s="37">
        <f>'Vendor Entry Sheet'!A174</f>
        <v>0</v>
      </c>
      <c r="B172" s="38">
        <f>'Vendor Entry Sheet'!C174</f>
        <v>0</v>
      </c>
      <c r="C172">
        <f>'Vendor Entry Sheet'!I174</f>
        <v>0</v>
      </c>
      <c r="D172" s="39">
        <f>'Vendor Entry Sheet'!J174</f>
        <v>0</v>
      </c>
      <c r="E172">
        <f>'Vendor Entry Sheet'!D174</f>
        <v>0</v>
      </c>
      <c r="F172">
        <f>'Vendor Entry Sheet'!E174</f>
        <v>0</v>
      </c>
      <c r="H172" s="40">
        <f>'Vendor Entry Sheet'!F174</f>
        <v>0</v>
      </c>
      <c r="I172">
        <f>'Vendor Entry Sheet'!G174</f>
        <v>0</v>
      </c>
      <c r="K172" s="41">
        <v>1005</v>
      </c>
      <c r="L172">
        <f>'Vendor Entry Sheet'!H174</f>
        <v>0</v>
      </c>
      <c r="M172" s="41" t="s">
        <v>41</v>
      </c>
    </row>
    <row r="173" spans="1:13" x14ac:dyDescent="0.35">
      <c r="A173" s="37">
        <f>'Vendor Entry Sheet'!A175</f>
        <v>0</v>
      </c>
      <c r="B173" s="38">
        <f>'Vendor Entry Sheet'!C175</f>
        <v>0</v>
      </c>
      <c r="C173">
        <f>'Vendor Entry Sheet'!I175</f>
        <v>0</v>
      </c>
      <c r="D173" s="39">
        <f>'Vendor Entry Sheet'!J175</f>
        <v>0</v>
      </c>
      <c r="E173">
        <f>'Vendor Entry Sheet'!D175</f>
        <v>0</v>
      </c>
      <c r="F173">
        <f>'Vendor Entry Sheet'!E175</f>
        <v>0</v>
      </c>
      <c r="H173" s="40">
        <f>'Vendor Entry Sheet'!F175</f>
        <v>0</v>
      </c>
      <c r="I173">
        <f>'Vendor Entry Sheet'!G175</f>
        <v>0</v>
      </c>
      <c r="K173" s="41">
        <v>1005</v>
      </c>
      <c r="L173">
        <f>'Vendor Entry Sheet'!H175</f>
        <v>0</v>
      </c>
      <c r="M173" s="41" t="s">
        <v>41</v>
      </c>
    </row>
    <row r="174" spans="1:13" x14ac:dyDescent="0.35">
      <c r="A174" s="37">
        <f>'Vendor Entry Sheet'!A176</f>
        <v>0</v>
      </c>
      <c r="B174" s="38">
        <f>'Vendor Entry Sheet'!C176</f>
        <v>0</v>
      </c>
      <c r="C174">
        <f>'Vendor Entry Sheet'!I176</f>
        <v>0</v>
      </c>
      <c r="D174" s="39">
        <f>'Vendor Entry Sheet'!J176</f>
        <v>0</v>
      </c>
      <c r="E174">
        <f>'Vendor Entry Sheet'!D176</f>
        <v>0</v>
      </c>
      <c r="F174">
        <f>'Vendor Entry Sheet'!E176</f>
        <v>0</v>
      </c>
      <c r="H174" s="40">
        <f>'Vendor Entry Sheet'!F176</f>
        <v>0</v>
      </c>
      <c r="I174">
        <f>'Vendor Entry Sheet'!G176</f>
        <v>0</v>
      </c>
      <c r="K174" s="41">
        <v>1005</v>
      </c>
      <c r="L174">
        <f>'Vendor Entry Sheet'!H176</f>
        <v>0</v>
      </c>
      <c r="M174" s="41" t="s">
        <v>41</v>
      </c>
    </row>
    <row r="175" spans="1:13" x14ac:dyDescent="0.35">
      <c r="A175" s="37">
        <f>'Vendor Entry Sheet'!A177</f>
        <v>0</v>
      </c>
      <c r="B175" s="38">
        <f>'Vendor Entry Sheet'!C177</f>
        <v>0</v>
      </c>
      <c r="C175">
        <f>'Vendor Entry Sheet'!I177</f>
        <v>0</v>
      </c>
      <c r="D175" s="39">
        <f>'Vendor Entry Sheet'!J177</f>
        <v>0</v>
      </c>
      <c r="E175">
        <f>'Vendor Entry Sheet'!D177</f>
        <v>0</v>
      </c>
      <c r="F175">
        <f>'Vendor Entry Sheet'!E177</f>
        <v>0</v>
      </c>
      <c r="H175" s="40">
        <f>'Vendor Entry Sheet'!F177</f>
        <v>0</v>
      </c>
      <c r="I175">
        <f>'Vendor Entry Sheet'!G177</f>
        <v>0</v>
      </c>
      <c r="K175" s="41">
        <v>1005</v>
      </c>
      <c r="L175">
        <f>'Vendor Entry Sheet'!H177</f>
        <v>0</v>
      </c>
      <c r="M175" s="41" t="s">
        <v>41</v>
      </c>
    </row>
    <row r="176" spans="1:13" x14ac:dyDescent="0.35">
      <c r="A176" s="37">
        <f>'Vendor Entry Sheet'!A178</f>
        <v>0</v>
      </c>
      <c r="B176" s="38">
        <f>'Vendor Entry Sheet'!C178</f>
        <v>0</v>
      </c>
      <c r="C176">
        <f>'Vendor Entry Sheet'!I178</f>
        <v>0</v>
      </c>
      <c r="D176" s="39">
        <f>'Vendor Entry Sheet'!J178</f>
        <v>0</v>
      </c>
      <c r="E176">
        <f>'Vendor Entry Sheet'!D178</f>
        <v>0</v>
      </c>
      <c r="F176">
        <f>'Vendor Entry Sheet'!E178</f>
        <v>0</v>
      </c>
      <c r="H176" s="40">
        <f>'Vendor Entry Sheet'!F178</f>
        <v>0</v>
      </c>
      <c r="I176">
        <f>'Vendor Entry Sheet'!G178</f>
        <v>0</v>
      </c>
      <c r="K176" s="41">
        <v>1005</v>
      </c>
      <c r="L176">
        <f>'Vendor Entry Sheet'!H178</f>
        <v>0</v>
      </c>
      <c r="M176" s="41" t="s">
        <v>41</v>
      </c>
    </row>
    <row r="177" spans="1:13" x14ac:dyDescent="0.35">
      <c r="A177" s="37">
        <f>'Vendor Entry Sheet'!A179</f>
        <v>0</v>
      </c>
      <c r="B177" s="38">
        <f>'Vendor Entry Sheet'!C179</f>
        <v>0</v>
      </c>
      <c r="C177">
        <f>'Vendor Entry Sheet'!I179</f>
        <v>0</v>
      </c>
      <c r="D177" s="39">
        <f>'Vendor Entry Sheet'!J179</f>
        <v>0</v>
      </c>
      <c r="E177">
        <f>'Vendor Entry Sheet'!D179</f>
        <v>0</v>
      </c>
      <c r="F177">
        <f>'Vendor Entry Sheet'!E179</f>
        <v>0</v>
      </c>
      <c r="H177" s="40">
        <f>'Vendor Entry Sheet'!F179</f>
        <v>0</v>
      </c>
      <c r="I177">
        <f>'Vendor Entry Sheet'!G179</f>
        <v>0</v>
      </c>
      <c r="K177" s="41">
        <v>1005</v>
      </c>
      <c r="L177">
        <f>'Vendor Entry Sheet'!H179</f>
        <v>0</v>
      </c>
      <c r="M177" s="41" t="s">
        <v>41</v>
      </c>
    </row>
    <row r="178" spans="1:13" x14ac:dyDescent="0.35">
      <c r="A178" s="37">
        <f>'Vendor Entry Sheet'!A180</f>
        <v>0</v>
      </c>
      <c r="B178" s="38">
        <f>'Vendor Entry Sheet'!C180</f>
        <v>0</v>
      </c>
      <c r="C178">
        <f>'Vendor Entry Sheet'!I180</f>
        <v>0</v>
      </c>
      <c r="D178" s="39">
        <f>'Vendor Entry Sheet'!J180</f>
        <v>0</v>
      </c>
      <c r="E178">
        <f>'Vendor Entry Sheet'!D180</f>
        <v>0</v>
      </c>
      <c r="F178">
        <f>'Vendor Entry Sheet'!E180</f>
        <v>0</v>
      </c>
      <c r="H178" s="40">
        <f>'Vendor Entry Sheet'!F180</f>
        <v>0</v>
      </c>
      <c r="I178">
        <f>'Vendor Entry Sheet'!G180</f>
        <v>0</v>
      </c>
      <c r="K178" s="41">
        <v>1005</v>
      </c>
      <c r="L178">
        <f>'Vendor Entry Sheet'!H180</f>
        <v>0</v>
      </c>
      <c r="M178" s="41" t="s">
        <v>41</v>
      </c>
    </row>
    <row r="179" spans="1:13" x14ac:dyDescent="0.35">
      <c r="A179" s="37">
        <f>'Vendor Entry Sheet'!A181</f>
        <v>0</v>
      </c>
      <c r="B179" s="38">
        <f>'Vendor Entry Sheet'!C181</f>
        <v>0</v>
      </c>
      <c r="C179">
        <f>'Vendor Entry Sheet'!I181</f>
        <v>0</v>
      </c>
      <c r="D179" s="39">
        <f>'Vendor Entry Sheet'!J181</f>
        <v>0</v>
      </c>
      <c r="E179">
        <f>'Vendor Entry Sheet'!D181</f>
        <v>0</v>
      </c>
      <c r="F179">
        <f>'Vendor Entry Sheet'!E181</f>
        <v>0</v>
      </c>
      <c r="H179" s="40">
        <f>'Vendor Entry Sheet'!F181</f>
        <v>0</v>
      </c>
      <c r="I179">
        <f>'Vendor Entry Sheet'!G181</f>
        <v>0</v>
      </c>
      <c r="K179" s="41">
        <v>1005</v>
      </c>
      <c r="L179">
        <f>'Vendor Entry Sheet'!H181</f>
        <v>0</v>
      </c>
      <c r="M179" s="41" t="s">
        <v>41</v>
      </c>
    </row>
    <row r="180" spans="1:13" x14ac:dyDescent="0.35">
      <c r="A180" s="37">
        <f>'Vendor Entry Sheet'!A182</f>
        <v>0</v>
      </c>
      <c r="B180" s="38">
        <f>'Vendor Entry Sheet'!C182</f>
        <v>0</v>
      </c>
      <c r="C180">
        <f>'Vendor Entry Sheet'!I182</f>
        <v>0</v>
      </c>
      <c r="D180" s="39">
        <f>'Vendor Entry Sheet'!J182</f>
        <v>0</v>
      </c>
      <c r="E180">
        <f>'Vendor Entry Sheet'!D182</f>
        <v>0</v>
      </c>
      <c r="F180">
        <f>'Vendor Entry Sheet'!E182</f>
        <v>0</v>
      </c>
      <c r="H180" s="40">
        <f>'Vendor Entry Sheet'!F182</f>
        <v>0</v>
      </c>
      <c r="I180">
        <f>'Vendor Entry Sheet'!G182</f>
        <v>0</v>
      </c>
      <c r="K180" s="41">
        <v>1005</v>
      </c>
      <c r="L180">
        <f>'Vendor Entry Sheet'!H182</f>
        <v>0</v>
      </c>
      <c r="M180" s="41" t="s">
        <v>41</v>
      </c>
    </row>
    <row r="181" spans="1:13" x14ac:dyDescent="0.35">
      <c r="A181" s="37">
        <f>'Vendor Entry Sheet'!A183</f>
        <v>0</v>
      </c>
      <c r="B181" s="38">
        <f>'Vendor Entry Sheet'!C183</f>
        <v>0</v>
      </c>
      <c r="C181">
        <f>'Vendor Entry Sheet'!I183</f>
        <v>0</v>
      </c>
      <c r="D181" s="39">
        <f>'Vendor Entry Sheet'!J183</f>
        <v>0</v>
      </c>
      <c r="E181">
        <f>'Vendor Entry Sheet'!D183</f>
        <v>0</v>
      </c>
      <c r="F181">
        <f>'Vendor Entry Sheet'!E183</f>
        <v>0</v>
      </c>
      <c r="H181" s="40">
        <f>'Vendor Entry Sheet'!F183</f>
        <v>0</v>
      </c>
      <c r="I181">
        <f>'Vendor Entry Sheet'!G183</f>
        <v>0</v>
      </c>
      <c r="K181" s="41">
        <v>1005</v>
      </c>
      <c r="L181">
        <f>'Vendor Entry Sheet'!H183</f>
        <v>0</v>
      </c>
      <c r="M181" s="41" t="s">
        <v>41</v>
      </c>
    </row>
    <row r="182" spans="1:13" x14ac:dyDescent="0.35">
      <c r="A182" s="37">
        <f>'Vendor Entry Sheet'!A184</f>
        <v>0</v>
      </c>
      <c r="B182" s="38">
        <f>'Vendor Entry Sheet'!C184</f>
        <v>0</v>
      </c>
      <c r="C182">
        <f>'Vendor Entry Sheet'!I184</f>
        <v>0</v>
      </c>
      <c r="D182" s="39">
        <f>'Vendor Entry Sheet'!J184</f>
        <v>0</v>
      </c>
      <c r="E182">
        <f>'Vendor Entry Sheet'!D184</f>
        <v>0</v>
      </c>
      <c r="F182">
        <f>'Vendor Entry Sheet'!E184</f>
        <v>0</v>
      </c>
      <c r="H182" s="40">
        <f>'Vendor Entry Sheet'!F184</f>
        <v>0</v>
      </c>
      <c r="I182">
        <f>'Vendor Entry Sheet'!G184</f>
        <v>0</v>
      </c>
      <c r="K182" s="41">
        <v>1005</v>
      </c>
      <c r="L182">
        <f>'Vendor Entry Sheet'!H184</f>
        <v>0</v>
      </c>
      <c r="M182" s="41" t="s">
        <v>41</v>
      </c>
    </row>
    <row r="183" spans="1:13" x14ac:dyDescent="0.35">
      <c r="A183" s="37">
        <f>'Vendor Entry Sheet'!A185</f>
        <v>0</v>
      </c>
      <c r="B183" s="38">
        <f>'Vendor Entry Sheet'!C185</f>
        <v>0</v>
      </c>
      <c r="C183">
        <f>'Vendor Entry Sheet'!I185</f>
        <v>0</v>
      </c>
      <c r="D183" s="39">
        <f>'Vendor Entry Sheet'!J185</f>
        <v>0</v>
      </c>
      <c r="E183">
        <f>'Vendor Entry Sheet'!D185</f>
        <v>0</v>
      </c>
      <c r="F183">
        <f>'Vendor Entry Sheet'!E185</f>
        <v>0</v>
      </c>
      <c r="H183" s="40">
        <f>'Vendor Entry Sheet'!F185</f>
        <v>0</v>
      </c>
      <c r="I183">
        <f>'Vendor Entry Sheet'!G185</f>
        <v>0</v>
      </c>
      <c r="K183" s="41">
        <v>1005</v>
      </c>
      <c r="L183">
        <f>'Vendor Entry Sheet'!H185</f>
        <v>0</v>
      </c>
      <c r="M183" s="41" t="s">
        <v>41</v>
      </c>
    </row>
    <row r="184" spans="1:13" x14ac:dyDescent="0.35">
      <c r="A184" s="37">
        <f>'Vendor Entry Sheet'!A186</f>
        <v>0</v>
      </c>
      <c r="B184" s="38">
        <f>'Vendor Entry Sheet'!C186</f>
        <v>0</v>
      </c>
      <c r="C184">
        <f>'Vendor Entry Sheet'!I186</f>
        <v>0</v>
      </c>
      <c r="D184" s="39">
        <f>'Vendor Entry Sheet'!J186</f>
        <v>0</v>
      </c>
      <c r="E184">
        <f>'Vendor Entry Sheet'!D186</f>
        <v>0</v>
      </c>
      <c r="F184">
        <f>'Vendor Entry Sheet'!E186</f>
        <v>0</v>
      </c>
      <c r="H184" s="40">
        <f>'Vendor Entry Sheet'!F186</f>
        <v>0</v>
      </c>
      <c r="I184">
        <f>'Vendor Entry Sheet'!G186</f>
        <v>0</v>
      </c>
      <c r="K184" s="41">
        <v>1005</v>
      </c>
      <c r="L184">
        <f>'Vendor Entry Sheet'!H186</f>
        <v>0</v>
      </c>
      <c r="M184" s="41" t="s">
        <v>41</v>
      </c>
    </row>
    <row r="185" spans="1:13" x14ac:dyDescent="0.35">
      <c r="A185" s="37">
        <f>'Vendor Entry Sheet'!A187</f>
        <v>0</v>
      </c>
      <c r="B185" s="38">
        <f>'Vendor Entry Sheet'!C187</f>
        <v>0</v>
      </c>
      <c r="C185">
        <f>'Vendor Entry Sheet'!I187</f>
        <v>0</v>
      </c>
      <c r="D185" s="39">
        <f>'Vendor Entry Sheet'!J187</f>
        <v>0</v>
      </c>
      <c r="E185">
        <f>'Vendor Entry Sheet'!D187</f>
        <v>0</v>
      </c>
      <c r="F185">
        <f>'Vendor Entry Sheet'!E187</f>
        <v>0</v>
      </c>
      <c r="H185" s="40">
        <f>'Vendor Entry Sheet'!F187</f>
        <v>0</v>
      </c>
      <c r="I185">
        <f>'Vendor Entry Sheet'!G187</f>
        <v>0</v>
      </c>
      <c r="K185" s="41">
        <v>1005</v>
      </c>
      <c r="L185">
        <f>'Vendor Entry Sheet'!H187</f>
        <v>0</v>
      </c>
      <c r="M185" s="41" t="s">
        <v>41</v>
      </c>
    </row>
    <row r="186" spans="1:13" x14ac:dyDescent="0.35">
      <c r="A186" s="37">
        <f>'Vendor Entry Sheet'!A188</f>
        <v>0</v>
      </c>
      <c r="B186" s="38">
        <f>'Vendor Entry Sheet'!C188</f>
        <v>0</v>
      </c>
      <c r="C186">
        <f>'Vendor Entry Sheet'!I188</f>
        <v>0</v>
      </c>
      <c r="D186" s="39">
        <f>'Vendor Entry Sheet'!J188</f>
        <v>0</v>
      </c>
      <c r="E186">
        <f>'Vendor Entry Sheet'!D188</f>
        <v>0</v>
      </c>
      <c r="F186">
        <f>'Vendor Entry Sheet'!E188</f>
        <v>0</v>
      </c>
      <c r="H186" s="40">
        <f>'Vendor Entry Sheet'!F188</f>
        <v>0</v>
      </c>
      <c r="I186">
        <f>'Vendor Entry Sheet'!G188</f>
        <v>0</v>
      </c>
      <c r="K186" s="41">
        <v>1005</v>
      </c>
      <c r="L186">
        <f>'Vendor Entry Sheet'!H188</f>
        <v>0</v>
      </c>
      <c r="M186" s="41" t="s">
        <v>41</v>
      </c>
    </row>
    <row r="187" spans="1:13" x14ac:dyDescent="0.35">
      <c r="A187" s="37">
        <f>'Vendor Entry Sheet'!A189</f>
        <v>0</v>
      </c>
      <c r="B187" s="38">
        <f>'Vendor Entry Sheet'!C189</f>
        <v>0</v>
      </c>
      <c r="C187">
        <f>'Vendor Entry Sheet'!I189</f>
        <v>0</v>
      </c>
      <c r="D187" s="39">
        <f>'Vendor Entry Sheet'!J189</f>
        <v>0</v>
      </c>
      <c r="E187">
        <f>'Vendor Entry Sheet'!D189</f>
        <v>0</v>
      </c>
      <c r="F187">
        <f>'Vendor Entry Sheet'!E189</f>
        <v>0</v>
      </c>
      <c r="H187" s="40">
        <f>'Vendor Entry Sheet'!F189</f>
        <v>0</v>
      </c>
      <c r="I187">
        <f>'Vendor Entry Sheet'!G189</f>
        <v>0</v>
      </c>
      <c r="K187" s="41">
        <v>1005</v>
      </c>
      <c r="L187">
        <f>'Vendor Entry Sheet'!H189</f>
        <v>0</v>
      </c>
      <c r="M187" s="41" t="s">
        <v>41</v>
      </c>
    </row>
    <row r="188" spans="1:13" x14ac:dyDescent="0.35">
      <c r="A188" s="37">
        <f>'Vendor Entry Sheet'!A190</f>
        <v>0</v>
      </c>
      <c r="B188" s="38">
        <f>'Vendor Entry Sheet'!C190</f>
        <v>0</v>
      </c>
      <c r="C188">
        <f>'Vendor Entry Sheet'!I190</f>
        <v>0</v>
      </c>
      <c r="D188" s="39">
        <f>'Vendor Entry Sheet'!J190</f>
        <v>0</v>
      </c>
      <c r="E188">
        <f>'Vendor Entry Sheet'!D190</f>
        <v>0</v>
      </c>
      <c r="F188">
        <f>'Vendor Entry Sheet'!E190</f>
        <v>0</v>
      </c>
      <c r="H188" s="40">
        <f>'Vendor Entry Sheet'!F190</f>
        <v>0</v>
      </c>
      <c r="I188">
        <f>'Vendor Entry Sheet'!G190</f>
        <v>0</v>
      </c>
      <c r="K188" s="41">
        <v>1005</v>
      </c>
      <c r="L188">
        <f>'Vendor Entry Sheet'!H190</f>
        <v>0</v>
      </c>
      <c r="M188" s="41" t="s">
        <v>41</v>
      </c>
    </row>
    <row r="189" spans="1:13" x14ac:dyDescent="0.35">
      <c r="A189" s="37">
        <f>'Vendor Entry Sheet'!A191</f>
        <v>0</v>
      </c>
      <c r="B189" s="38">
        <f>'Vendor Entry Sheet'!C191</f>
        <v>0</v>
      </c>
      <c r="C189">
        <f>'Vendor Entry Sheet'!I191</f>
        <v>0</v>
      </c>
      <c r="D189" s="39">
        <f>'Vendor Entry Sheet'!J191</f>
        <v>0</v>
      </c>
      <c r="E189">
        <f>'Vendor Entry Sheet'!D191</f>
        <v>0</v>
      </c>
      <c r="F189">
        <f>'Vendor Entry Sheet'!E191</f>
        <v>0</v>
      </c>
      <c r="H189" s="40">
        <f>'Vendor Entry Sheet'!F191</f>
        <v>0</v>
      </c>
      <c r="I189">
        <f>'Vendor Entry Sheet'!G191</f>
        <v>0</v>
      </c>
      <c r="K189" s="41">
        <v>1005</v>
      </c>
      <c r="L189">
        <f>'Vendor Entry Sheet'!H191</f>
        <v>0</v>
      </c>
      <c r="M189" s="41" t="s">
        <v>41</v>
      </c>
    </row>
    <row r="190" spans="1:13" x14ac:dyDescent="0.35">
      <c r="A190" s="37">
        <f>'Vendor Entry Sheet'!A192</f>
        <v>0</v>
      </c>
      <c r="B190" s="38">
        <f>'Vendor Entry Sheet'!C192</f>
        <v>0</v>
      </c>
      <c r="C190">
        <f>'Vendor Entry Sheet'!I192</f>
        <v>0</v>
      </c>
      <c r="D190" s="39">
        <f>'Vendor Entry Sheet'!J192</f>
        <v>0</v>
      </c>
      <c r="E190">
        <f>'Vendor Entry Sheet'!D192</f>
        <v>0</v>
      </c>
      <c r="F190">
        <f>'Vendor Entry Sheet'!E192</f>
        <v>0</v>
      </c>
      <c r="H190" s="40">
        <f>'Vendor Entry Sheet'!F192</f>
        <v>0</v>
      </c>
      <c r="I190">
        <f>'Vendor Entry Sheet'!G192</f>
        <v>0</v>
      </c>
      <c r="K190" s="41">
        <v>1005</v>
      </c>
      <c r="L190">
        <f>'Vendor Entry Sheet'!H192</f>
        <v>0</v>
      </c>
      <c r="M190" s="41" t="s">
        <v>41</v>
      </c>
    </row>
    <row r="191" spans="1:13" x14ac:dyDescent="0.35">
      <c r="A191" s="37">
        <f>'Vendor Entry Sheet'!A193</f>
        <v>0</v>
      </c>
      <c r="B191" s="38">
        <f>'Vendor Entry Sheet'!C193</f>
        <v>0</v>
      </c>
      <c r="C191">
        <f>'Vendor Entry Sheet'!I193</f>
        <v>0</v>
      </c>
      <c r="D191" s="39">
        <f>'Vendor Entry Sheet'!J193</f>
        <v>0</v>
      </c>
      <c r="E191">
        <f>'Vendor Entry Sheet'!D193</f>
        <v>0</v>
      </c>
      <c r="F191">
        <f>'Vendor Entry Sheet'!E193</f>
        <v>0</v>
      </c>
      <c r="H191" s="40">
        <f>'Vendor Entry Sheet'!F193</f>
        <v>0</v>
      </c>
      <c r="I191">
        <f>'Vendor Entry Sheet'!G193</f>
        <v>0</v>
      </c>
      <c r="K191" s="41">
        <v>1005</v>
      </c>
      <c r="L191">
        <f>'Vendor Entry Sheet'!H193</f>
        <v>0</v>
      </c>
      <c r="M191" s="41" t="s">
        <v>41</v>
      </c>
    </row>
    <row r="192" spans="1:13" x14ac:dyDescent="0.35">
      <c r="A192" s="37">
        <f>'Vendor Entry Sheet'!A194</f>
        <v>0</v>
      </c>
      <c r="B192" s="38">
        <f>'Vendor Entry Sheet'!C194</f>
        <v>0</v>
      </c>
      <c r="C192">
        <f>'Vendor Entry Sheet'!I194</f>
        <v>0</v>
      </c>
      <c r="D192" s="39">
        <f>'Vendor Entry Sheet'!J194</f>
        <v>0</v>
      </c>
      <c r="E192">
        <f>'Vendor Entry Sheet'!D194</f>
        <v>0</v>
      </c>
      <c r="F192">
        <f>'Vendor Entry Sheet'!E194</f>
        <v>0</v>
      </c>
      <c r="H192" s="40">
        <f>'Vendor Entry Sheet'!F194</f>
        <v>0</v>
      </c>
      <c r="I192">
        <f>'Vendor Entry Sheet'!G194</f>
        <v>0</v>
      </c>
      <c r="K192" s="41">
        <v>1005</v>
      </c>
      <c r="L192">
        <f>'Vendor Entry Sheet'!H194</f>
        <v>0</v>
      </c>
      <c r="M192" s="41" t="s">
        <v>41</v>
      </c>
    </row>
    <row r="193" spans="1:13" x14ac:dyDescent="0.35">
      <c r="A193" s="37">
        <f>'Vendor Entry Sheet'!A195</f>
        <v>0</v>
      </c>
      <c r="B193" s="38">
        <f>'Vendor Entry Sheet'!C195</f>
        <v>0</v>
      </c>
      <c r="C193">
        <f>'Vendor Entry Sheet'!I195</f>
        <v>0</v>
      </c>
      <c r="D193" s="39">
        <f>'Vendor Entry Sheet'!J195</f>
        <v>0</v>
      </c>
      <c r="E193">
        <f>'Vendor Entry Sheet'!D195</f>
        <v>0</v>
      </c>
      <c r="F193">
        <f>'Vendor Entry Sheet'!E195</f>
        <v>0</v>
      </c>
      <c r="H193" s="40">
        <f>'Vendor Entry Sheet'!F195</f>
        <v>0</v>
      </c>
      <c r="I193">
        <f>'Vendor Entry Sheet'!G195</f>
        <v>0</v>
      </c>
      <c r="K193" s="41">
        <v>1005</v>
      </c>
      <c r="L193">
        <f>'Vendor Entry Sheet'!H195</f>
        <v>0</v>
      </c>
      <c r="M193" s="41" t="s">
        <v>41</v>
      </c>
    </row>
    <row r="194" spans="1:13" x14ac:dyDescent="0.35">
      <c r="A194" s="37">
        <f>'Vendor Entry Sheet'!A196</f>
        <v>0</v>
      </c>
      <c r="B194" s="38">
        <f>'Vendor Entry Sheet'!C196</f>
        <v>0</v>
      </c>
      <c r="C194">
        <f>'Vendor Entry Sheet'!I196</f>
        <v>0</v>
      </c>
      <c r="D194" s="39">
        <f>'Vendor Entry Sheet'!J196</f>
        <v>0</v>
      </c>
      <c r="E194">
        <f>'Vendor Entry Sheet'!D196</f>
        <v>0</v>
      </c>
      <c r="F194">
        <f>'Vendor Entry Sheet'!E196</f>
        <v>0</v>
      </c>
      <c r="H194" s="40">
        <f>'Vendor Entry Sheet'!F196</f>
        <v>0</v>
      </c>
      <c r="I194">
        <f>'Vendor Entry Sheet'!G196</f>
        <v>0</v>
      </c>
      <c r="K194" s="41">
        <v>1005</v>
      </c>
      <c r="L194">
        <f>'Vendor Entry Sheet'!H196</f>
        <v>0</v>
      </c>
      <c r="M194" s="41" t="s">
        <v>41</v>
      </c>
    </row>
    <row r="195" spans="1:13" x14ac:dyDescent="0.35">
      <c r="A195" s="37">
        <f>'Vendor Entry Sheet'!A197</f>
        <v>0</v>
      </c>
      <c r="B195" s="38">
        <f>'Vendor Entry Sheet'!C197</f>
        <v>0</v>
      </c>
      <c r="C195">
        <f>'Vendor Entry Sheet'!I197</f>
        <v>0</v>
      </c>
      <c r="D195" s="39">
        <f>'Vendor Entry Sheet'!J197</f>
        <v>0</v>
      </c>
      <c r="E195">
        <f>'Vendor Entry Sheet'!D197</f>
        <v>0</v>
      </c>
      <c r="F195">
        <f>'Vendor Entry Sheet'!E197</f>
        <v>0</v>
      </c>
      <c r="H195" s="40">
        <f>'Vendor Entry Sheet'!F197</f>
        <v>0</v>
      </c>
      <c r="I195">
        <f>'Vendor Entry Sheet'!G197</f>
        <v>0</v>
      </c>
      <c r="K195" s="41">
        <v>1005</v>
      </c>
      <c r="L195">
        <f>'Vendor Entry Sheet'!H197</f>
        <v>0</v>
      </c>
      <c r="M195" s="41" t="s">
        <v>41</v>
      </c>
    </row>
    <row r="196" spans="1:13" x14ac:dyDescent="0.35">
      <c r="A196" s="37">
        <f>'Vendor Entry Sheet'!A198</f>
        <v>0</v>
      </c>
      <c r="B196" s="38">
        <f>'Vendor Entry Sheet'!C198</f>
        <v>0</v>
      </c>
      <c r="C196">
        <f>'Vendor Entry Sheet'!I198</f>
        <v>0</v>
      </c>
      <c r="D196" s="39">
        <f>'Vendor Entry Sheet'!J198</f>
        <v>0</v>
      </c>
      <c r="E196">
        <f>'Vendor Entry Sheet'!D198</f>
        <v>0</v>
      </c>
      <c r="F196">
        <f>'Vendor Entry Sheet'!E198</f>
        <v>0</v>
      </c>
      <c r="H196" s="40">
        <f>'Vendor Entry Sheet'!F198</f>
        <v>0</v>
      </c>
      <c r="I196">
        <f>'Vendor Entry Sheet'!G198</f>
        <v>0</v>
      </c>
      <c r="K196" s="41">
        <v>1005</v>
      </c>
      <c r="L196">
        <f>'Vendor Entry Sheet'!H198</f>
        <v>0</v>
      </c>
      <c r="M196" s="41" t="s">
        <v>41</v>
      </c>
    </row>
    <row r="197" spans="1:13" x14ac:dyDescent="0.35">
      <c r="A197" s="37">
        <f>'Vendor Entry Sheet'!A199</f>
        <v>0</v>
      </c>
      <c r="B197" s="38">
        <f>'Vendor Entry Sheet'!C199</f>
        <v>0</v>
      </c>
      <c r="C197">
        <f>'Vendor Entry Sheet'!I199</f>
        <v>0</v>
      </c>
      <c r="D197" s="39">
        <f>'Vendor Entry Sheet'!J199</f>
        <v>0</v>
      </c>
      <c r="E197">
        <f>'Vendor Entry Sheet'!D199</f>
        <v>0</v>
      </c>
      <c r="F197">
        <f>'Vendor Entry Sheet'!E199</f>
        <v>0</v>
      </c>
      <c r="H197" s="40">
        <f>'Vendor Entry Sheet'!F199</f>
        <v>0</v>
      </c>
      <c r="I197">
        <f>'Vendor Entry Sheet'!G199</f>
        <v>0</v>
      </c>
      <c r="K197" s="41">
        <v>1005</v>
      </c>
      <c r="L197">
        <f>'Vendor Entry Sheet'!H199</f>
        <v>0</v>
      </c>
      <c r="M197" s="41" t="s">
        <v>41</v>
      </c>
    </row>
    <row r="198" spans="1:13" x14ac:dyDescent="0.35">
      <c r="A198" s="37">
        <f>'Vendor Entry Sheet'!A200</f>
        <v>0</v>
      </c>
      <c r="B198" s="38">
        <f>'Vendor Entry Sheet'!C200</f>
        <v>0</v>
      </c>
      <c r="C198">
        <f>'Vendor Entry Sheet'!I200</f>
        <v>0</v>
      </c>
      <c r="D198" s="39">
        <f>'Vendor Entry Sheet'!J200</f>
        <v>0</v>
      </c>
      <c r="E198">
        <f>'Vendor Entry Sheet'!D200</f>
        <v>0</v>
      </c>
      <c r="F198">
        <f>'Vendor Entry Sheet'!E200</f>
        <v>0</v>
      </c>
      <c r="H198" s="40">
        <f>'Vendor Entry Sheet'!F200</f>
        <v>0</v>
      </c>
      <c r="I198">
        <f>'Vendor Entry Sheet'!G200</f>
        <v>0</v>
      </c>
      <c r="K198" s="41">
        <v>1005</v>
      </c>
      <c r="L198">
        <f>'Vendor Entry Sheet'!H200</f>
        <v>0</v>
      </c>
      <c r="M198" s="41" t="s">
        <v>41</v>
      </c>
    </row>
    <row r="199" spans="1:13" x14ac:dyDescent="0.35">
      <c r="A199" s="37">
        <f>'Vendor Entry Sheet'!A201</f>
        <v>0</v>
      </c>
      <c r="B199" s="38">
        <f>'Vendor Entry Sheet'!C201</f>
        <v>0</v>
      </c>
      <c r="C199">
        <f>'Vendor Entry Sheet'!I201</f>
        <v>0</v>
      </c>
      <c r="D199" s="39">
        <f>'Vendor Entry Sheet'!J201</f>
        <v>0</v>
      </c>
      <c r="E199">
        <f>'Vendor Entry Sheet'!D201</f>
        <v>0</v>
      </c>
      <c r="F199">
        <f>'Vendor Entry Sheet'!E201</f>
        <v>0</v>
      </c>
      <c r="H199" s="40">
        <f>'Vendor Entry Sheet'!F201</f>
        <v>0</v>
      </c>
      <c r="I199">
        <f>'Vendor Entry Sheet'!G201</f>
        <v>0</v>
      </c>
      <c r="K199" s="41">
        <v>1005</v>
      </c>
      <c r="L199">
        <f>'Vendor Entry Sheet'!H201</f>
        <v>0</v>
      </c>
      <c r="M199" s="41" t="s">
        <v>41</v>
      </c>
    </row>
    <row r="200" spans="1:13" x14ac:dyDescent="0.35">
      <c r="A200" s="37">
        <f>'Vendor Entry Sheet'!A202</f>
        <v>0</v>
      </c>
      <c r="B200" s="38">
        <f>'Vendor Entry Sheet'!C202</f>
        <v>0</v>
      </c>
      <c r="C200">
        <f>'Vendor Entry Sheet'!I202</f>
        <v>0</v>
      </c>
      <c r="D200" s="39">
        <f>'Vendor Entry Sheet'!J202</f>
        <v>0</v>
      </c>
      <c r="E200">
        <f>'Vendor Entry Sheet'!D202</f>
        <v>0</v>
      </c>
      <c r="F200">
        <f>'Vendor Entry Sheet'!E202</f>
        <v>0</v>
      </c>
      <c r="H200" s="40">
        <f>'Vendor Entry Sheet'!F202</f>
        <v>0</v>
      </c>
      <c r="I200">
        <f>'Vendor Entry Sheet'!G202</f>
        <v>0</v>
      </c>
      <c r="K200" s="41">
        <v>1005</v>
      </c>
      <c r="L200">
        <f>'Vendor Entry Sheet'!H202</f>
        <v>0</v>
      </c>
      <c r="M200" s="41" t="s">
        <v>41</v>
      </c>
    </row>
    <row r="201" spans="1:13" x14ac:dyDescent="0.35">
      <c r="A201" s="37">
        <f>'Vendor Entry Sheet'!A203</f>
        <v>0</v>
      </c>
      <c r="B201" s="38">
        <f>'Vendor Entry Sheet'!C203</f>
        <v>0</v>
      </c>
      <c r="C201">
        <f>'Vendor Entry Sheet'!I203</f>
        <v>0</v>
      </c>
      <c r="D201" s="39">
        <f>'Vendor Entry Sheet'!J203</f>
        <v>0</v>
      </c>
      <c r="E201">
        <f>'Vendor Entry Sheet'!D203</f>
        <v>0</v>
      </c>
      <c r="F201">
        <f>'Vendor Entry Sheet'!E203</f>
        <v>0</v>
      </c>
      <c r="H201" s="40">
        <f>'Vendor Entry Sheet'!F203</f>
        <v>0</v>
      </c>
      <c r="I201">
        <f>'Vendor Entry Sheet'!G203</f>
        <v>0</v>
      </c>
      <c r="K201" s="41">
        <v>1005</v>
      </c>
      <c r="L201">
        <f>'Vendor Entry Sheet'!H203</f>
        <v>0</v>
      </c>
      <c r="M201" s="41" t="s">
        <v>41</v>
      </c>
    </row>
    <row r="202" spans="1:13" x14ac:dyDescent="0.35">
      <c r="A202" s="37">
        <f>'Vendor Entry Sheet'!A204</f>
        <v>0</v>
      </c>
      <c r="B202" s="38">
        <f>'Vendor Entry Sheet'!C204</f>
        <v>0</v>
      </c>
      <c r="C202">
        <f>'Vendor Entry Sheet'!I204</f>
        <v>0</v>
      </c>
      <c r="D202" s="39">
        <f>'Vendor Entry Sheet'!J204</f>
        <v>0</v>
      </c>
      <c r="E202">
        <f>'Vendor Entry Sheet'!D204</f>
        <v>0</v>
      </c>
      <c r="F202">
        <f>'Vendor Entry Sheet'!E204</f>
        <v>0</v>
      </c>
      <c r="H202" s="40">
        <f>'Vendor Entry Sheet'!F204</f>
        <v>0</v>
      </c>
      <c r="I202">
        <f>'Vendor Entry Sheet'!G204</f>
        <v>0</v>
      </c>
      <c r="K202" s="41">
        <v>1005</v>
      </c>
      <c r="L202">
        <f>'Vendor Entry Sheet'!H204</f>
        <v>0</v>
      </c>
      <c r="M202" s="41" t="s">
        <v>41</v>
      </c>
    </row>
    <row r="203" spans="1:13" x14ac:dyDescent="0.35">
      <c r="A203" s="37">
        <f>'Vendor Entry Sheet'!A205</f>
        <v>0</v>
      </c>
      <c r="B203" s="38">
        <f>'Vendor Entry Sheet'!C205</f>
        <v>0</v>
      </c>
      <c r="C203">
        <f>'Vendor Entry Sheet'!I205</f>
        <v>0</v>
      </c>
      <c r="D203" s="39">
        <f>'Vendor Entry Sheet'!J205</f>
        <v>0</v>
      </c>
      <c r="E203">
        <f>'Vendor Entry Sheet'!D205</f>
        <v>0</v>
      </c>
      <c r="F203">
        <f>'Vendor Entry Sheet'!E205</f>
        <v>0</v>
      </c>
      <c r="H203" s="40">
        <f>'Vendor Entry Sheet'!F205</f>
        <v>0</v>
      </c>
      <c r="I203">
        <f>'Vendor Entry Sheet'!G205</f>
        <v>0</v>
      </c>
      <c r="K203" s="41">
        <v>1005</v>
      </c>
      <c r="L203">
        <f>'Vendor Entry Sheet'!H205</f>
        <v>0</v>
      </c>
      <c r="M203" s="41" t="s">
        <v>41</v>
      </c>
    </row>
    <row r="204" spans="1:13" x14ac:dyDescent="0.35">
      <c r="A204" s="37">
        <f>'Vendor Entry Sheet'!A206</f>
        <v>0</v>
      </c>
      <c r="B204" s="38">
        <f>'Vendor Entry Sheet'!C206</f>
        <v>0</v>
      </c>
      <c r="C204">
        <f>'Vendor Entry Sheet'!I206</f>
        <v>0</v>
      </c>
      <c r="D204" s="39">
        <f>'Vendor Entry Sheet'!J206</f>
        <v>0</v>
      </c>
      <c r="E204">
        <f>'Vendor Entry Sheet'!D206</f>
        <v>0</v>
      </c>
      <c r="F204">
        <f>'Vendor Entry Sheet'!E206</f>
        <v>0</v>
      </c>
      <c r="H204" s="40">
        <f>'Vendor Entry Sheet'!F206</f>
        <v>0</v>
      </c>
      <c r="I204">
        <f>'Vendor Entry Sheet'!G206</f>
        <v>0</v>
      </c>
      <c r="K204" s="41">
        <v>1005</v>
      </c>
      <c r="L204">
        <f>'Vendor Entry Sheet'!H206</f>
        <v>0</v>
      </c>
      <c r="M204" s="41" t="s">
        <v>41</v>
      </c>
    </row>
    <row r="205" spans="1:13" x14ac:dyDescent="0.35">
      <c r="A205" s="37">
        <f>'Vendor Entry Sheet'!A207</f>
        <v>0</v>
      </c>
      <c r="B205" s="38">
        <f>'Vendor Entry Sheet'!C207</f>
        <v>0</v>
      </c>
      <c r="C205">
        <f>'Vendor Entry Sheet'!I207</f>
        <v>0</v>
      </c>
      <c r="D205" s="39">
        <f>'Vendor Entry Sheet'!J207</f>
        <v>0</v>
      </c>
      <c r="E205">
        <f>'Vendor Entry Sheet'!D207</f>
        <v>0</v>
      </c>
      <c r="F205">
        <f>'Vendor Entry Sheet'!E207</f>
        <v>0</v>
      </c>
      <c r="H205" s="40">
        <f>'Vendor Entry Sheet'!F207</f>
        <v>0</v>
      </c>
      <c r="I205">
        <f>'Vendor Entry Sheet'!G207</f>
        <v>0</v>
      </c>
      <c r="K205" s="41">
        <v>1005</v>
      </c>
      <c r="L205">
        <f>'Vendor Entry Sheet'!H207</f>
        <v>0</v>
      </c>
      <c r="M205" s="41" t="s">
        <v>41</v>
      </c>
    </row>
    <row r="206" spans="1:13" x14ac:dyDescent="0.35">
      <c r="A206" s="37">
        <f>'Vendor Entry Sheet'!A208</f>
        <v>0</v>
      </c>
      <c r="B206" s="38">
        <f>'Vendor Entry Sheet'!C208</f>
        <v>0</v>
      </c>
      <c r="C206">
        <f>'Vendor Entry Sheet'!I208</f>
        <v>0</v>
      </c>
      <c r="D206" s="39">
        <f>'Vendor Entry Sheet'!J208</f>
        <v>0</v>
      </c>
      <c r="E206">
        <f>'Vendor Entry Sheet'!D208</f>
        <v>0</v>
      </c>
      <c r="F206">
        <f>'Vendor Entry Sheet'!E208</f>
        <v>0</v>
      </c>
      <c r="H206" s="40">
        <f>'Vendor Entry Sheet'!F208</f>
        <v>0</v>
      </c>
      <c r="I206">
        <f>'Vendor Entry Sheet'!G208</f>
        <v>0</v>
      </c>
      <c r="K206" s="41">
        <v>1005</v>
      </c>
      <c r="L206">
        <f>'Vendor Entry Sheet'!H208</f>
        <v>0</v>
      </c>
      <c r="M206" s="41" t="s">
        <v>41</v>
      </c>
    </row>
    <row r="207" spans="1:13" x14ac:dyDescent="0.35">
      <c r="A207" s="37">
        <f>'Vendor Entry Sheet'!A209</f>
        <v>0</v>
      </c>
      <c r="B207" s="38">
        <f>'Vendor Entry Sheet'!C209</f>
        <v>0</v>
      </c>
      <c r="C207">
        <f>'Vendor Entry Sheet'!I209</f>
        <v>0</v>
      </c>
      <c r="D207" s="39">
        <f>'Vendor Entry Sheet'!J209</f>
        <v>0</v>
      </c>
      <c r="E207">
        <f>'Vendor Entry Sheet'!D209</f>
        <v>0</v>
      </c>
      <c r="F207">
        <f>'Vendor Entry Sheet'!E209</f>
        <v>0</v>
      </c>
      <c r="H207" s="40">
        <f>'Vendor Entry Sheet'!F209</f>
        <v>0</v>
      </c>
      <c r="I207">
        <f>'Vendor Entry Sheet'!G209</f>
        <v>0</v>
      </c>
      <c r="K207" s="41">
        <v>1005</v>
      </c>
      <c r="L207">
        <f>'Vendor Entry Sheet'!H209</f>
        <v>0</v>
      </c>
      <c r="M207" s="41" t="s">
        <v>41</v>
      </c>
    </row>
    <row r="208" spans="1:13" x14ac:dyDescent="0.35">
      <c r="A208" s="37">
        <f>'Vendor Entry Sheet'!A210</f>
        <v>0</v>
      </c>
      <c r="B208" s="38">
        <f>'Vendor Entry Sheet'!C210</f>
        <v>0</v>
      </c>
      <c r="C208">
        <f>'Vendor Entry Sheet'!I210</f>
        <v>0</v>
      </c>
      <c r="D208" s="39">
        <f>'Vendor Entry Sheet'!J210</f>
        <v>0</v>
      </c>
      <c r="E208">
        <f>'Vendor Entry Sheet'!D210</f>
        <v>0</v>
      </c>
      <c r="F208">
        <f>'Vendor Entry Sheet'!E210</f>
        <v>0</v>
      </c>
      <c r="H208" s="40">
        <f>'Vendor Entry Sheet'!F210</f>
        <v>0</v>
      </c>
      <c r="I208">
        <f>'Vendor Entry Sheet'!G210</f>
        <v>0</v>
      </c>
      <c r="K208" s="41">
        <v>1005</v>
      </c>
      <c r="L208">
        <f>'Vendor Entry Sheet'!H210</f>
        <v>0</v>
      </c>
      <c r="M208" s="41" t="s">
        <v>41</v>
      </c>
    </row>
    <row r="209" spans="1:13" x14ac:dyDescent="0.35">
      <c r="A209" s="37">
        <f>'Vendor Entry Sheet'!A211</f>
        <v>0</v>
      </c>
      <c r="B209" s="38">
        <f>'Vendor Entry Sheet'!C211</f>
        <v>0</v>
      </c>
      <c r="C209">
        <f>'Vendor Entry Sheet'!I211</f>
        <v>0</v>
      </c>
      <c r="D209" s="39">
        <f>'Vendor Entry Sheet'!J211</f>
        <v>0</v>
      </c>
      <c r="E209">
        <f>'Vendor Entry Sheet'!D211</f>
        <v>0</v>
      </c>
      <c r="F209">
        <f>'Vendor Entry Sheet'!E211</f>
        <v>0</v>
      </c>
      <c r="H209" s="40">
        <f>'Vendor Entry Sheet'!F211</f>
        <v>0</v>
      </c>
      <c r="I209">
        <f>'Vendor Entry Sheet'!G211</f>
        <v>0</v>
      </c>
      <c r="K209" s="41">
        <v>1005</v>
      </c>
      <c r="L209">
        <f>'Vendor Entry Sheet'!H211</f>
        <v>0</v>
      </c>
      <c r="M209" s="41" t="s">
        <v>41</v>
      </c>
    </row>
    <row r="210" spans="1:13" x14ac:dyDescent="0.35">
      <c r="A210" s="37">
        <f>'Vendor Entry Sheet'!A212</f>
        <v>0</v>
      </c>
      <c r="B210" s="38">
        <f>'Vendor Entry Sheet'!C212</f>
        <v>0</v>
      </c>
      <c r="C210">
        <f>'Vendor Entry Sheet'!I212</f>
        <v>0</v>
      </c>
      <c r="D210" s="39">
        <f>'Vendor Entry Sheet'!J212</f>
        <v>0</v>
      </c>
      <c r="E210">
        <f>'Vendor Entry Sheet'!D212</f>
        <v>0</v>
      </c>
      <c r="F210">
        <f>'Vendor Entry Sheet'!E212</f>
        <v>0</v>
      </c>
      <c r="H210" s="40">
        <f>'Vendor Entry Sheet'!F212</f>
        <v>0</v>
      </c>
      <c r="I210">
        <f>'Vendor Entry Sheet'!G212</f>
        <v>0</v>
      </c>
      <c r="K210" s="41">
        <v>1005</v>
      </c>
      <c r="L210">
        <f>'Vendor Entry Sheet'!H212</f>
        <v>0</v>
      </c>
      <c r="M210" s="41" t="s">
        <v>41</v>
      </c>
    </row>
    <row r="211" spans="1:13" x14ac:dyDescent="0.35">
      <c r="A211" s="37">
        <f>'Vendor Entry Sheet'!A213</f>
        <v>0</v>
      </c>
      <c r="B211" s="38">
        <f>'Vendor Entry Sheet'!C213</f>
        <v>0</v>
      </c>
      <c r="C211">
        <f>'Vendor Entry Sheet'!I213</f>
        <v>0</v>
      </c>
      <c r="D211" s="39">
        <f>'Vendor Entry Sheet'!J213</f>
        <v>0</v>
      </c>
      <c r="E211">
        <f>'Vendor Entry Sheet'!D213</f>
        <v>0</v>
      </c>
      <c r="F211">
        <f>'Vendor Entry Sheet'!E213</f>
        <v>0</v>
      </c>
      <c r="H211" s="40">
        <f>'Vendor Entry Sheet'!F213</f>
        <v>0</v>
      </c>
      <c r="I211">
        <f>'Vendor Entry Sheet'!G213</f>
        <v>0</v>
      </c>
      <c r="K211" s="41">
        <v>1005</v>
      </c>
      <c r="L211">
        <f>'Vendor Entry Sheet'!H213</f>
        <v>0</v>
      </c>
      <c r="M211" s="41" t="s">
        <v>41</v>
      </c>
    </row>
    <row r="212" spans="1:13" x14ac:dyDescent="0.35">
      <c r="A212" s="37">
        <f>'Vendor Entry Sheet'!A214</f>
        <v>0</v>
      </c>
      <c r="B212" s="38">
        <f>'Vendor Entry Sheet'!C214</f>
        <v>0</v>
      </c>
      <c r="C212">
        <f>'Vendor Entry Sheet'!I214</f>
        <v>0</v>
      </c>
      <c r="D212" s="39">
        <f>'Vendor Entry Sheet'!J214</f>
        <v>0</v>
      </c>
      <c r="E212">
        <f>'Vendor Entry Sheet'!D214</f>
        <v>0</v>
      </c>
      <c r="F212">
        <f>'Vendor Entry Sheet'!E214</f>
        <v>0</v>
      </c>
      <c r="H212" s="40">
        <f>'Vendor Entry Sheet'!F214</f>
        <v>0</v>
      </c>
      <c r="I212">
        <f>'Vendor Entry Sheet'!G214</f>
        <v>0</v>
      </c>
      <c r="K212" s="41">
        <v>1005</v>
      </c>
      <c r="L212">
        <f>'Vendor Entry Sheet'!H214</f>
        <v>0</v>
      </c>
      <c r="M212" s="41" t="s">
        <v>41</v>
      </c>
    </row>
    <row r="213" spans="1:13" x14ac:dyDescent="0.35">
      <c r="A213" s="37">
        <f>'Vendor Entry Sheet'!A215</f>
        <v>0</v>
      </c>
      <c r="B213" s="38">
        <f>'Vendor Entry Sheet'!C215</f>
        <v>0</v>
      </c>
      <c r="C213">
        <f>'Vendor Entry Sheet'!I215</f>
        <v>0</v>
      </c>
      <c r="D213" s="39">
        <f>'Vendor Entry Sheet'!J215</f>
        <v>0</v>
      </c>
      <c r="E213">
        <f>'Vendor Entry Sheet'!D215</f>
        <v>0</v>
      </c>
      <c r="F213">
        <f>'Vendor Entry Sheet'!E215</f>
        <v>0</v>
      </c>
      <c r="H213" s="40">
        <f>'Vendor Entry Sheet'!F215</f>
        <v>0</v>
      </c>
      <c r="I213">
        <f>'Vendor Entry Sheet'!G215</f>
        <v>0</v>
      </c>
      <c r="K213" s="41">
        <v>1005</v>
      </c>
      <c r="L213">
        <f>'Vendor Entry Sheet'!H215</f>
        <v>0</v>
      </c>
      <c r="M213" s="41" t="s">
        <v>41</v>
      </c>
    </row>
    <row r="214" spans="1:13" x14ac:dyDescent="0.35">
      <c r="A214" s="37">
        <f>'Vendor Entry Sheet'!A216</f>
        <v>0</v>
      </c>
      <c r="B214" s="38">
        <f>'Vendor Entry Sheet'!C216</f>
        <v>0</v>
      </c>
      <c r="C214">
        <f>'Vendor Entry Sheet'!I216</f>
        <v>0</v>
      </c>
      <c r="D214" s="39">
        <f>'Vendor Entry Sheet'!J216</f>
        <v>0</v>
      </c>
      <c r="E214">
        <f>'Vendor Entry Sheet'!D216</f>
        <v>0</v>
      </c>
      <c r="F214">
        <f>'Vendor Entry Sheet'!E216</f>
        <v>0</v>
      </c>
      <c r="H214" s="40">
        <f>'Vendor Entry Sheet'!F216</f>
        <v>0</v>
      </c>
      <c r="I214">
        <f>'Vendor Entry Sheet'!G216</f>
        <v>0</v>
      </c>
      <c r="K214" s="41">
        <v>1005</v>
      </c>
      <c r="L214">
        <f>'Vendor Entry Sheet'!H216</f>
        <v>0</v>
      </c>
      <c r="M214" s="41" t="s">
        <v>41</v>
      </c>
    </row>
    <row r="215" spans="1:13" x14ac:dyDescent="0.35">
      <c r="A215" s="37">
        <f>'Vendor Entry Sheet'!A217</f>
        <v>0</v>
      </c>
      <c r="B215" s="38">
        <f>'Vendor Entry Sheet'!C217</f>
        <v>0</v>
      </c>
      <c r="C215">
        <f>'Vendor Entry Sheet'!I217</f>
        <v>0</v>
      </c>
      <c r="D215" s="39">
        <f>'Vendor Entry Sheet'!J217</f>
        <v>0</v>
      </c>
      <c r="E215">
        <f>'Vendor Entry Sheet'!D217</f>
        <v>0</v>
      </c>
      <c r="F215">
        <f>'Vendor Entry Sheet'!E217</f>
        <v>0</v>
      </c>
      <c r="H215" s="40">
        <f>'Vendor Entry Sheet'!F217</f>
        <v>0</v>
      </c>
      <c r="I215">
        <f>'Vendor Entry Sheet'!G217</f>
        <v>0</v>
      </c>
      <c r="K215" s="41">
        <v>1005</v>
      </c>
      <c r="L215">
        <f>'Vendor Entry Sheet'!H217</f>
        <v>0</v>
      </c>
      <c r="M215" s="41" t="s">
        <v>41</v>
      </c>
    </row>
    <row r="216" spans="1:13" x14ac:dyDescent="0.35">
      <c r="A216" s="37">
        <f>'Vendor Entry Sheet'!A218</f>
        <v>0</v>
      </c>
      <c r="B216" s="38">
        <f>'Vendor Entry Sheet'!C218</f>
        <v>0</v>
      </c>
      <c r="C216">
        <f>'Vendor Entry Sheet'!I218</f>
        <v>0</v>
      </c>
      <c r="D216" s="39">
        <f>'Vendor Entry Sheet'!J218</f>
        <v>0</v>
      </c>
      <c r="E216">
        <f>'Vendor Entry Sheet'!D218</f>
        <v>0</v>
      </c>
      <c r="F216">
        <f>'Vendor Entry Sheet'!E218</f>
        <v>0</v>
      </c>
      <c r="H216" s="40">
        <f>'Vendor Entry Sheet'!F218</f>
        <v>0</v>
      </c>
      <c r="I216">
        <f>'Vendor Entry Sheet'!G218</f>
        <v>0</v>
      </c>
      <c r="K216" s="41">
        <v>1005</v>
      </c>
      <c r="L216">
        <f>'Vendor Entry Sheet'!H218</f>
        <v>0</v>
      </c>
      <c r="M216" s="41" t="s">
        <v>41</v>
      </c>
    </row>
    <row r="217" spans="1:13" x14ac:dyDescent="0.35">
      <c r="A217" s="37">
        <f>'Vendor Entry Sheet'!A219</f>
        <v>0</v>
      </c>
      <c r="B217" s="38">
        <f>'Vendor Entry Sheet'!C219</f>
        <v>0</v>
      </c>
      <c r="C217">
        <f>'Vendor Entry Sheet'!I219</f>
        <v>0</v>
      </c>
      <c r="D217" s="39">
        <f>'Vendor Entry Sheet'!J219</f>
        <v>0</v>
      </c>
      <c r="E217">
        <f>'Vendor Entry Sheet'!D219</f>
        <v>0</v>
      </c>
      <c r="F217">
        <f>'Vendor Entry Sheet'!E219</f>
        <v>0</v>
      </c>
      <c r="H217" s="40">
        <f>'Vendor Entry Sheet'!F219</f>
        <v>0</v>
      </c>
      <c r="I217">
        <f>'Vendor Entry Sheet'!G219</f>
        <v>0</v>
      </c>
      <c r="K217" s="41">
        <v>1005</v>
      </c>
      <c r="L217">
        <f>'Vendor Entry Sheet'!H219</f>
        <v>0</v>
      </c>
      <c r="M217" s="41" t="s">
        <v>41</v>
      </c>
    </row>
    <row r="218" spans="1:13" x14ac:dyDescent="0.35">
      <c r="A218" s="37">
        <f>'Vendor Entry Sheet'!A220</f>
        <v>0</v>
      </c>
      <c r="B218" s="38">
        <f>'Vendor Entry Sheet'!C220</f>
        <v>0</v>
      </c>
      <c r="C218">
        <f>'Vendor Entry Sheet'!I220</f>
        <v>0</v>
      </c>
      <c r="D218" s="39">
        <f>'Vendor Entry Sheet'!J220</f>
        <v>0</v>
      </c>
      <c r="E218">
        <f>'Vendor Entry Sheet'!D220</f>
        <v>0</v>
      </c>
      <c r="F218">
        <f>'Vendor Entry Sheet'!E220</f>
        <v>0</v>
      </c>
      <c r="H218" s="40">
        <f>'Vendor Entry Sheet'!F220</f>
        <v>0</v>
      </c>
      <c r="I218">
        <f>'Vendor Entry Sheet'!G220</f>
        <v>0</v>
      </c>
      <c r="K218" s="41">
        <v>1005</v>
      </c>
      <c r="L218">
        <f>'Vendor Entry Sheet'!H220</f>
        <v>0</v>
      </c>
      <c r="M218" s="41" t="s">
        <v>41</v>
      </c>
    </row>
    <row r="219" spans="1:13" x14ac:dyDescent="0.35">
      <c r="A219" s="37">
        <f>'Vendor Entry Sheet'!A221</f>
        <v>0</v>
      </c>
      <c r="B219" s="38">
        <f>'Vendor Entry Sheet'!C221</f>
        <v>0</v>
      </c>
      <c r="C219">
        <f>'Vendor Entry Sheet'!I221</f>
        <v>0</v>
      </c>
      <c r="D219" s="39">
        <f>'Vendor Entry Sheet'!J221</f>
        <v>0</v>
      </c>
      <c r="E219">
        <f>'Vendor Entry Sheet'!D221</f>
        <v>0</v>
      </c>
      <c r="F219">
        <f>'Vendor Entry Sheet'!E221</f>
        <v>0</v>
      </c>
      <c r="H219" s="40">
        <f>'Vendor Entry Sheet'!F221</f>
        <v>0</v>
      </c>
      <c r="I219">
        <f>'Vendor Entry Sheet'!G221</f>
        <v>0</v>
      </c>
      <c r="K219" s="41">
        <v>1005</v>
      </c>
      <c r="L219">
        <f>'Vendor Entry Sheet'!H221</f>
        <v>0</v>
      </c>
      <c r="M219" s="41" t="s">
        <v>41</v>
      </c>
    </row>
    <row r="220" spans="1:13" x14ac:dyDescent="0.35">
      <c r="A220" s="37">
        <f>'Vendor Entry Sheet'!A222</f>
        <v>0</v>
      </c>
      <c r="B220" s="38">
        <f>'Vendor Entry Sheet'!C222</f>
        <v>0</v>
      </c>
      <c r="C220">
        <f>'Vendor Entry Sheet'!I222</f>
        <v>0</v>
      </c>
      <c r="D220" s="39">
        <f>'Vendor Entry Sheet'!J222</f>
        <v>0</v>
      </c>
      <c r="E220">
        <f>'Vendor Entry Sheet'!D222</f>
        <v>0</v>
      </c>
      <c r="F220">
        <f>'Vendor Entry Sheet'!E222</f>
        <v>0</v>
      </c>
      <c r="H220" s="40">
        <f>'Vendor Entry Sheet'!F222</f>
        <v>0</v>
      </c>
      <c r="I220">
        <f>'Vendor Entry Sheet'!G222</f>
        <v>0</v>
      </c>
      <c r="K220" s="41">
        <v>1005</v>
      </c>
      <c r="L220">
        <f>'Vendor Entry Sheet'!H222</f>
        <v>0</v>
      </c>
      <c r="M220" s="41" t="s">
        <v>41</v>
      </c>
    </row>
    <row r="221" spans="1:13" x14ac:dyDescent="0.35">
      <c r="A221" s="37">
        <f>'Vendor Entry Sheet'!A223</f>
        <v>0</v>
      </c>
      <c r="B221" s="38">
        <f>'Vendor Entry Sheet'!C223</f>
        <v>0</v>
      </c>
      <c r="C221">
        <f>'Vendor Entry Sheet'!I223</f>
        <v>0</v>
      </c>
      <c r="D221" s="39">
        <f>'Vendor Entry Sheet'!J223</f>
        <v>0</v>
      </c>
      <c r="E221">
        <f>'Vendor Entry Sheet'!D223</f>
        <v>0</v>
      </c>
      <c r="F221">
        <f>'Vendor Entry Sheet'!E223</f>
        <v>0</v>
      </c>
      <c r="H221" s="40">
        <f>'Vendor Entry Sheet'!F223</f>
        <v>0</v>
      </c>
      <c r="I221">
        <f>'Vendor Entry Sheet'!G223</f>
        <v>0</v>
      </c>
      <c r="K221" s="41">
        <v>1005</v>
      </c>
      <c r="L221">
        <f>'Vendor Entry Sheet'!H223</f>
        <v>0</v>
      </c>
      <c r="M221" s="41" t="s">
        <v>41</v>
      </c>
    </row>
    <row r="222" spans="1:13" x14ac:dyDescent="0.35">
      <c r="A222" s="37">
        <f>'Vendor Entry Sheet'!A224</f>
        <v>0</v>
      </c>
      <c r="B222" s="38">
        <f>'Vendor Entry Sheet'!C224</f>
        <v>0</v>
      </c>
      <c r="C222">
        <f>'Vendor Entry Sheet'!I224</f>
        <v>0</v>
      </c>
      <c r="D222" s="39">
        <f>'Vendor Entry Sheet'!J224</f>
        <v>0</v>
      </c>
      <c r="E222">
        <f>'Vendor Entry Sheet'!D224</f>
        <v>0</v>
      </c>
      <c r="F222">
        <f>'Vendor Entry Sheet'!E224</f>
        <v>0</v>
      </c>
      <c r="H222" s="40">
        <f>'Vendor Entry Sheet'!F224</f>
        <v>0</v>
      </c>
      <c r="I222">
        <f>'Vendor Entry Sheet'!G224</f>
        <v>0</v>
      </c>
      <c r="K222" s="41">
        <v>1005</v>
      </c>
      <c r="L222">
        <f>'Vendor Entry Sheet'!H224</f>
        <v>0</v>
      </c>
      <c r="M222" s="41" t="s">
        <v>41</v>
      </c>
    </row>
    <row r="223" spans="1:13" x14ac:dyDescent="0.35">
      <c r="A223" s="37">
        <f>'Vendor Entry Sheet'!A225</f>
        <v>0</v>
      </c>
      <c r="B223" s="38">
        <f>'Vendor Entry Sheet'!C225</f>
        <v>0</v>
      </c>
      <c r="C223">
        <f>'Vendor Entry Sheet'!I225</f>
        <v>0</v>
      </c>
      <c r="D223" s="39">
        <f>'Vendor Entry Sheet'!J225</f>
        <v>0</v>
      </c>
      <c r="E223">
        <f>'Vendor Entry Sheet'!D225</f>
        <v>0</v>
      </c>
      <c r="F223">
        <f>'Vendor Entry Sheet'!E225</f>
        <v>0</v>
      </c>
      <c r="H223" s="40">
        <f>'Vendor Entry Sheet'!F225</f>
        <v>0</v>
      </c>
      <c r="I223">
        <f>'Vendor Entry Sheet'!G225</f>
        <v>0</v>
      </c>
      <c r="K223" s="41">
        <v>1005</v>
      </c>
      <c r="L223">
        <f>'Vendor Entry Sheet'!H225</f>
        <v>0</v>
      </c>
      <c r="M223" s="41" t="s">
        <v>41</v>
      </c>
    </row>
    <row r="224" spans="1:13" x14ac:dyDescent="0.35">
      <c r="A224" s="37">
        <f>'Vendor Entry Sheet'!A226</f>
        <v>0</v>
      </c>
      <c r="B224" s="38">
        <f>'Vendor Entry Sheet'!C226</f>
        <v>0</v>
      </c>
      <c r="C224">
        <f>'Vendor Entry Sheet'!I226</f>
        <v>0</v>
      </c>
      <c r="D224" s="39">
        <f>'Vendor Entry Sheet'!J226</f>
        <v>0</v>
      </c>
      <c r="E224">
        <f>'Vendor Entry Sheet'!D226</f>
        <v>0</v>
      </c>
      <c r="F224">
        <f>'Vendor Entry Sheet'!E226</f>
        <v>0</v>
      </c>
      <c r="H224" s="40">
        <f>'Vendor Entry Sheet'!F226</f>
        <v>0</v>
      </c>
      <c r="I224">
        <f>'Vendor Entry Sheet'!G226</f>
        <v>0</v>
      </c>
      <c r="K224" s="41">
        <v>1005</v>
      </c>
      <c r="L224">
        <f>'Vendor Entry Sheet'!H226</f>
        <v>0</v>
      </c>
      <c r="M224" s="41" t="s">
        <v>41</v>
      </c>
    </row>
    <row r="225" spans="1:13" x14ac:dyDescent="0.35">
      <c r="A225" s="37">
        <f>'Vendor Entry Sheet'!A227</f>
        <v>0</v>
      </c>
      <c r="B225" s="38">
        <f>'Vendor Entry Sheet'!C227</f>
        <v>0</v>
      </c>
      <c r="C225">
        <f>'Vendor Entry Sheet'!I227</f>
        <v>0</v>
      </c>
      <c r="D225" s="39">
        <f>'Vendor Entry Sheet'!J227</f>
        <v>0</v>
      </c>
      <c r="E225">
        <f>'Vendor Entry Sheet'!D227</f>
        <v>0</v>
      </c>
      <c r="F225">
        <f>'Vendor Entry Sheet'!E227</f>
        <v>0</v>
      </c>
      <c r="H225" s="40">
        <f>'Vendor Entry Sheet'!F227</f>
        <v>0</v>
      </c>
      <c r="I225">
        <f>'Vendor Entry Sheet'!G227</f>
        <v>0</v>
      </c>
      <c r="K225" s="41">
        <v>1005</v>
      </c>
      <c r="L225">
        <f>'Vendor Entry Sheet'!H227</f>
        <v>0</v>
      </c>
      <c r="M225" s="41" t="s">
        <v>41</v>
      </c>
    </row>
    <row r="226" spans="1:13" x14ac:dyDescent="0.35">
      <c r="A226" s="37">
        <f>'Vendor Entry Sheet'!A228</f>
        <v>0</v>
      </c>
      <c r="B226" s="38">
        <f>'Vendor Entry Sheet'!C228</f>
        <v>0</v>
      </c>
      <c r="C226">
        <f>'Vendor Entry Sheet'!I228</f>
        <v>0</v>
      </c>
      <c r="D226" s="39">
        <f>'Vendor Entry Sheet'!J228</f>
        <v>0</v>
      </c>
      <c r="E226">
        <f>'Vendor Entry Sheet'!D228</f>
        <v>0</v>
      </c>
      <c r="F226">
        <f>'Vendor Entry Sheet'!E228</f>
        <v>0</v>
      </c>
      <c r="H226" s="40">
        <f>'Vendor Entry Sheet'!F228</f>
        <v>0</v>
      </c>
      <c r="I226">
        <f>'Vendor Entry Sheet'!G228</f>
        <v>0</v>
      </c>
      <c r="K226" s="41">
        <v>1005</v>
      </c>
      <c r="L226">
        <f>'Vendor Entry Sheet'!H228</f>
        <v>0</v>
      </c>
      <c r="M226" s="41" t="s">
        <v>41</v>
      </c>
    </row>
    <row r="227" spans="1:13" x14ac:dyDescent="0.35">
      <c r="A227" s="37">
        <f>'Vendor Entry Sheet'!A229</f>
        <v>0</v>
      </c>
      <c r="B227" s="38">
        <f>'Vendor Entry Sheet'!C229</f>
        <v>0</v>
      </c>
      <c r="C227">
        <f>'Vendor Entry Sheet'!I229</f>
        <v>0</v>
      </c>
      <c r="D227" s="39">
        <f>'Vendor Entry Sheet'!J229</f>
        <v>0</v>
      </c>
      <c r="E227">
        <f>'Vendor Entry Sheet'!D229</f>
        <v>0</v>
      </c>
      <c r="F227">
        <f>'Vendor Entry Sheet'!E229</f>
        <v>0</v>
      </c>
      <c r="H227" s="40">
        <f>'Vendor Entry Sheet'!F229</f>
        <v>0</v>
      </c>
      <c r="I227">
        <f>'Vendor Entry Sheet'!G229</f>
        <v>0</v>
      </c>
      <c r="K227" s="41">
        <v>1005</v>
      </c>
      <c r="L227">
        <f>'Vendor Entry Sheet'!H229</f>
        <v>0</v>
      </c>
      <c r="M227" s="41" t="s">
        <v>41</v>
      </c>
    </row>
    <row r="228" spans="1:13" x14ac:dyDescent="0.35">
      <c r="A228" s="37">
        <f>'Vendor Entry Sheet'!A230</f>
        <v>0</v>
      </c>
      <c r="B228" s="38">
        <f>'Vendor Entry Sheet'!C230</f>
        <v>0</v>
      </c>
      <c r="C228">
        <f>'Vendor Entry Sheet'!I230</f>
        <v>0</v>
      </c>
      <c r="D228" s="39">
        <f>'Vendor Entry Sheet'!J230</f>
        <v>0</v>
      </c>
      <c r="E228">
        <f>'Vendor Entry Sheet'!D230</f>
        <v>0</v>
      </c>
      <c r="F228">
        <f>'Vendor Entry Sheet'!E230</f>
        <v>0</v>
      </c>
      <c r="H228" s="40">
        <f>'Vendor Entry Sheet'!F230</f>
        <v>0</v>
      </c>
      <c r="I228">
        <f>'Vendor Entry Sheet'!G230</f>
        <v>0</v>
      </c>
      <c r="K228" s="41">
        <v>1005</v>
      </c>
      <c r="L228">
        <f>'Vendor Entry Sheet'!H230</f>
        <v>0</v>
      </c>
      <c r="M228" s="41" t="s">
        <v>41</v>
      </c>
    </row>
    <row r="229" spans="1:13" x14ac:dyDescent="0.35">
      <c r="A229" s="37">
        <f>'Vendor Entry Sheet'!A231</f>
        <v>0</v>
      </c>
      <c r="B229" s="38">
        <f>'Vendor Entry Sheet'!C231</f>
        <v>0</v>
      </c>
      <c r="C229">
        <f>'Vendor Entry Sheet'!I231</f>
        <v>0</v>
      </c>
      <c r="D229" s="39">
        <f>'Vendor Entry Sheet'!J231</f>
        <v>0</v>
      </c>
      <c r="E229">
        <f>'Vendor Entry Sheet'!D231</f>
        <v>0</v>
      </c>
      <c r="F229">
        <f>'Vendor Entry Sheet'!E231</f>
        <v>0</v>
      </c>
      <c r="H229" s="40">
        <f>'Vendor Entry Sheet'!F231</f>
        <v>0</v>
      </c>
      <c r="I229">
        <f>'Vendor Entry Sheet'!G231</f>
        <v>0</v>
      </c>
      <c r="K229" s="41">
        <v>1005</v>
      </c>
      <c r="L229">
        <f>'Vendor Entry Sheet'!H231</f>
        <v>0</v>
      </c>
      <c r="M229" s="41" t="s">
        <v>41</v>
      </c>
    </row>
    <row r="230" spans="1:13" x14ac:dyDescent="0.35">
      <c r="A230" s="37">
        <f>'Vendor Entry Sheet'!A232</f>
        <v>0</v>
      </c>
      <c r="B230" s="38">
        <f>'Vendor Entry Sheet'!C232</f>
        <v>0</v>
      </c>
      <c r="C230">
        <f>'Vendor Entry Sheet'!I232</f>
        <v>0</v>
      </c>
      <c r="D230" s="39">
        <f>'Vendor Entry Sheet'!J232</f>
        <v>0</v>
      </c>
      <c r="E230">
        <f>'Vendor Entry Sheet'!D232</f>
        <v>0</v>
      </c>
      <c r="F230">
        <f>'Vendor Entry Sheet'!E232</f>
        <v>0</v>
      </c>
      <c r="H230" s="40">
        <f>'Vendor Entry Sheet'!F232</f>
        <v>0</v>
      </c>
      <c r="I230">
        <f>'Vendor Entry Sheet'!G232</f>
        <v>0</v>
      </c>
      <c r="K230" s="41">
        <v>1005</v>
      </c>
      <c r="L230">
        <f>'Vendor Entry Sheet'!H232</f>
        <v>0</v>
      </c>
      <c r="M230" s="41" t="s">
        <v>41</v>
      </c>
    </row>
    <row r="231" spans="1:13" x14ac:dyDescent="0.35">
      <c r="A231" s="37">
        <f>'Vendor Entry Sheet'!A233</f>
        <v>0</v>
      </c>
      <c r="B231" s="38">
        <f>'Vendor Entry Sheet'!C233</f>
        <v>0</v>
      </c>
      <c r="C231">
        <f>'Vendor Entry Sheet'!I233</f>
        <v>0</v>
      </c>
      <c r="D231" s="39">
        <f>'Vendor Entry Sheet'!J233</f>
        <v>0</v>
      </c>
      <c r="E231">
        <f>'Vendor Entry Sheet'!D233</f>
        <v>0</v>
      </c>
      <c r="F231">
        <f>'Vendor Entry Sheet'!E233</f>
        <v>0</v>
      </c>
      <c r="H231" s="40">
        <f>'Vendor Entry Sheet'!F233</f>
        <v>0</v>
      </c>
      <c r="I231">
        <f>'Vendor Entry Sheet'!G233</f>
        <v>0</v>
      </c>
      <c r="K231" s="41">
        <v>1005</v>
      </c>
      <c r="L231">
        <f>'Vendor Entry Sheet'!H233</f>
        <v>0</v>
      </c>
      <c r="M231" s="41" t="s">
        <v>41</v>
      </c>
    </row>
    <row r="232" spans="1:13" x14ac:dyDescent="0.35">
      <c r="A232" s="37">
        <f>'Vendor Entry Sheet'!A234</f>
        <v>0</v>
      </c>
      <c r="B232" s="38">
        <f>'Vendor Entry Sheet'!C234</f>
        <v>0</v>
      </c>
      <c r="C232">
        <f>'Vendor Entry Sheet'!I234</f>
        <v>0</v>
      </c>
      <c r="D232" s="39">
        <f>'Vendor Entry Sheet'!J234</f>
        <v>0</v>
      </c>
      <c r="E232">
        <f>'Vendor Entry Sheet'!D234</f>
        <v>0</v>
      </c>
      <c r="F232">
        <f>'Vendor Entry Sheet'!E234</f>
        <v>0</v>
      </c>
      <c r="H232" s="40">
        <f>'Vendor Entry Sheet'!F234</f>
        <v>0</v>
      </c>
      <c r="I232">
        <f>'Vendor Entry Sheet'!G234</f>
        <v>0</v>
      </c>
      <c r="K232" s="41">
        <v>1005</v>
      </c>
      <c r="L232">
        <f>'Vendor Entry Sheet'!H234</f>
        <v>0</v>
      </c>
      <c r="M232" s="41" t="s">
        <v>41</v>
      </c>
    </row>
    <row r="233" spans="1:13" x14ac:dyDescent="0.35">
      <c r="A233" s="37">
        <f>'Vendor Entry Sheet'!A235</f>
        <v>0</v>
      </c>
      <c r="B233" s="38">
        <f>'Vendor Entry Sheet'!C235</f>
        <v>0</v>
      </c>
      <c r="C233">
        <f>'Vendor Entry Sheet'!I235</f>
        <v>0</v>
      </c>
      <c r="D233" s="39">
        <f>'Vendor Entry Sheet'!J235</f>
        <v>0</v>
      </c>
      <c r="E233">
        <f>'Vendor Entry Sheet'!D235</f>
        <v>0</v>
      </c>
      <c r="F233">
        <f>'Vendor Entry Sheet'!E235</f>
        <v>0</v>
      </c>
      <c r="H233" s="40">
        <f>'Vendor Entry Sheet'!F235</f>
        <v>0</v>
      </c>
      <c r="I233">
        <f>'Vendor Entry Sheet'!G235</f>
        <v>0</v>
      </c>
      <c r="K233" s="41">
        <v>1005</v>
      </c>
      <c r="L233">
        <f>'Vendor Entry Sheet'!H235</f>
        <v>0</v>
      </c>
      <c r="M233" s="41" t="s">
        <v>41</v>
      </c>
    </row>
    <row r="234" spans="1:13" x14ac:dyDescent="0.35">
      <c r="A234" s="37">
        <f>'Vendor Entry Sheet'!A236</f>
        <v>0</v>
      </c>
      <c r="B234" s="38">
        <f>'Vendor Entry Sheet'!C236</f>
        <v>0</v>
      </c>
      <c r="C234">
        <f>'Vendor Entry Sheet'!I236</f>
        <v>0</v>
      </c>
      <c r="D234" s="39">
        <f>'Vendor Entry Sheet'!J236</f>
        <v>0</v>
      </c>
      <c r="E234">
        <f>'Vendor Entry Sheet'!D236</f>
        <v>0</v>
      </c>
      <c r="F234">
        <f>'Vendor Entry Sheet'!E236</f>
        <v>0</v>
      </c>
      <c r="H234" s="40">
        <f>'Vendor Entry Sheet'!F236</f>
        <v>0</v>
      </c>
      <c r="I234">
        <f>'Vendor Entry Sheet'!G236</f>
        <v>0</v>
      </c>
      <c r="K234" s="41">
        <v>1005</v>
      </c>
      <c r="L234">
        <f>'Vendor Entry Sheet'!H236</f>
        <v>0</v>
      </c>
      <c r="M234" s="41" t="s">
        <v>41</v>
      </c>
    </row>
    <row r="235" spans="1:13" x14ac:dyDescent="0.35">
      <c r="A235" s="37">
        <f>'Vendor Entry Sheet'!A237</f>
        <v>0</v>
      </c>
      <c r="B235" s="38">
        <f>'Vendor Entry Sheet'!C237</f>
        <v>0</v>
      </c>
      <c r="C235">
        <f>'Vendor Entry Sheet'!I237</f>
        <v>0</v>
      </c>
      <c r="D235" s="39">
        <f>'Vendor Entry Sheet'!J237</f>
        <v>0</v>
      </c>
      <c r="E235">
        <f>'Vendor Entry Sheet'!D237</f>
        <v>0</v>
      </c>
      <c r="F235">
        <f>'Vendor Entry Sheet'!E237</f>
        <v>0</v>
      </c>
      <c r="H235" s="40">
        <f>'Vendor Entry Sheet'!F237</f>
        <v>0</v>
      </c>
      <c r="I235">
        <f>'Vendor Entry Sheet'!G237</f>
        <v>0</v>
      </c>
      <c r="K235" s="41">
        <v>1005</v>
      </c>
      <c r="L235">
        <f>'Vendor Entry Sheet'!H237</f>
        <v>0</v>
      </c>
      <c r="M235" s="41" t="s">
        <v>41</v>
      </c>
    </row>
    <row r="236" spans="1:13" x14ac:dyDescent="0.35">
      <c r="A236" s="37">
        <f>'Vendor Entry Sheet'!A238</f>
        <v>0</v>
      </c>
      <c r="B236" s="38">
        <f>'Vendor Entry Sheet'!C238</f>
        <v>0</v>
      </c>
      <c r="C236">
        <f>'Vendor Entry Sheet'!I238</f>
        <v>0</v>
      </c>
      <c r="D236" s="39">
        <f>'Vendor Entry Sheet'!J238</f>
        <v>0</v>
      </c>
      <c r="E236">
        <f>'Vendor Entry Sheet'!D238</f>
        <v>0</v>
      </c>
      <c r="F236">
        <f>'Vendor Entry Sheet'!E238</f>
        <v>0</v>
      </c>
      <c r="H236" s="40">
        <f>'Vendor Entry Sheet'!F238</f>
        <v>0</v>
      </c>
      <c r="I236">
        <f>'Vendor Entry Sheet'!G238</f>
        <v>0</v>
      </c>
      <c r="K236" s="41">
        <v>1005</v>
      </c>
      <c r="L236">
        <f>'Vendor Entry Sheet'!H238</f>
        <v>0</v>
      </c>
      <c r="M236" s="41" t="s">
        <v>41</v>
      </c>
    </row>
    <row r="237" spans="1:13" x14ac:dyDescent="0.35">
      <c r="A237" s="37">
        <f>'Vendor Entry Sheet'!A239</f>
        <v>0</v>
      </c>
      <c r="B237" s="38">
        <f>'Vendor Entry Sheet'!C239</f>
        <v>0</v>
      </c>
      <c r="C237">
        <f>'Vendor Entry Sheet'!I239</f>
        <v>0</v>
      </c>
      <c r="D237" s="39">
        <f>'Vendor Entry Sheet'!J239</f>
        <v>0</v>
      </c>
      <c r="E237">
        <f>'Vendor Entry Sheet'!D239</f>
        <v>0</v>
      </c>
      <c r="F237">
        <f>'Vendor Entry Sheet'!E239</f>
        <v>0</v>
      </c>
      <c r="H237" s="40">
        <f>'Vendor Entry Sheet'!F239</f>
        <v>0</v>
      </c>
      <c r="I237">
        <f>'Vendor Entry Sheet'!G239</f>
        <v>0</v>
      </c>
      <c r="K237" s="41">
        <v>1005</v>
      </c>
      <c r="L237">
        <f>'Vendor Entry Sheet'!H239</f>
        <v>0</v>
      </c>
      <c r="M237" s="41" t="s">
        <v>41</v>
      </c>
    </row>
    <row r="238" spans="1:13" x14ac:dyDescent="0.35">
      <c r="A238" s="37">
        <f>'Vendor Entry Sheet'!A240</f>
        <v>0</v>
      </c>
      <c r="B238" s="38">
        <f>'Vendor Entry Sheet'!C240</f>
        <v>0</v>
      </c>
      <c r="C238">
        <f>'Vendor Entry Sheet'!I240</f>
        <v>0</v>
      </c>
      <c r="D238" s="39">
        <f>'Vendor Entry Sheet'!J240</f>
        <v>0</v>
      </c>
      <c r="E238">
        <f>'Vendor Entry Sheet'!D240</f>
        <v>0</v>
      </c>
      <c r="F238">
        <f>'Vendor Entry Sheet'!E240</f>
        <v>0</v>
      </c>
      <c r="H238" s="40">
        <f>'Vendor Entry Sheet'!F240</f>
        <v>0</v>
      </c>
      <c r="I238">
        <f>'Vendor Entry Sheet'!G240</f>
        <v>0</v>
      </c>
      <c r="K238" s="41">
        <v>1005</v>
      </c>
      <c r="L238">
        <f>'Vendor Entry Sheet'!H240</f>
        <v>0</v>
      </c>
      <c r="M238" s="41" t="s">
        <v>41</v>
      </c>
    </row>
    <row r="239" spans="1:13" x14ac:dyDescent="0.35">
      <c r="A239" s="37">
        <f>'Vendor Entry Sheet'!A241</f>
        <v>0</v>
      </c>
      <c r="B239" s="38">
        <f>'Vendor Entry Sheet'!C241</f>
        <v>0</v>
      </c>
      <c r="C239">
        <f>'Vendor Entry Sheet'!I241</f>
        <v>0</v>
      </c>
      <c r="D239" s="39">
        <f>'Vendor Entry Sheet'!J241</f>
        <v>0</v>
      </c>
      <c r="E239">
        <f>'Vendor Entry Sheet'!D241</f>
        <v>0</v>
      </c>
      <c r="F239">
        <f>'Vendor Entry Sheet'!E241</f>
        <v>0</v>
      </c>
      <c r="H239" s="40">
        <f>'Vendor Entry Sheet'!F241</f>
        <v>0</v>
      </c>
      <c r="I239">
        <f>'Vendor Entry Sheet'!G241</f>
        <v>0</v>
      </c>
      <c r="K239" s="41">
        <v>1005</v>
      </c>
      <c r="L239">
        <f>'Vendor Entry Sheet'!H241</f>
        <v>0</v>
      </c>
      <c r="M239" s="41" t="s">
        <v>41</v>
      </c>
    </row>
    <row r="240" spans="1:13" x14ac:dyDescent="0.35">
      <c r="A240" s="37">
        <f>'Vendor Entry Sheet'!A242</f>
        <v>0</v>
      </c>
      <c r="B240" s="38">
        <f>'Vendor Entry Sheet'!C242</f>
        <v>0</v>
      </c>
      <c r="C240">
        <f>'Vendor Entry Sheet'!I242</f>
        <v>0</v>
      </c>
      <c r="D240" s="39">
        <f>'Vendor Entry Sheet'!J242</f>
        <v>0</v>
      </c>
      <c r="E240">
        <f>'Vendor Entry Sheet'!D242</f>
        <v>0</v>
      </c>
      <c r="F240">
        <f>'Vendor Entry Sheet'!E242</f>
        <v>0</v>
      </c>
      <c r="H240" s="40">
        <f>'Vendor Entry Sheet'!F242</f>
        <v>0</v>
      </c>
      <c r="I240">
        <f>'Vendor Entry Sheet'!G242</f>
        <v>0</v>
      </c>
      <c r="K240" s="41">
        <v>1005</v>
      </c>
      <c r="L240">
        <f>'Vendor Entry Sheet'!H242</f>
        <v>0</v>
      </c>
      <c r="M240" s="41" t="s">
        <v>41</v>
      </c>
    </row>
    <row r="241" spans="1:13" x14ac:dyDescent="0.35">
      <c r="A241" s="37">
        <f>'Vendor Entry Sheet'!A243</f>
        <v>0</v>
      </c>
      <c r="B241" s="38">
        <f>'Vendor Entry Sheet'!C243</f>
        <v>0</v>
      </c>
      <c r="C241">
        <f>'Vendor Entry Sheet'!I243</f>
        <v>0</v>
      </c>
      <c r="D241" s="39">
        <f>'Vendor Entry Sheet'!J243</f>
        <v>0</v>
      </c>
      <c r="E241">
        <f>'Vendor Entry Sheet'!D243</f>
        <v>0</v>
      </c>
      <c r="F241">
        <f>'Vendor Entry Sheet'!E243</f>
        <v>0</v>
      </c>
      <c r="H241" s="40">
        <f>'Vendor Entry Sheet'!F243</f>
        <v>0</v>
      </c>
      <c r="I241">
        <f>'Vendor Entry Sheet'!G243</f>
        <v>0</v>
      </c>
      <c r="K241" s="41">
        <v>1005</v>
      </c>
      <c r="L241">
        <f>'Vendor Entry Sheet'!H243</f>
        <v>0</v>
      </c>
      <c r="M241" s="41" t="s">
        <v>41</v>
      </c>
    </row>
    <row r="242" spans="1:13" x14ac:dyDescent="0.35">
      <c r="A242" s="37">
        <f>'Vendor Entry Sheet'!A244</f>
        <v>0</v>
      </c>
      <c r="B242" s="38">
        <f>'Vendor Entry Sheet'!C244</f>
        <v>0</v>
      </c>
      <c r="C242">
        <f>'Vendor Entry Sheet'!I244</f>
        <v>0</v>
      </c>
      <c r="D242" s="39">
        <f>'Vendor Entry Sheet'!J244</f>
        <v>0</v>
      </c>
      <c r="E242">
        <f>'Vendor Entry Sheet'!D244</f>
        <v>0</v>
      </c>
      <c r="F242">
        <f>'Vendor Entry Sheet'!E244</f>
        <v>0</v>
      </c>
      <c r="H242" s="40">
        <f>'Vendor Entry Sheet'!F244</f>
        <v>0</v>
      </c>
      <c r="I242">
        <f>'Vendor Entry Sheet'!G244</f>
        <v>0</v>
      </c>
      <c r="K242" s="41">
        <v>1005</v>
      </c>
      <c r="L242">
        <f>'Vendor Entry Sheet'!H244</f>
        <v>0</v>
      </c>
      <c r="M242" s="41" t="s">
        <v>41</v>
      </c>
    </row>
    <row r="243" spans="1:13" x14ac:dyDescent="0.35">
      <c r="A243" s="37">
        <f>'Vendor Entry Sheet'!A245</f>
        <v>0</v>
      </c>
      <c r="B243" s="38">
        <f>'Vendor Entry Sheet'!C245</f>
        <v>0</v>
      </c>
      <c r="C243">
        <f>'Vendor Entry Sheet'!I245</f>
        <v>0</v>
      </c>
      <c r="D243" s="39">
        <f>'Vendor Entry Sheet'!J245</f>
        <v>0</v>
      </c>
      <c r="E243">
        <f>'Vendor Entry Sheet'!D245</f>
        <v>0</v>
      </c>
      <c r="F243">
        <f>'Vendor Entry Sheet'!E245</f>
        <v>0</v>
      </c>
      <c r="H243" s="40">
        <f>'Vendor Entry Sheet'!F245</f>
        <v>0</v>
      </c>
      <c r="I243">
        <f>'Vendor Entry Sheet'!G245</f>
        <v>0</v>
      </c>
      <c r="K243" s="41">
        <v>1005</v>
      </c>
      <c r="L243">
        <f>'Vendor Entry Sheet'!H245</f>
        <v>0</v>
      </c>
      <c r="M243" s="41" t="s">
        <v>41</v>
      </c>
    </row>
    <row r="244" spans="1:13" x14ac:dyDescent="0.35">
      <c r="A244" s="37">
        <f>'Vendor Entry Sheet'!A246</f>
        <v>0</v>
      </c>
      <c r="B244" s="38">
        <f>'Vendor Entry Sheet'!C246</f>
        <v>0</v>
      </c>
      <c r="C244">
        <f>'Vendor Entry Sheet'!I246</f>
        <v>0</v>
      </c>
      <c r="D244" s="39">
        <f>'Vendor Entry Sheet'!J246</f>
        <v>0</v>
      </c>
      <c r="E244">
        <f>'Vendor Entry Sheet'!D246</f>
        <v>0</v>
      </c>
      <c r="F244">
        <f>'Vendor Entry Sheet'!E246</f>
        <v>0</v>
      </c>
      <c r="H244" s="40">
        <f>'Vendor Entry Sheet'!F246</f>
        <v>0</v>
      </c>
      <c r="I244">
        <f>'Vendor Entry Sheet'!G246</f>
        <v>0</v>
      </c>
      <c r="K244" s="41">
        <v>1005</v>
      </c>
      <c r="L244">
        <f>'Vendor Entry Sheet'!H246</f>
        <v>0</v>
      </c>
      <c r="M244" s="41" t="s">
        <v>41</v>
      </c>
    </row>
    <row r="245" spans="1:13" x14ac:dyDescent="0.35">
      <c r="A245" s="37">
        <f>'Vendor Entry Sheet'!A247</f>
        <v>0</v>
      </c>
      <c r="B245" s="38">
        <f>'Vendor Entry Sheet'!C247</f>
        <v>0</v>
      </c>
      <c r="C245">
        <f>'Vendor Entry Sheet'!I247</f>
        <v>0</v>
      </c>
      <c r="D245" s="39">
        <f>'Vendor Entry Sheet'!J247</f>
        <v>0</v>
      </c>
      <c r="E245">
        <f>'Vendor Entry Sheet'!D247</f>
        <v>0</v>
      </c>
      <c r="F245">
        <f>'Vendor Entry Sheet'!E247</f>
        <v>0</v>
      </c>
      <c r="H245" s="40">
        <f>'Vendor Entry Sheet'!F247</f>
        <v>0</v>
      </c>
      <c r="I245">
        <f>'Vendor Entry Sheet'!G247</f>
        <v>0</v>
      </c>
      <c r="K245" s="41">
        <v>1005</v>
      </c>
      <c r="L245">
        <f>'Vendor Entry Sheet'!H247</f>
        <v>0</v>
      </c>
      <c r="M245" s="41" t="s">
        <v>41</v>
      </c>
    </row>
    <row r="246" spans="1:13" x14ac:dyDescent="0.35">
      <c r="A246" s="37">
        <f>'Vendor Entry Sheet'!A248</f>
        <v>0</v>
      </c>
      <c r="B246" s="38">
        <f>'Vendor Entry Sheet'!C248</f>
        <v>0</v>
      </c>
      <c r="C246">
        <f>'Vendor Entry Sheet'!I248</f>
        <v>0</v>
      </c>
      <c r="D246" s="39">
        <f>'Vendor Entry Sheet'!J248</f>
        <v>0</v>
      </c>
      <c r="E246">
        <f>'Vendor Entry Sheet'!D248</f>
        <v>0</v>
      </c>
      <c r="F246">
        <f>'Vendor Entry Sheet'!E248</f>
        <v>0</v>
      </c>
      <c r="H246" s="40">
        <f>'Vendor Entry Sheet'!F248</f>
        <v>0</v>
      </c>
      <c r="I246">
        <f>'Vendor Entry Sheet'!G248</f>
        <v>0</v>
      </c>
      <c r="K246" s="41">
        <v>1005</v>
      </c>
      <c r="L246">
        <f>'Vendor Entry Sheet'!H248</f>
        <v>0</v>
      </c>
      <c r="M246" s="41" t="s">
        <v>41</v>
      </c>
    </row>
    <row r="247" spans="1:13" x14ac:dyDescent="0.35">
      <c r="A247" s="37">
        <f>'Vendor Entry Sheet'!A249</f>
        <v>0</v>
      </c>
      <c r="B247" s="38">
        <f>'Vendor Entry Sheet'!C249</f>
        <v>0</v>
      </c>
      <c r="C247">
        <f>'Vendor Entry Sheet'!I249</f>
        <v>0</v>
      </c>
      <c r="D247" s="39">
        <f>'Vendor Entry Sheet'!J249</f>
        <v>0</v>
      </c>
      <c r="E247">
        <f>'Vendor Entry Sheet'!D249</f>
        <v>0</v>
      </c>
      <c r="F247">
        <f>'Vendor Entry Sheet'!E249</f>
        <v>0</v>
      </c>
      <c r="H247" s="40">
        <f>'Vendor Entry Sheet'!F249</f>
        <v>0</v>
      </c>
      <c r="I247">
        <f>'Vendor Entry Sheet'!G249</f>
        <v>0</v>
      </c>
      <c r="K247" s="41">
        <v>1005</v>
      </c>
      <c r="L247">
        <f>'Vendor Entry Sheet'!H249</f>
        <v>0</v>
      </c>
      <c r="M247" s="41" t="s">
        <v>41</v>
      </c>
    </row>
    <row r="248" spans="1:13" x14ac:dyDescent="0.35">
      <c r="A248" s="37">
        <f>'Vendor Entry Sheet'!A250</f>
        <v>0</v>
      </c>
      <c r="B248" s="38">
        <f>'Vendor Entry Sheet'!C250</f>
        <v>0</v>
      </c>
      <c r="C248">
        <f>'Vendor Entry Sheet'!I250</f>
        <v>0</v>
      </c>
      <c r="D248" s="39">
        <f>'Vendor Entry Sheet'!J250</f>
        <v>0</v>
      </c>
      <c r="E248">
        <f>'Vendor Entry Sheet'!D250</f>
        <v>0</v>
      </c>
      <c r="F248">
        <f>'Vendor Entry Sheet'!E250</f>
        <v>0</v>
      </c>
      <c r="H248" s="40">
        <f>'Vendor Entry Sheet'!F250</f>
        <v>0</v>
      </c>
      <c r="I248">
        <f>'Vendor Entry Sheet'!G250</f>
        <v>0</v>
      </c>
      <c r="K248" s="41">
        <v>1005</v>
      </c>
      <c r="L248">
        <f>'Vendor Entry Sheet'!H250</f>
        <v>0</v>
      </c>
      <c r="M248" s="41" t="s">
        <v>41</v>
      </c>
    </row>
    <row r="249" spans="1:13" x14ac:dyDescent="0.35">
      <c r="A249" s="37">
        <f>'Vendor Entry Sheet'!A251</f>
        <v>0</v>
      </c>
      <c r="B249" s="38">
        <f>'Vendor Entry Sheet'!C251</f>
        <v>0</v>
      </c>
      <c r="C249">
        <f>'Vendor Entry Sheet'!I251</f>
        <v>0</v>
      </c>
      <c r="D249" s="39">
        <f>'Vendor Entry Sheet'!J251</f>
        <v>0</v>
      </c>
      <c r="E249">
        <f>'Vendor Entry Sheet'!D251</f>
        <v>0</v>
      </c>
      <c r="F249">
        <f>'Vendor Entry Sheet'!E251</f>
        <v>0</v>
      </c>
      <c r="H249" s="40">
        <f>'Vendor Entry Sheet'!F251</f>
        <v>0</v>
      </c>
      <c r="I249">
        <f>'Vendor Entry Sheet'!G251</f>
        <v>0</v>
      </c>
      <c r="K249" s="41">
        <v>1005</v>
      </c>
      <c r="L249">
        <f>'Vendor Entry Sheet'!H251</f>
        <v>0</v>
      </c>
      <c r="M249" s="41" t="s">
        <v>41</v>
      </c>
    </row>
    <row r="250" spans="1:13" x14ac:dyDescent="0.35">
      <c r="A250" s="37">
        <f>'Vendor Entry Sheet'!A252</f>
        <v>0</v>
      </c>
      <c r="B250" s="38">
        <f>'Vendor Entry Sheet'!C252</f>
        <v>0</v>
      </c>
      <c r="C250">
        <f>'Vendor Entry Sheet'!I252</f>
        <v>0</v>
      </c>
      <c r="D250" s="39">
        <f>'Vendor Entry Sheet'!J252</f>
        <v>0</v>
      </c>
      <c r="E250">
        <f>'Vendor Entry Sheet'!D252</f>
        <v>0</v>
      </c>
      <c r="F250">
        <f>'Vendor Entry Sheet'!E252</f>
        <v>0</v>
      </c>
      <c r="H250" s="40">
        <f>'Vendor Entry Sheet'!F252</f>
        <v>0</v>
      </c>
      <c r="I250">
        <f>'Vendor Entry Sheet'!G252</f>
        <v>0</v>
      </c>
      <c r="K250" s="41">
        <v>1005</v>
      </c>
      <c r="L250">
        <f>'Vendor Entry Sheet'!H252</f>
        <v>0</v>
      </c>
      <c r="M250" s="41" t="s">
        <v>41</v>
      </c>
    </row>
    <row r="251" spans="1:13" x14ac:dyDescent="0.35">
      <c r="A251" s="37">
        <f>'Vendor Entry Sheet'!A253</f>
        <v>0</v>
      </c>
      <c r="B251" s="38">
        <f>'Vendor Entry Sheet'!C253</f>
        <v>0</v>
      </c>
      <c r="C251">
        <f>'Vendor Entry Sheet'!I253</f>
        <v>0</v>
      </c>
      <c r="D251" s="39">
        <f>'Vendor Entry Sheet'!J253</f>
        <v>0</v>
      </c>
      <c r="E251">
        <f>'Vendor Entry Sheet'!D253</f>
        <v>0</v>
      </c>
      <c r="F251">
        <f>'Vendor Entry Sheet'!E253</f>
        <v>0</v>
      </c>
      <c r="H251" s="40">
        <f>'Vendor Entry Sheet'!F253</f>
        <v>0</v>
      </c>
      <c r="I251">
        <f>'Vendor Entry Sheet'!G253</f>
        <v>0</v>
      </c>
      <c r="K251" s="41">
        <v>1005</v>
      </c>
      <c r="L251">
        <f>'Vendor Entry Sheet'!H253</f>
        <v>0</v>
      </c>
      <c r="M251" s="41" t="s">
        <v>41</v>
      </c>
    </row>
    <row r="252" spans="1:13" x14ac:dyDescent="0.35">
      <c r="A252" s="37">
        <f>'Vendor Entry Sheet'!A254</f>
        <v>0</v>
      </c>
      <c r="B252" s="38">
        <f>'Vendor Entry Sheet'!C254</f>
        <v>0</v>
      </c>
      <c r="C252">
        <f>'Vendor Entry Sheet'!I254</f>
        <v>0</v>
      </c>
      <c r="D252" s="39">
        <f>'Vendor Entry Sheet'!J254</f>
        <v>0</v>
      </c>
      <c r="E252">
        <f>'Vendor Entry Sheet'!D254</f>
        <v>0</v>
      </c>
      <c r="F252">
        <f>'Vendor Entry Sheet'!E254</f>
        <v>0</v>
      </c>
      <c r="H252" s="40">
        <f>'Vendor Entry Sheet'!F254</f>
        <v>0</v>
      </c>
      <c r="I252">
        <f>'Vendor Entry Sheet'!G254</f>
        <v>0</v>
      </c>
      <c r="K252" s="41">
        <v>1005</v>
      </c>
      <c r="L252">
        <f>'Vendor Entry Sheet'!H254</f>
        <v>0</v>
      </c>
      <c r="M252" s="41" t="s">
        <v>41</v>
      </c>
    </row>
    <row r="253" spans="1:13" x14ac:dyDescent="0.35">
      <c r="A253" s="37">
        <f>'Vendor Entry Sheet'!A255</f>
        <v>0</v>
      </c>
      <c r="B253" s="38">
        <f>'Vendor Entry Sheet'!C255</f>
        <v>0</v>
      </c>
      <c r="C253">
        <f>'Vendor Entry Sheet'!I255</f>
        <v>0</v>
      </c>
      <c r="D253" s="39">
        <f>'Vendor Entry Sheet'!J255</f>
        <v>0</v>
      </c>
      <c r="E253">
        <f>'Vendor Entry Sheet'!D255</f>
        <v>0</v>
      </c>
      <c r="F253">
        <f>'Vendor Entry Sheet'!E255</f>
        <v>0</v>
      </c>
      <c r="H253" s="40">
        <f>'Vendor Entry Sheet'!F255</f>
        <v>0</v>
      </c>
      <c r="I253">
        <f>'Vendor Entry Sheet'!G255</f>
        <v>0</v>
      </c>
      <c r="K253" s="41">
        <v>1005</v>
      </c>
      <c r="L253">
        <f>'Vendor Entry Sheet'!H255</f>
        <v>0</v>
      </c>
      <c r="M253" s="41" t="s">
        <v>41</v>
      </c>
    </row>
    <row r="254" spans="1:13" x14ac:dyDescent="0.35">
      <c r="A254" s="37">
        <f>'Vendor Entry Sheet'!A256</f>
        <v>0</v>
      </c>
      <c r="B254" s="38">
        <f>'Vendor Entry Sheet'!C256</f>
        <v>0</v>
      </c>
      <c r="C254">
        <f>'Vendor Entry Sheet'!I256</f>
        <v>0</v>
      </c>
      <c r="D254" s="39">
        <f>'Vendor Entry Sheet'!J256</f>
        <v>0</v>
      </c>
      <c r="E254">
        <f>'Vendor Entry Sheet'!D256</f>
        <v>0</v>
      </c>
      <c r="F254">
        <f>'Vendor Entry Sheet'!E256</f>
        <v>0</v>
      </c>
      <c r="H254" s="40">
        <f>'Vendor Entry Sheet'!F256</f>
        <v>0</v>
      </c>
      <c r="I254">
        <f>'Vendor Entry Sheet'!G256</f>
        <v>0</v>
      </c>
      <c r="K254" s="41">
        <v>1005</v>
      </c>
      <c r="L254">
        <f>'Vendor Entry Sheet'!H256</f>
        <v>0</v>
      </c>
      <c r="M254" s="41" t="s">
        <v>41</v>
      </c>
    </row>
    <row r="255" spans="1:13" x14ac:dyDescent="0.35">
      <c r="A255" s="37">
        <f>'Vendor Entry Sheet'!A257</f>
        <v>0</v>
      </c>
      <c r="B255" s="38">
        <f>'Vendor Entry Sheet'!C257</f>
        <v>0</v>
      </c>
      <c r="C255">
        <f>'Vendor Entry Sheet'!I257</f>
        <v>0</v>
      </c>
      <c r="D255" s="39">
        <f>'Vendor Entry Sheet'!J257</f>
        <v>0</v>
      </c>
      <c r="E255">
        <f>'Vendor Entry Sheet'!D257</f>
        <v>0</v>
      </c>
      <c r="F255">
        <f>'Vendor Entry Sheet'!E257</f>
        <v>0</v>
      </c>
      <c r="H255" s="40">
        <f>'Vendor Entry Sheet'!F257</f>
        <v>0</v>
      </c>
      <c r="I255">
        <f>'Vendor Entry Sheet'!G257</f>
        <v>0</v>
      </c>
      <c r="K255" s="41">
        <v>1005</v>
      </c>
      <c r="L255">
        <f>'Vendor Entry Sheet'!H257</f>
        <v>0</v>
      </c>
      <c r="M255" s="41" t="s">
        <v>41</v>
      </c>
    </row>
    <row r="256" spans="1:13" x14ac:dyDescent="0.35">
      <c r="A256" s="37">
        <f>'Vendor Entry Sheet'!A258</f>
        <v>0</v>
      </c>
      <c r="B256" s="38">
        <f>'Vendor Entry Sheet'!C258</f>
        <v>0</v>
      </c>
      <c r="C256">
        <f>'Vendor Entry Sheet'!I258</f>
        <v>0</v>
      </c>
      <c r="D256" s="39">
        <f>'Vendor Entry Sheet'!J258</f>
        <v>0</v>
      </c>
      <c r="E256">
        <f>'Vendor Entry Sheet'!D258</f>
        <v>0</v>
      </c>
      <c r="F256">
        <f>'Vendor Entry Sheet'!E258</f>
        <v>0</v>
      </c>
      <c r="H256" s="40">
        <f>'Vendor Entry Sheet'!F258</f>
        <v>0</v>
      </c>
      <c r="I256">
        <f>'Vendor Entry Sheet'!G258</f>
        <v>0</v>
      </c>
      <c r="K256" s="41">
        <v>1005</v>
      </c>
      <c r="L256">
        <f>'Vendor Entry Sheet'!H258</f>
        <v>0</v>
      </c>
      <c r="M256" s="41" t="s">
        <v>41</v>
      </c>
    </row>
    <row r="257" spans="1:13" x14ac:dyDescent="0.35">
      <c r="A257" s="37">
        <f>'Vendor Entry Sheet'!A259</f>
        <v>0</v>
      </c>
      <c r="B257" s="38">
        <f>'Vendor Entry Sheet'!C259</f>
        <v>0</v>
      </c>
      <c r="C257">
        <f>'Vendor Entry Sheet'!I259</f>
        <v>0</v>
      </c>
      <c r="D257" s="39">
        <f>'Vendor Entry Sheet'!J259</f>
        <v>0</v>
      </c>
      <c r="E257">
        <f>'Vendor Entry Sheet'!D259</f>
        <v>0</v>
      </c>
      <c r="F257">
        <f>'Vendor Entry Sheet'!E259</f>
        <v>0</v>
      </c>
      <c r="H257" s="40">
        <f>'Vendor Entry Sheet'!F259</f>
        <v>0</v>
      </c>
      <c r="I257">
        <f>'Vendor Entry Sheet'!G259</f>
        <v>0</v>
      </c>
      <c r="K257" s="41">
        <v>1005</v>
      </c>
      <c r="L257">
        <f>'Vendor Entry Sheet'!H259</f>
        <v>0</v>
      </c>
      <c r="M257" s="41" t="s">
        <v>41</v>
      </c>
    </row>
    <row r="258" spans="1:13" x14ac:dyDescent="0.35">
      <c r="A258" s="37">
        <f>'Vendor Entry Sheet'!A260</f>
        <v>0</v>
      </c>
      <c r="B258" s="38">
        <f>'Vendor Entry Sheet'!C260</f>
        <v>0</v>
      </c>
      <c r="C258">
        <f>'Vendor Entry Sheet'!I260</f>
        <v>0</v>
      </c>
      <c r="D258" s="39">
        <f>'Vendor Entry Sheet'!J260</f>
        <v>0</v>
      </c>
      <c r="E258">
        <f>'Vendor Entry Sheet'!D260</f>
        <v>0</v>
      </c>
      <c r="F258">
        <f>'Vendor Entry Sheet'!E260</f>
        <v>0</v>
      </c>
      <c r="H258" s="40">
        <f>'Vendor Entry Sheet'!F260</f>
        <v>0</v>
      </c>
      <c r="I258">
        <f>'Vendor Entry Sheet'!G260</f>
        <v>0</v>
      </c>
      <c r="K258" s="41">
        <v>1005</v>
      </c>
      <c r="L258">
        <f>'Vendor Entry Sheet'!H260</f>
        <v>0</v>
      </c>
      <c r="M258" s="41" t="s">
        <v>41</v>
      </c>
    </row>
    <row r="259" spans="1:13" x14ac:dyDescent="0.35">
      <c r="A259" s="37">
        <f>'Vendor Entry Sheet'!A261</f>
        <v>0</v>
      </c>
      <c r="B259" s="38">
        <f>'Vendor Entry Sheet'!C261</f>
        <v>0</v>
      </c>
      <c r="C259">
        <f>'Vendor Entry Sheet'!I261</f>
        <v>0</v>
      </c>
      <c r="D259" s="39">
        <f>'Vendor Entry Sheet'!J261</f>
        <v>0</v>
      </c>
      <c r="E259">
        <f>'Vendor Entry Sheet'!D261</f>
        <v>0</v>
      </c>
      <c r="F259">
        <f>'Vendor Entry Sheet'!E261</f>
        <v>0</v>
      </c>
      <c r="H259" s="40">
        <f>'Vendor Entry Sheet'!F261</f>
        <v>0</v>
      </c>
      <c r="I259">
        <f>'Vendor Entry Sheet'!G261</f>
        <v>0</v>
      </c>
      <c r="K259" s="41">
        <v>1005</v>
      </c>
      <c r="L259">
        <f>'Vendor Entry Sheet'!H261</f>
        <v>0</v>
      </c>
      <c r="M259" s="41" t="s">
        <v>41</v>
      </c>
    </row>
    <row r="260" spans="1:13" x14ac:dyDescent="0.35">
      <c r="A260" s="37">
        <f>'Vendor Entry Sheet'!A262</f>
        <v>0</v>
      </c>
      <c r="B260" s="38">
        <f>'Vendor Entry Sheet'!C262</f>
        <v>0</v>
      </c>
      <c r="C260">
        <f>'Vendor Entry Sheet'!I262</f>
        <v>0</v>
      </c>
      <c r="D260" s="39">
        <f>'Vendor Entry Sheet'!J262</f>
        <v>0</v>
      </c>
      <c r="E260">
        <f>'Vendor Entry Sheet'!D262</f>
        <v>0</v>
      </c>
      <c r="F260">
        <f>'Vendor Entry Sheet'!E262</f>
        <v>0</v>
      </c>
      <c r="H260" s="40">
        <f>'Vendor Entry Sheet'!F262</f>
        <v>0</v>
      </c>
      <c r="I260">
        <f>'Vendor Entry Sheet'!G262</f>
        <v>0</v>
      </c>
      <c r="K260" s="41">
        <v>1005</v>
      </c>
      <c r="L260">
        <f>'Vendor Entry Sheet'!H262</f>
        <v>0</v>
      </c>
      <c r="M260" s="41" t="s">
        <v>41</v>
      </c>
    </row>
    <row r="261" spans="1:13" x14ac:dyDescent="0.35">
      <c r="A261" s="37">
        <f>'Vendor Entry Sheet'!A263</f>
        <v>0</v>
      </c>
      <c r="B261" s="38">
        <f>'Vendor Entry Sheet'!C263</f>
        <v>0</v>
      </c>
      <c r="C261">
        <f>'Vendor Entry Sheet'!I263</f>
        <v>0</v>
      </c>
      <c r="D261" s="39">
        <f>'Vendor Entry Sheet'!J263</f>
        <v>0</v>
      </c>
      <c r="E261">
        <f>'Vendor Entry Sheet'!D263</f>
        <v>0</v>
      </c>
      <c r="F261">
        <f>'Vendor Entry Sheet'!E263</f>
        <v>0</v>
      </c>
      <c r="H261" s="40">
        <f>'Vendor Entry Sheet'!F263</f>
        <v>0</v>
      </c>
      <c r="I261">
        <f>'Vendor Entry Sheet'!G263</f>
        <v>0</v>
      </c>
      <c r="K261" s="41">
        <v>1005</v>
      </c>
      <c r="L261">
        <f>'Vendor Entry Sheet'!H263</f>
        <v>0</v>
      </c>
      <c r="M261" s="41" t="s">
        <v>41</v>
      </c>
    </row>
    <row r="262" spans="1:13" x14ac:dyDescent="0.35">
      <c r="A262" s="37">
        <f>'Vendor Entry Sheet'!A264</f>
        <v>0</v>
      </c>
      <c r="B262" s="38">
        <f>'Vendor Entry Sheet'!C264</f>
        <v>0</v>
      </c>
      <c r="C262">
        <f>'Vendor Entry Sheet'!I264</f>
        <v>0</v>
      </c>
      <c r="D262" s="39">
        <f>'Vendor Entry Sheet'!J264</f>
        <v>0</v>
      </c>
      <c r="E262">
        <f>'Vendor Entry Sheet'!D264</f>
        <v>0</v>
      </c>
      <c r="F262">
        <f>'Vendor Entry Sheet'!E264</f>
        <v>0</v>
      </c>
      <c r="H262" s="40">
        <f>'Vendor Entry Sheet'!F264</f>
        <v>0</v>
      </c>
      <c r="I262">
        <f>'Vendor Entry Sheet'!G264</f>
        <v>0</v>
      </c>
      <c r="K262" s="41">
        <v>1005</v>
      </c>
      <c r="L262">
        <f>'Vendor Entry Sheet'!H264</f>
        <v>0</v>
      </c>
      <c r="M262" s="41" t="s">
        <v>41</v>
      </c>
    </row>
    <row r="263" spans="1:13" x14ac:dyDescent="0.35">
      <c r="A263" s="37">
        <f>'Vendor Entry Sheet'!A265</f>
        <v>0</v>
      </c>
      <c r="B263" s="38">
        <f>'Vendor Entry Sheet'!C265</f>
        <v>0</v>
      </c>
      <c r="C263">
        <f>'Vendor Entry Sheet'!I265</f>
        <v>0</v>
      </c>
      <c r="D263" s="39">
        <f>'Vendor Entry Sheet'!J265</f>
        <v>0</v>
      </c>
      <c r="E263">
        <f>'Vendor Entry Sheet'!D265</f>
        <v>0</v>
      </c>
      <c r="F263">
        <f>'Vendor Entry Sheet'!E265</f>
        <v>0</v>
      </c>
      <c r="H263" s="40">
        <f>'Vendor Entry Sheet'!F265</f>
        <v>0</v>
      </c>
      <c r="I263">
        <f>'Vendor Entry Sheet'!G265</f>
        <v>0</v>
      </c>
      <c r="K263" s="41">
        <v>1005</v>
      </c>
      <c r="L263">
        <f>'Vendor Entry Sheet'!H265</f>
        <v>0</v>
      </c>
      <c r="M263" s="41" t="s">
        <v>41</v>
      </c>
    </row>
    <row r="264" spans="1:13" x14ac:dyDescent="0.35">
      <c r="A264" s="37">
        <f>'Vendor Entry Sheet'!A266</f>
        <v>0</v>
      </c>
      <c r="B264" s="38">
        <f>'Vendor Entry Sheet'!C266</f>
        <v>0</v>
      </c>
      <c r="C264">
        <f>'Vendor Entry Sheet'!I266</f>
        <v>0</v>
      </c>
      <c r="D264" s="39">
        <f>'Vendor Entry Sheet'!J266</f>
        <v>0</v>
      </c>
      <c r="E264">
        <f>'Vendor Entry Sheet'!D266</f>
        <v>0</v>
      </c>
      <c r="F264">
        <f>'Vendor Entry Sheet'!E266</f>
        <v>0</v>
      </c>
      <c r="H264" s="40">
        <f>'Vendor Entry Sheet'!F266</f>
        <v>0</v>
      </c>
      <c r="I264">
        <f>'Vendor Entry Sheet'!G266</f>
        <v>0</v>
      </c>
      <c r="K264" s="41">
        <v>1005</v>
      </c>
      <c r="L264">
        <f>'Vendor Entry Sheet'!H266</f>
        <v>0</v>
      </c>
      <c r="M264" s="41" t="s">
        <v>41</v>
      </c>
    </row>
    <row r="265" spans="1:13" x14ac:dyDescent="0.35">
      <c r="A265" s="37">
        <f>'Vendor Entry Sheet'!A267</f>
        <v>0</v>
      </c>
      <c r="B265" s="38">
        <f>'Vendor Entry Sheet'!C267</f>
        <v>0</v>
      </c>
      <c r="C265">
        <f>'Vendor Entry Sheet'!I267</f>
        <v>0</v>
      </c>
      <c r="D265" s="39">
        <f>'Vendor Entry Sheet'!J267</f>
        <v>0</v>
      </c>
      <c r="E265">
        <f>'Vendor Entry Sheet'!D267</f>
        <v>0</v>
      </c>
      <c r="F265">
        <f>'Vendor Entry Sheet'!E267</f>
        <v>0</v>
      </c>
      <c r="H265" s="40">
        <f>'Vendor Entry Sheet'!F267</f>
        <v>0</v>
      </c>
      <c r="I265">
        <f>'Vendor Entry Sheet'!G267</f>
        <v>0</v>
      </c>
      <c r="K265" s="41">
        <v>1005</v>
      </c>
      <c r="L265">
        <f>'Vendor Entry Sheet'!H267</f>
        <v>0</v>
      </c>
      <c r="M265" s="41" t="s">
        <v>41</v>
      </c>
    </row>
    <row r="266" spans="1:13" x14ac:dyDescent="0.35">
      <c r="A266" s="37">
        <f>'Vendor Entry Sheet'!A268</f>
        <v>0</v>
      </c>
      <c r="B266" s="38">
        <f>'Vendor Entry Sheet'!C268</f>
        <v>0</v>
      </c>
      <c r="C266">
        <f>'Vendor Entry Sheet'!I268</f>
        <v>0</v>
      </c>
      <c r="D266" s="39">
        <f>'Vendor Entry Sheet'!J268</f>
        <v>0</v>
      </c>
      <c r="E266">
        <f>'Vendor Entry Sheet'!D268</f>
        <v>0</v>
      </c>
      <c r="F266">
        <f>'Vendor Entry Sheet'!E268</f>
        <v>0</v>
      </c>
      <c r="H266" s="40">
        <f>'Vendor Entry Sheet'!F268</f>
        <v>0</v>
      </c>
      <c r="I266">
        <f>'Vendor Entry Sheet'!G268</f>
        <v>0</v>
      </c>
      <c r="K266" s="41">
        <v>1005</v>
      </c>
      <c r="L266">
        <f>'Vendor Entry Sheet'!H268</f>
        <v>0</v>
      </c>
      <c r="M266" s="41" t="s">
        <v>41</v>
      </c>
    </row>
    <row r="267" spans="1:13" x14ac:dyDescent="0.35">
      <c r="A267" s="37">
        <f>'Vendor Entry Sheet'!A269</f>
        <v>0</v>
      </c>
      <c r="B267" s="38">
        <f>'Vendor Entry Sheet'!C269</f>
        <v>0</v>
      </c>
      <c r="C267">
        <f>'Vendor Entry Sheet'!I269</f>
        <v>0</v>
      </c>
      <c r="D267" s="39">
        <f>'Vendor Entry Sheet'!J269</f>
        <v>0</v>
      </c>
      <c r="E267">
        <f>'Vendor Entry Sheet'!D269</f>
        <v>0</v>
      </c>
      <c r="F267">
        <f>'Vendor Entry Sheet'!E269</f>
        <v>0</v>
      </c>
      <c r="H267" s="40">
        <f>'Vendor Entry Sheet'!F269</f>
        <v>0</v>
      </c>
      <c r="I267">
        <f>'Vendor Entry Sheet'!G269</f>
        <v>0</v>
      </c>
      <c r="K267" s="41">
        <v>1005</v>
      </c>
      <c r="L267">
        <f>'Vendor Entry Sheet'!H269</f>
        <v>0</v>
      </c>
      <c r="M267" s="41" t="s">
        <v>41</v>
      </c>
    </row>
    <row r="268" spans="1:13" x14ac:dyDescent="0.35">
      <c r="A268" s="37">
        <f>'Vendor Entry Sheet'!A270</f>
        <v>0</v>
      </c>
      <c r="B268" s="38">
        <f>'Vendor Entry Sheet'!C270</f>
        <v>0</v>
      </c>
      <c r="C268">
        <f>'Vendor Entry Sheet'!I270</f>
        <v>0</v>
      </c>
      <c r="D268" s="39">
        <f>'Vendor Entry Sheet'!J270</f>
        <v>0</v>
      </c>
      <c r="E268">
        <f>'Vendor Entry Sheet'!D270</f>
        <v>0</v>
      </c>
      <c r="F268">
        <f>'Vendor Entry Sheet'!E270</f>
        <v>0</v>
      </c>
      <c r="H268" s="40">
        <f>'Vendor Entry Sheet'!F270</f>
        <v>0</v>
      </c>
      <c r="I268">
        <f>'Vendor Entry Sheet'!G270</f>
        <v>0</v>
      </c>
      <c r="K268" s="41">
        <v>1005</v>
      </c>
      <c r="L268">
        <f>'Vendor Entry Sheet'!H270</f>
        <v>0</v>
      </c>
      <c r="M268" s="41" t="s">
        <v>41</v>
      </c>
    </row>
    <row r="269" spans="1:13" x14ac:dyDescent="0.35">
      <c r="A269" s="37">
        <f>'Vendor Entry Sheet'!A271</f>
        <v>0</v>
      </c>
      <c r="B269" s="38">
        <f>'Vendor Entry Sheet'!C271</f>
        <v>0</v>
      </c>
      <c r="C269">
        <f>'Vendor Entry Sheet'!I271</f>
        <v>0</v>
      </c>
      <c r="D269" s="39">
        <f>'Vendor Entry Sheet'!J271</f>
        <v>0</v>
      </c>
      <c r="E269">
        <f>'Vendor Entry Sheet'!D271</f>
        <v>0</v>
      </c>
      <c r="F269">
        <f>'Vendor Entry Sheet'!E271</f>
        <v>0</v>
      </c>
      <c r="H269" s="40">
        <f>'Vendor Entry Sheet'!F271</f>
        <v>0</v>
      </c>
      <c r="I269">
        <f>'Vendor Entry Sheet'!G271</f>
        <v>0</v>
      </c>
      <c r="K269" s="41">
        <v>1005</v>
      </c>
      <c r="L269">
        <f>'Vendor Entry Sheet'!H271</f>
        <v>0</v>
      </c>
      <c r="M269" s="41" t="s">
        <v>41</v>
      </c>
    </row>
    <row r="270" spans="1:13" x14ac:dyDescent="0.35">
      <c r="A270" s="37">
        <f>'Vendor Entry Sheet'!A272</f>
        <v>0</v>
      </c>
      <c r="B270" s="38">
        <f>'Vendor Entry Sheet'!C272</f>
        <v>0</v>
      </c>
      <c r="C270">
        <f>'Vendor Entry Sheet'!I272</f>
        <v>0</v>
      </c>
      <c r="D270" s="39">
        <f>'Vendor Entry Sheet'!J272</f>
        <v>0</v>
      </c>
      <c r="E270">
        <f>'Vendor Entry Sheet'!D272</f>
        <v>0</v>
      </c>
      <c r="F270">
        <f>'Vendor Entry Sheet'!E272</f>
        <v>0</v>
      </c>
      <c r="H270" s="40">
        <f>'Vendor Entry Sheet'!F272</f>
        <v>0</v>
      </c>
      <c r="I270">
        <f>'Vendor Entry Sheet'!G272</f>
        <v>0</v>
      </c>
      <c r="K270" s="41">
        <v>1005</v>
      </c>
      <c r="L270">
        <f>'Vendor Entry Sheet'!H272</f>
        <v>0</v>
      </c>
      <c r="M270" s="41" t="s">
        <v>41</v>
      </c>
    </row>
    <row r="271" spans="1:13" x14ac:dyDescent="0.35">
      <c r="A271" s="37">
        <f>'Vendor Entry Sheet'!A273</f>
        <v>0</v>
      </c>
      <c r="B271" s="38">
        <f>'Vendor Entry Sheet'!C273</f>
        <v>0</v>
      </c>
      <c r="C271">
        <f>'Vendor Entry Sheet'!I273</f>
        <v>0</v>
      </c>
      <c r="D271" s="39">
        <f>'Vendor Entry Sheet'!J273</f>
        <v>0</v>
      </c>
      <c r="E271">
        <f>'Vendor Entry Sheet'!D273</f>
        <v>0</v>
      </c>
      <c r="F271">
        <f>'Vendor Entry Sheet'!E273</f>
        <v>0</v>
      </c>
      <c r="H271" s="40">
        <f>'Vendor Entry Sheet'!F273</f>
        <v>0</v>
      </c>
      <c r="I271">
        <f>'Vendor Entry Sheet'!G273</f>
        <v>0</v>
      </c>
      <c r="K271" s="41">
        <v>1005</v>
      </c>
      <c r="L271">
        <f>'Vendor Entry Sheet'!H273</f>
        <v>0</v>
      </c>
      <c r="M271" s="41" t="s">
        <v>41</v>
      </c>
    </row>
    <row r="272" spans="1:13" x14ac:dyDescent="0.35">
      <c r="A272" s="37">
        <f>'Vendor Entry Sheet'!A274</f>
        <v>0</v>
      </c>
      <c r="B272" s="38">
        <f>'Vendor Entry Sheet'!C274</f>
        <v>0</v>
      </c>
      <c r="C272">
        <f>'Vendor Entry Sheet'!I274</f>
        <v>0</v>
      </c>
      <c r="D272" s="39">
        <f>'Vendor Entry Sheet'!J274</f>
        <v>0</v>
      </c>
      <c r="E272">
        <f>'Vendor Entry Sheet'!D274</f>
        <v>0</v>
      </c>
      <c r="F272">
        <f>'Vendor Entry Sheet'!E274</f>
        <v>0</v>
      </c>
      <c r="H272" s="40">
        <f>'Vendor Entry Sheet'!F274</f>
        <v>0</v>
      </c>
      <c r="I272">
        <f>'Vendor Entry Sheet'!G274</f>
        <v>0</v>
      </c>
      <c r="K272" s="41">
        <v>1005</v>
      </c>
      <c r="L272">
        <f>'Vendor Entry Sheet'!H274</f>
        <v>0</v>
      </c>
      <c r="M272" s="41" t="s">
        <v>41</v>
      </c>
    </row>
    <row r="273" spans="1:13" x14ac:dyDescent="0.35">
      <c r="A273" s="37">
        <f>'Vendor Entry Sheet'!A275</f>
        <v>0</v>
      </c>
      <c r="B273" s="38">
        <f>'Vendor Entry Sheet'!C275</f>
        <v>0</v>
      </c>
      <c r="C273">
        <f>'Vendor Entry Sheet'!I275</f>
        <v>0</v>
      </c>
      <c r="D273" s="39">
        <f>'Vendor Entry Sheet'!J275</f>
        <v>0</v>
      </c>
      <c r="E273">
        <f>'Vendor Entry Sheet'!D275</f>
        <v>0</v>
      </c>
      <c r="F273">
        <f>'Vendor Entry Sheet'!E275</f>
        <v>0</v>
      </c>
      <c r="H273" s="40">
        <f>'Vendor Entry Sheet'!F275</f>
        <v>0</v>
      </c>
      <c r="I273">
        <f>'Vendor Entry Sheet'!G275</f>
        <v>0</v>
      </c>
      <c r="K273" s="41">
        <v>1005</v>
      </c>
      <c r="L273">
        <f>'Vendor Entry Sheet'!H275</f>
        <v>0</v>
      </c>
      <c r="M273" s="41" t="s">
        <v>41</v>
      </c>
    </row>
    <row r="274" spans="1:13" x14ac:dyDescent="0.35">
      <c r="A274" s="37">
        <f>'Vendor Entry Sheet'!A276</f>
        <v>0</v>
      </c>
      <c r="B274" s="38">
        <f>'Vendor Entry Sheet'!C276</f>
        <v>0</v>
      </c>
      <c r="C274">
        <f>'Vendor Entry Sheet'!I276</f>
        <v>0</v>
      </c>
      <c r="D274" s="39">
        <f>'Vendor Entry Sheet'!J276</f>
        <v>0</v>
      </c>
      <c r="E274">
        <f>'Vendor Entry Sheet'!D276</f>
        <v>0</v>
      </c>
      <c r="F274">
        <f>'Vendor Entry Sheet'!E276</f>
        <v>0</v>
      </c>
      <c r="H274" s="40">
        <f>'Vendor Entry Sheet'!F276</f>
        <v>0</v>
      </c>
      <c r="I274">
        <f>'Vendor Entry Sheet'!G276</f>
        <v>0</v>
      </c>
      <c r="K274" s="41">
        <v>1005</v>
      </c>
      <c r="L274">
        <f>'Vendor Entry Sheet'!H276</f>
        <v>0</v>
      </c>
      <c r="M274" s="41" t="s">
        <v>41</v>
      </c>
    </row>
    <row r="275" spans="1:13" x14ac:dyDescent="0.35">
      <c r="A275" s="37">
        <f>'Vendor Entry Sheet'!A277</f>
        <v>0</v>
      </c>
      <c r="B275" s="38">
        <f>'Vendor Entry Sheet'!C277</f>
        <v>0</v>
      </c>
      <c r="C275">
        <f>'Vendor Entry Sheet'!I277</f>
        <v>0</v>
      </c>
      <c r="D275" s="39">
        <f>'Vendor Entry Sheet'!J277</f>
        <v>0</v>
      </c>
      <c r="E275">
        <f>'Vendor Entry Sheet'!D277</f>
        <v>0</v>
      </c>
      <c r="F275">
        <f>'Vendor Entry Sheet'!E277</f>
        <v>0</v>
      </c>
      <c r="H275" s="40">
        <f>'Vendor Entry Sheet'!F277</f>
        <v>0</v>
      </c>
      <c r="I275">
        <f>'Vendor Entry Sheet'!G277</f>
        <v>0</v>
      </c>
      <c r="K275" s="41">
        <v>1005</v>
      </c>
      <c r="L275">
        <f>'Vendor Entry Sheet'!H277</f>
        <v>0</v>
      </c>
      <c r="M275" s="41" t="s">
        <v>41</v>
      </c>
    </row>
    <row r="276" spans="1:13" x14ac:dyDescent="0.35">
      <c r="A276" s="37">
        <f>'Vendor Entry Sheet'!A278</f>
        <v>0</v>
      </c>
      <c r="B276" s="38">
        <f>'Vendor Entry Sheet'!C278</f>
        <v>0</v>
      </c>
      <c r="C276">
        <f>'Vendor Entry Sheet'!I278</f>
        <v>0</v>
      </c>
      <c r="D276" s="39">
        <f>'Vendor Entry Sheet'!J278</f>
        <v>0</v>
      </c>
      <c r="E276">
        <f>'Vendor Entry Sheet'!D278</f>
        <v>0</v>
      </c>
      <c r="F276">
        <f>'Vendor Entry Sheet'!E278</f>
        <v>0</v>
      </c>
      <c r="H276" s="40">
        <f>'Vendor Entry Sheet'!F278</f>
        <v>0</v>
      </c>
      <c r="I276">
        <f>'Vendor Entry Sheet'!G278</f>
        <v>0</v>
      </c>
      <c r="K276" s="41">
        <v>1005</v>
      </c>
      <c r="L276">
        <f>'Vendor Entry Sheet'!H278</f>
        <v>0</v>
      </c>
      <c r="M276" s="41" t="s">
        <v>41</v>
      </c>
    </row>
    <row r="277" spans="1:13" x14ac:dyDescent="0.35">
      <c r="A277" s="37">
        <f>'Vendor Entry Sheet'!A279</f>
        <v>0</v>
      </c>
      <c r="B277" s="38">
        <f>'Vendor Entry Sheet'!C279</f>
        <v>0</v>
      </c>
      <c r="C277">
        <f>'Vendor Entry Sheet'!I279</f>
        <v>0</v>
      </c>
      <c r="D277" s="39">
        <f>'Vendor Entry Sheet'!J279</f>
        <v>0</v>
      </c>
      <c r="E277">
        <f>'Vendor Entry Sheet'!D279</f>
        <v>0</v>
      </c>
      <c r="F277">
        <f>'Vendor Entry Sheet'!E279</f>
        <v>0</v>
      </c>
      <c r="H277" s="40">
        <f>'Vendor Entry Sheet'!F279</f>
        <v>0</v>
      </c>
      <c r="I277">
        <f>'Vendor Entry Sheet'!G279</f>
        <v>0</v>
      </c>
      <c r="K277" s="41">
        <v>1005</v>
      </c>
      <c r="L277">
        <f>'Vendor Entry Sheet'!H279</f>
        <v>0</v>
      </c>
      <c r="M277" s="41" t="s">
        <v>41</v>
      </c>
    </row>
    <row r="278" spans="1:13" x14ac:dyDescent="0.35">
      <c r="A278" s="37">
        <f>'Vendor Entry Sheet'!A280</f>
        <v>0</v>
      </c>
      <c r="B278" s="38">
        <f>'Vendor Entry Sheet'!C280</f>
        <v>0</v>
      </c>
      <c r="C278">
        <f>'Vendor Entry Sheet'!I280</f>
        <v>0</v>
      </c>
      <c r="D278" s="39">
        <f>'Vendor Entry Sheet'!J280</f>
        <v>0</v>
      </c>
      <c r="E278">
        <f>'Vendor Entry Sheet'!D280</f>
        <v>0</v>
      </c>
      <c r="F278">
        <f>'Vendor Entry Sheet'!E280</f>
        <v>0</v>
      </c>
      <c r="H278" s="40">
        <f>'Vendor Entry Sheet'!F280</f>
        <v>0</v>
      </c>
      <c r="I278">
        <f>'Vendor Entry Sheet'!G280</f>
        <v>0</v>
      </c>
      <c r="K278" s="41">
        <v>1005</v>
      </c>
      <c r="L278">
        <f>'Vendor Entry Sheet'!H280</f>
        <v>0</v>
      </c>
      <c r="M278" s="41" t="s">
        <v>41</v>
      </c>
    </row>
    <row r="279" spans="1:13" x14ac:dyDescent="0.35">
      <c r="A279" s="37">
        <f>'Vendor Entry Sheet'!A281</f>
        <v>0</v>
      </c>
      <c r="B279" s="38">
        <f>'Vendor Entry Sheet'!C281</f>
        <v>0</v>
      </c>
      <c r="C279">
        <f>'Vendor Entry Sheet'!I281</f>
        <v>0</v>
      </c>
      <c r="D279" s="39">
        <f>'Vendor Entry Sheet'!J281</f>
        <v>0</v>
      </c>
      <c r="E279">
        <f>'Vendor Entry Sheet'!D281</f>
        <v>0</v>
      </c>
      <c r="F279">
        <f>'Vendor Entry Sheet'!E281</f>
        <v>0</v>
      </c>
      <c r="H279" s="40">
        <f>'Vendor Entry Sheet'!F281</f>
        <v>0</v>
      </c>
      <c r="I279">
        <f>'Vendor Entry Sheet'!G281</f>
        <v>0</v>
      </c>
      <c r="K279" s="41">
        <v>1005</v>
      </c>
      <c r="L279">
        <f>'Vendor Entry Sheet'!H281</f>
        <v>0</v>
      </c>
      <c r="M279" s="41" t="s">
        <v>41</v>
      </c>
    </row>
    <row r="280" spans="1:13" x14ac:dyDescent="0.35">
      <c r="A280" s="37">
        <f>'Vendor Entry Sheet'!A282</f>
        <v>0</v>
      </c>
      <c r="B280" s="38">
        <f>'Vendor Entry Sheet'!C282</f>
        <v>0</v>
      </c>
      <c r="C280">
        <f>'Vendor Entry Sheet'!I282</f>
        <v>0</v>
      </c>
      <c r="D280" s="39">
        <f>'Vendor Entry Sheet'!J282</f>
        <v>0</v>
      </c>
      <c r="E280">
        <f>'Vendor Entry Sheet'!D282</f>
        <v>0</v>
      </c>
      <c r="F280">
        <f>'Vendor Entry Sheet'!E282</f>
        <v>0</v>
      </c>
      <c r="H280" s="40">
        <f>'Vendor Entry Sheet'!F282</f>
        <v>0</v>
      </c>
      <c r="I280">
        <f>'Vendor Entry Sheet'!G282</f>
        <v>0</v>
      </c>
      <c r="K280" s="41">
        <v>1005</v>
      </c>
      <c r="L280">
        <f>'Vendor Entry Sheet'!H282</f>
        <v>0</v>
      </c>
      <c r="M280" s="41" t="s">
        <v>41</v>
      </c>
    </row>
    <row r="281" spans="1:13" x14ac:dyDescent="0.35">
      <c r="A281" s="37">
        <f>'Vendor Entry Sheet'!A283</f>
        <v>0</v>
      </c>
      <c r="B281" s="38">
        <f>'Vendor Entry Sheet'!C283</f>
        <v>0</v>
      </c>
      <c r="C281">
        <f>'Vendor Entry Sheet'!I283</f>
        <v>0</v>
      </c>
      <c r="D281" s="39">
        <f>'Vendor Entry Sheet'!J283</f>
        <v>0</v>
      </c>
      <c r="E281">
        <f>'Vendor Entry Sheet'!D283</f>
        <v>0</v>
      </c>
      <c r="F281">
        <f>'Vendor Entry Sheet'!E283</f>
        <v>0</v>
      </c>
      <c r="H281" s="40">
        <f>'Vendor Entry Sheet'!F283</f>
        <v>0</v>
      </c>
      <c r="I281">
        <f>'Vendor Entry Sheet'!G283</f>
        <v>0</v>
      </c>
      <c r="K281" s="41">
        <v>1005</v>
      </c>
      <c r="L281">
        <f>'Vendor Entry Sheet'!H283</f>
        <v>0</v>
      </c>
      <c r="M281" s="41" t="s">
        <v>41</v>
      </c>
    </row>
    <row r="282" spans="1:13" x14ac:dyDescent="0.35">
      <c r="A282" s="37">
        <f>'Vendor Entry Sheet'!A284</f>
        <v>0</v>
      </c>
      <c r="B282" s="38">
        <f>'Vendor Entry Sheet'!C284</f>
        <v>0</v>
      </c>
      <c r="C282">
        <f>'Vendor Entry Sheet'!I284</f>
        <v>0</v>
      </c>
      <c r="D282" s="39">
        <f>'Vendor Entry Sheet'!J284</f>
        <v>0</v>
      </c>
      <c r="E282">
        <f>'Vendor Entry Sheet'!D284</f>
        <v>0</v>
      </c>
      <c r="F282">
        <f>'Vendor Entry Sheet'!E284</f>
        <v>0</v>
      </c>
      <c r="H282" s="40">
        <f>'Vendor Entry Sheet'!F284</f>
        <v>0</v>
      </c>
      <c r="I282">
        <f>'Vendor Entry Sheet'!G284</f>
        <v>0</v>
      </c>
      <c r="K282" s="41">
        <v>1005</v>
      </c>
      <c r="L282">
        <f>'Vendor Entry Sheet'!H284</f>
        <v>0</v>
      </c>
      <c r="M282" s="41" t="s">
        <v>41</v>
      </c>
    </row>
    <row r="283" spans="1:13" x14ac:dyDescent="0.35">
      <c r="A283" s="37">
        <f>'Vendor Entry Sheet'!A285</f>
        <v>0</v>
      </c>
      <c r="B283" s="38">
        <f>'Vendor Entry Sheet'!C285</f>
        <v>0</v>
      </c>
      <c r="C283">
        <f>'Vendor Entry Sheet'!I285</f>
        <v>0</v>
      </c>
      <c r="D283" s="39">
        <f>'Vendor Entry Sheet'!J285</f>
        <v>0</v>
      </c>
      <c r="E283">
        <f>'Vendor Entry Sheet'!D285</f>
        <v>0</v>
      </c>
      <c r="F283">
        <f>'Vendor Entry Sheet'!E285</f>
        <v>0</v>
      </c>
      <c r="H283" s="40">
        <f>'Vendor Entry Sheet'!F285</f>
        <v>0</v>
      </c>
      <c r="I283">
        <f>'Vendor Entry Sheet'!G285</f>
        <v>0</v>
      </c>
      <c r="K283" s="41">
        <v>1005</v>
      </c>
      <c r="L283">
        <f>'Vendor Entry Sheet'!H285</f>
        <v>0</v>
      </c>
      <c r="M283" s="41" t="s">
        <v>41</v>
      </c>
    </row>
    <row r="284" spans="1:13" x14ac:dyDescent="0.35">
      <c r="A284" s="37">
        <f>'Vendor Entry Sheet'!A286</f>
        <v>0</v>
      </c>
      <c r="B284" s="38">
        <f>'Vendor Entry Sheet'!C286</f>
        <v>0</v>
      </c>
      <c r="C284">
        <f>'Vendor Entry Sheet'!I286</f>
        <v>0</v>
      </c>
      <c r="D284" s="39">
        <f>'Vendor Entry Sheet'!J286</f>
        <v>0</v>
      </c>
      <c r="E284">
        <f>'Vendor Entry Sheet'!D286</f>
        <v>0</v>
      </c>
      <c r="F284">
        <f>'Vendor Entry Sheet'!E286</f>
        <v>0</v>
      </c>
      <c r="H284" s="40">
        <f>'Vendor Entry Sheet'!F286</f>
        <v>0</v>
      </c>
      <c r="I284">
        <f>'Vendor Entry Sheet'!G286</f>
        <v>0</v>
      </c>
      <c r="K284" s="41">
        <v>1005</v>
      </c>
      <c r="L284">
        <f>'Vendor Entry Sheet'!H286</f>
        <v>0</v>
      </c>
      <c r="M284" s="41" t="s">
        <v>41</v>
      </c>
    </row>
    <row r="285" spans="1:13" x14ac:dyDescent="0.35">
      <c r="A285" s="37">
        <f>'Vendor Entry Sheet'!A287</f>
        <v>0</v>
      </c>
      <c r="B285" s="38">
        <f>'Vendor Entry Sheet'!C287</f>
        <v>0</v>
      </c>
      <c r="C285">
        <f>'Vendor Entry Sheet'!I287</f>
        <v>0</v>
      </c>
      <c r="D285" s="39">
        <f>'Vendor Entry Sheet'!J287</f>
        <v>0</v>
      </c>
      <c r="E285">
        <f>'Vendor Entry Sheet'!D287</f>
        <v>0</v>
      </c>
      <c r="F285">
        <f>'Vendor Entry Sheet'!E287</f>
        <v>0</v>
      </c>
      <c r="H285" s="40">
        <f>'Vendor Entry Sheet'!F287</f>
        <v>0</v>
      </c>
      <c r="I285">
        <f>'Vendor Entry Sheet'!G287</f>
        <v>0</v>
      </c>
      <c r="K285" s="41">
        <v>1005</v>
      </c>
      <c r="L285">
        <f>'Vendor Entry Sheet'!H287</f>
        <v>0</v>
      </c>
      <c r="M285" s="41" t="s">
        <v>41</v>
      </c>
    </row>
    <row r="286" spans="1:13" x14ac:dyDescent="0.35">
      <c r="A286" s="37">
        <f>'Vendor Entry Sheet'!A288</f>
        <v>0</v>
      </c>
      <c r="B286" s="38">
        <f>'Vendor Entry Sheet'!C288</f>
        <v>0</v>
      </c>
      <c r="C286">
        <f>'Vendor Entry Sheet'!I288</f>
        <v>0</v>
      </c>
      <c r="D286" s="39">
        <f>'Vendor Entry Sheet'!J288</f>
        <v>0</v>
      </c>
      <c r="E286">
        <f>'Vendor Entry Sheet'!D288</f>
        <v>0</v>
      </c>
      <c r="F286">
        <f>'Vendor Entry Sheet'!E288</f>
        <v>0</v>
      </c>
      <c r="H286" s="40">
        <f>'Vendor Entry Sheet'!F288</f>
        <v>0</v>
      </c>
      <c r="I286">
        <f>'Vendor Entry Sheet'!G288</f>
        <v>0</v>
      </c>
      <c r="K286" s="41">
        <v>1005</v>
      </c>
      <c r="L286">
        <f>'Vendor Entry Sheet'!H288</f>
        <v>0</v>
      </c>
      <c r="M286" s="41" t="s">
        <v>41</v>
      </c>
    </row>
    <row r="287" spans="1:13" x14ac:dyDescent="0.35">
      <c r="A287" s="37">
        <f>'Vendor Entry Sheet'!A289</f>
        <v>0</v>
      </c>
      <c r="B287" s="38">
        <f>'Vendor Entry Sheet'!C289</f>
        <v>0</v>
      </c>
      <c r="C287">
        <f>'Vendor Entry Sheet'!I289</f>
        <v>0</v>
      </c>
      <c r="D287" s="39">
        <f>'Vendor Entry Sheet'!J289</f>
        <v>0</v>
      </c>
      <c r="E287">
        <f>'Vendor Entry Sheet'!D289</f>
        <v>0</v>
      </c>
      <c r="F287">
        <f>'Vendor Entry Sheet'!E289</f>
        <v>0</v>
      </c>
      <c r="H287" s="40">
        <f>'Vendor Entry Sheet'!F289</f>
        <v>0</v>
      </c>
      <c r="I287">
        <f>'Vendor Entry Sheet'!G289</f>
        <v>0</v>
      </c>
      <c r="K287" s="41">
        <v>1005</v>
      </c>
      <c r="L287">
        <f>'Vendor Entry Sheet'!H289</f>
        <v>0</v>
      </c>
      <c r="M287" s="41" t="s">
        <v>41</v>
      </c>
    </row>
    <row r="288" spans="1:13" x14ac:dyDescent="0.35">
      <c r="A288" s="37">
        <f>'Vendor Entry Sheet'!A290</f>
        <v>0</v>
      </c>
      <c r="B288" s="38">
        <f>'Vendor Entry Sheet'!C290</f>
        <v>0</v>
      </c>
      <c r="C288">
        <f>'Vendor Entry Sheet'!I290</f>
        <v>0</v>
      </c>
      <c r="D288" s="39">
        <f>'Vendor Entry Sheet'!J290</f>
        <v>0</v>
      </c>
      <c r="E288">
        <f>'Vendor Entry Sheet'!D290</f>
        <v>0</v>
      </c>
      <c r="F288">
        <f>'Vendor Entry Sheet'!E290</f>
        <v>0</v>
      </c>
      <c r="H288" s="40">
        <f>'Vendor Entry Sheet'!F290</f>
        <v>0</v>
      </c>
      <c r="I288">
        <f>'Vendor Entry Sheet'!G290</f>
        <v>0</v>
      </c>
      <c r="K288" s="41">
        <v>1005</v>
      </c>
      <c r="L288">
        <f>'Vendor Entry Sheet'!H290</f>
        <v>0</v>
      </c>
      <c r="M288" s="41" t="s">
        <v>41</v>
      </c>
    </row>
    <row r="289" spans="1:13" x14ac:dyDescent="0.35">
      <c r="A289" s="37">
        <f>'Vendor Entry Sheet'!A291</f>
        <v>0</v>
      </c>
      <c r="B289" s="38">
        <f>'Vendor Entry Sheet'!C291</f>
        <v>0</v>
      </c>
      <c r="C289">
        <f>'Vendor Entry Sheet'!I291</f>
        <v>0</v>
      </c>
      <c r="D289" s="39">
        <f>'Vendor Entry Sheet'!J291</f>
        <v>0</v>
      </c>
      <c r="E289">
        <f>'Vendor Entry Sheet'!D291</f>
        <v>0</v>
      </c>
      <c r="F289">
        <f>'Vendor Entry Sheet'!E291</f>
        <v>0</v>
      </c>
      <c r="H289" s="40">
        <f>'Vendor Entry Sheet'!F291</f>
        <v>0</v>
      </c>
      <c r="I289">
        <f>'Vendor Entry Sheet'!G291</f>
        <v>0</v>
      </c>
      <c r="K289" s="41">
        <v>1005</v>
      </c>
      <c r="L289">
        <f>'Vendor Entry Sheet'!H291</f>
        <v>0</v>
      </c>
      <c r="M289" s="41" t="s">
        <v>41</v>
      </c>
    </row>
    <row r="290" spans="1:13" x14ac:dyDescent="0.35">
      <c r="A290" s="37">
        <f>'Vendor Entry Sheet'!A292</f>
        <v>0</v>
      </c>
      <c r="B290" s="38">
        <f>'Vendor Entry Sheet'!C292</f>
        <v>0</v>
      </c>
      <c r="C290">
        <f>'Vendor Entry Sheet'!I292</f>
        <v>0</v>
      </c>
      <c r="D290" s="39">
        <f>'Vendor Entry Sheet'!J292</f>
        <v>0</v>
      </c>
      <c r="E290">
        <f>'Vendor Entry Sheet'!D292</f>
        <v>0</v>
      </c>
      <c r="F290">
        <f>'Vendor Entry Sheet'!E292</f>
        <v>0</v>
      </c>
      <c r="H290" s="40">
        <f>'Vendor Entry Sheet'!F292</f>
        <v>0</v>
      </c>
      <c r="I290">
        <f>'Vendor Entry Sheet'!G292</f>
        <v>0</v>
      </c>
      <c r="K290" s="41">
        <v>1005</v>
      </c>
      <c r="L290">
        <f>'Vendor Entry Sheet'!H292</f>
        <v>0</v>
      </c>
      <c r="M290" s="41" t="s">
        <v>41</v>
      </c>
    </row>
    <row r="291" spans="1:13" x14ac:dyDescent="0.35">
      <c r="A291" s="37">
        <f>'Vendor Entry Sheet'!A293</f>
        <v>0</v>
      </c>
      <c r="B291" s="38">
        <f>'Vendor Entry Sheet'!C293</f>
        <v>0</v>
      </c>
      <c r="C291">
        <f>'Vendor Entry Sheet'!I293</f>
        <v>0</v>
      </c>
      <c r="D291" s="39">
        <f>'Vendor Entry Sheet'!J293</f>
        <v>0</v>
      </c>
      <c r="E291">
        <f>'Vendor Entry Sheet'!D293</f>
        <v>0</v>
      </c>
      <c r="F291">
        <f>'Vendor Entry Sheet'!E293</f>
        <v>0</v>
      </c>
      <c r="H291" s="40">
        <f>'Vendor Entry Sheet'!F293</f>
        <v>0</v>
      </c>
      <c r="I291">
        <f>'Vendor Entry Sheet'!G293</f>
        <v>0</v>
      </c>
      <c r="K291" s="41">
        <v>1005</v>
      </c>
      <c r="L291">
        <f>'Vendor Entry Sheet'!H293</f>
        <v>0</v>
      </c>
      <c r="M291" s="41" t="s">
        <v>41</v>
      </c>
    </row>
    <row r="292" spans="1:13" x14ac:dyDescent="0.35">
      <c r="A292" s="37">
        <f>'Vendor Entry Sheet'!A294</f>
        <v>0</v>
      </c>
      <c r="B292" s="38">
        <f>'Vendor Entry Sheet'!C294</f>
        <v>0</v>
      </c>
      <c r="C292">
        <f>'Vendor Entry Sheet'!I294</f>
        <v>0</v>
      </c>
      <c r="D292" s="39">
        <f>'Vendor Entry Sheet'!J294</f>
        <v>0</v>
      </c>
      <c r="E292">
        <f>'Vendor Entry Sheet'!D294</f>
        <v>0</v>
      </c>
      <c r="F292">
        <f>'Vendor Entry Sheet'!E294</f>
        <v>0</v>
      </c>
      <c r="H292" s="40">
        <f>'Vendor Entry Sheet'!F294</f>
        <v>0</v>
      </c>
      <c r="I292">
        <f>'Vendor Entry Sheet'!G294</f>
        <v>0</v>
      </c>
      <c r="K292" s="41">
        <v>1005</v>
      </c>
      <c r="L292">
        <f>'Vendor Entry Sheet'!H294</f>
        <v>0</v>
      </c>
      <c r="M292" s="41" t="s">
        <v>41</v>
      </c>
    </row>
    <row r="293" spans="1:13" x14ac:dyDescent="0.35">
      <c r="A293" s="37">
        <f>'Vendor Entry Sheet'!A295</f>
        <v>0</v>
      </c>
      <c r="B293" s="38">
        <f>'Vendor Entry Sheet'!C295</f>
        <v>0</v>
      </c>
      <c r="C293">
        <f>'Vendor Entry Sheet'!I295</f>
        <v>0</v>
      </c>
      <c r="D293" s="39">
        <f>'Vendor Entry Sheet'!J295</f>
        <v>0</v>
      </c>
      <c r="E293">
        <f>'Vendor Entry Sheet'!D295</f>
        <v>0</v>
      </c>
      <c r="F293">
        <f>'Vendor Entry Sheet'!E295</f>
        <v>0</v>
      </c>
      <c r="H293" s="40">
        <f>'Vendor Entry Sheet'!F295</f>
        <v>0</v>
      </c>
      <c r="I293">
        <f>'Vendor Entry Sheet'!G295</f>
        <v>0</v>
      </c>
      <c r="K293" s="41">
        <v>1005</v>
      </c>
      <c r="L293">
        <f>'Vendor Entry Sheet'!H295</f>
        <v>0</v>
      </c>
      <c r="M293" s="41" t="s">
        <v>41</v>
      </c>
    </row>
    <row r="294" spans="1:13" x14ac:dyDescent="0.35">
      <c r="A294" s="37">
        <f>'Vendor Entry Sheet'!A296</f>
        <v>0</v>
      </c>
      <c r="B294" s="38">
        <f>'Vendor Entry Sheet'!C296</f>
        <v>0</v>
      </c>
      <c r="C294">
        <f>'Vendor Entry Sheet'!I296</f>
        <v>0</v>
      </c>
      <c r="D294" s="39">
        <f>'Vendor Entry Sheet'!J296</f>
        <v>0</v>
      </c>
      <c r="E294">
        <f>'Vendor Entry Sheet'!D296</f>
        <v>0</v>
      </c>
      <c r="F294">
        <f>'Vendor Entry Sheet'!E296</f>
        <v>0</v>
      </c>
      <c r="H294" s="40">
        <f>'Vendor Entry Sheet'!F296</f>
        <v>0</v>
      </c>
      <c r="I294">
        <f>'Vendor Entry Sheet'!G296</f>
        <v>0</v>
      </c>
      <c r="K294" s="41">
        <v>1005</v>
      </c>
      <c r="L294">
        <f>'Vendor Entry Sheet'!H296</f>
        <v>0</v>
      </c>
      <c r="M294" s="41" t="s">
        <v>41</v>
      </c>
    </row>
    <row r="295" spans="1:13" x14ac:dyDescent="0.35">
      <c r="A295" s="37">
        <f>'Vendor Entry Sheet'!A297</f>
        <v>0</v>
      </c>
      <c r="B295" s="38">
        <f>'Vendor Entry Sheet'!C297</f>
        <v>0</v>
      </c>
      <c r="C295">
        <f>'Vendor Entry Sheet'!I297</f>
        <v>0</v>
      </c>
      <c r="D295" s="39">
        <f>'Vendor Entry Sheet'!J297</f>
        <v>0</v>
      </c>
      <c r="E295">
        <f>'Vendor Entry Sheet'!D297</f>
        <v>0</v>
      </c>
      <c r="F295">
        <f>'Vendor Entry Sheet'!E297</f>
        <v>0</v>
      </c>
      <c r="H295" s="40">
        <f>'Vendor Entry Sheet'!F297</f>
        <v>0</v>
      </c>
      <c r="I295">
        <f>'Vendor Entry Sheet'!G297</f>
        <v>0</v>
      </c>
      <c r="K295" s="41">
        <v>1005</v>
      </c>
      <c r="L295">
        <f>'Vendor Entry Sheet'!H297</f>
        <v>0</v>
      </c>
      <c r="M295" s="41" t="s">
        <v>41</v>
      </c>
    </row>
    <row r="296" spans="1:13" x14ac:dyDescent="0.35">
      <c r="A296" s="37">
        <f>'Vendor Entry Sheet'!A298</f>
        <v>0</v>
      </c>
      <c r="B296" s="38">
        <f>'Vendor Entry Sheet'!C298</f>
        <v>0</v>
      </c>
      <c r="C296">
        <f>'Vendor Entry Sheet'!I298</f>
        <v>0</v>
      </c>
      <c r="D296" s="39">
        <f>'Vendor Entry Sheet'!J298</f>
        <v>0</v>
      </c>
      <c r="E296">
        <f>'Vendor Entry Sheet'!D298</f>
        <v>0</v>
      </c>
      <c r="F296">
        <f>'Vendor Entry Sheet'!E298</f>
        <v>0</v>
      </c>
      <c r="H296" s="40">
        <f>'Vendor Entry Sheet'!F298</f>
        <v>0</v>
      </c>
      <c r="I296">
        <f>'Vendor Entry Sheet'!G298</f>
        <v>0</v>
      </c>
      <c r="K296" s="41">
        <v>1005</v>
      </c>
      <c r="L296">
        <f>'Vendor Entry Sheet'!H298</f>
        <v>0</v>
      </c>
      <c r="M296" s="41" t="s">
        <v>41</v>
      </c>
    </row>
    <row r="297" spans="1:13" x14ac:dyDescent="0.35">
      <c r="A297" s="37">
        <f>'Vendor Entry Sheet'!A299</f>
        <v>0</v>
      </c>
      <c r="B297" s="38">
        <f>'Vendor Entry Sheet'!C299</f>
        <v>0</v>
      </c>
      <c r="C297">
        <f>'Vendor Entry Sheet'!I299</f>
        <v>0</v>
      </c>
      <c r="D297" s="39">
        <f>'Vendor Entry Sheet'!J299</f>
        <v>0</v>
      </c>
      <c r="E297">
        <f>'Vendor Entry Sheet'!D299</f>
        <v>0</v>
      </c>
      <c r="F297">
        <f>'Vendor Entry Sheet'!E299</f>
        <v>0</v>
      </c>
      <c r="H297" s="40">
        <f>'Vendor Entry Sheet'!F299</f>
        <v>0</v>
      </c>
      <c r="I297">
        <f>'Vendor Entry Sheet'!G299</f>
        <v>0</v>
      </c>
      <c r="K297" s="41">
        <v>1005</v>
      </c>
      <c r="L297">
        <f>'Vendor Entry Sheet'!H299</f>
        <v>0</v>
      </c>
      <c r="M297" s="41" t="s">
        <v>41</v>
      </c>
    </row>
    <row r="298" spans="1:13" x14ac:dyDescent="0.35">
      <c r="A298" s="37">
        <f>'Vendor Entry Sheet'!A300</f>
        <v>0</v>
      </c>
      <c r="B298" s="38">
        <f>'Vendor Entry Sheet'!C300</f>
        <v>0</v>
      </c>
      <c r="C298">
        <f>'Vendor Entry Sheet'!I300</f>
        <v>0</v>
      </c>
      <c r="D298" s="39">
        <f>'Vendor Entry Sheet'!J300</f>
        <v>0</v>
      </c>
      <c r="E298">
        <f>'Vendor Entry Sheet'!D300</f>
        <v>0</v>
      </c>
      <c r="F298">
        <f>'Vendor Entry Sheet'!E300</f>
        <v>0</v>
      </c>
      <c r="H298" s="40">
        <f>'Vendor Entry Sheet'!F300</f>
        <v>0</v>
      </c>
      <c r="I298">
        <f>'Vendor Entry Sheet'!G300</f>
        <v>0</v>
      </c>
      <c r="K298" s="41">
        <v>1005</v>
      </c>
      <c r="L298">
        <f>'Vendor Entry Sheet'!H300</f>
        <v>0</v>
      </c>
      <c r="M298" s="41" t="s">
        <v>41</v>
      </c>
    </row>
    <row r="299" spans="1:13" x14ac:dyDescent="0.35">
      <c r="A299" s="37">
        <f>'Vendor Entry Sheet'!A301</f>
        <v>0</v>
      </c>
      <c r="B299" s="38">
        <f>'Vendor Entry Sheet'!C301</f>
        <v>0</v>
      </c>
      <c r="C299">
        <f>'Vendor Entry Sheet'!I301</f>
        <v>0</v>
      </c>
      <c r="D299" s="39">
        <f>'Vendor Entry Sheet'!J301</f>
        <v>0</v>
      </c>
      <c r="E299">
        <f>'Vendor Entry Sheet'!D301</f>
        <v>0</v>
      </c>
      <c r="F299">
        <f>'Vendor Entry Sheet'!E301</f>
        <v>0</v>
      </c>
      <c r="H299" s="40">
        <f>'Vendor Entry Sheet'!F301</f>
        <v>0</v>
      </c>
      <c r="I299">
        <f>'Vendor Entry Sheet'!G301</f>
        <v>0</v>
      </c>
      <c r="K299" s="41">
        <v>1005</v>
      </c>
      <c r="L299">
        <f>'Vendor Entry Sheet'!H301</f>
        <v>0</v>
      </c>
      <c r="M299" s="41" t="s">
        <v>41</v>
      </c>
    </row>
    <row r="300" spans="1:13" x14ac:dyDescent="0.35">
      <c r="A300" s="37">
        <f>'Vendor Entry Sheet'!A302</f>
        <v>0</v>
      </c>
      <c r="B300" s="38">
        <f>'Vendor Entry Sheet'!C302</f>
        <v>0</v>
      </c>
      <c r="C300">
        <f>'Vendor Entry Sheet'!I302</f>
        <v>0</v>
      </c>
      <c r="D300" s="39">
        <f>'Vendor Entry Sheet'!J302</f>
        <v>0</v>
      </c>
      <c r="E300">
        <f>'Vendor Entry Sheet'!D302</f>
        <v>0</v>
      </c>
      <c r="F300">
        <f>'Vendor Entry Sheet'!E302</f>
        <v>0</v>
      </c>
      <c r="H300" s="40">
        <f>'Vendor Entry Sheet'!F302</f>
        <v>0</v>
      </c>
      <c r="I300">
        <f>'Vendor Entry Sheet'!G302</f>
        <v>0</v>
      </c>
      <c r="K300" s="41">
        <v>1005</v>
      </c>
      <c r="L300">
        <f>'Vendor Entry Sheet'!H302</f>
        <v>0</v>
      </c>
      <c r="M300" s="41" t="s">
        <v>41</v>
      </c>
    </row>
    <row r="301" spans="1:13" x14ac:dyDescent="0.35">
      <c r="A301" s="37">
        <f>'Vendor Entry Sheet'!A303</f>
        <v>0</v>
      </c>
      <c r="B301" s="38">
        <f>'Vendor Entry Sheet'!C303</f>
        <v>0</v>
      </c>
      <c r="C301">
        <f>'Vendor Entry Sheet'!I303</f>
        <v>0</v>
      </c>
      <c r="D301" s="39">
        <f>'Vendor Entry Sheet'!J303</f>
        <v>0</v>
      </c>
      <c r="E301">
        <f>'Vendor Entry Sheet'!D303</f>
        <v>0</v>
      </c>
      <c r="F301">
        <f>'Vendor Entry Sheet'!E303</f>
        <v>0</v>
      </c>
      <c r="H301" s="40">
        <f>'Vendor Entry Sheet'!F303</f>
        <v>0</v>
      </c>
      <c r="I301">
        <f>'Vendor Entry Sheet'!G303</f>
        <v>0</v>
      </c>
      <c r="K301" s="41">
        <v>1005</v>
      </c>
      <c r="L301">
        <f>'Vendor Entry Sheet'!H303</f>
        <v>0</v>
      </c>
      <c r="M301" s="41" t="s">
        <v>41</v>
      </c>
    </row>
    <row r="302" spans="1:13" x14ac:dyDescent="0.35">
      <c r="A302" s="37">
        <f>'Vendor Entry Sheet'!A304</f>
        <v>0</v>
      </c>
      <c r="B302" s="38">
        <f>'Vendor Entry Sheet'!C304</f>
        <v>0</v>
      </c>
      <c r="C302">
        <f>'Vendor Entry Sheet'!I304</f>
        <v>0</v>
      </c>
      <c r="D302" s="39">
        <f>'Vendor Entry Sheet'!J304</f>
        <v>0</v>
      </c>
      <c r="E302">
        <f>'Vendor Entry Sheet'!D304</f>
        <v>0</v>
      </c>
      <c r="F302">
        <f>'Vendor Entry Sheet'!E304</f>
        <v>0</v>
      </c>
      <c r="H302" s="40">
        <f>'Vendor Entry Sheet'!F304</f>
        <v>0</v>
      </c>
      <c r="I302">
        <f>'Vendor Entry Sheet'!G304</f>
        <v>0</v>
      </c>
      <c r="K302" s="41">
        <v>1005</v>
      </c>
      <c r="L302">
        <f>'Vendor Entry Sheet'!H304</f>
        <v>0</v>
      </c>
      <c r="M302" s="41" t="s">
        <v>41</v>
      </c>
    </row>
    <row r="303" spans="1:13" x14ac:dyDescent="0.35">
      <c r="A303" s="37">
        <f>'Vendor Entry Sheet'!A305</f>
        <v>0</v>
      </c>
      <c r="B303" s="38">
        <f>'Vendor Entry Sheet'!C305</f>
        <v>0</v>
      </c>
      <c r="C303">
        <f>'Vendor Entry Sheet'!I305</f>
        <v>0</v>
      </c>
      <c r="D303" s="39">
        <f>'Vendor Entry Sheet'!J305</f>
        <v>0</v>
      </c>
      <c r="E303">
        <f>'Vendor Entry Sheet'!D305</f>
        <v>0</v>
      </c>
      <c r="F303">
        <f>'Vendor Entry Sheet'!E305</f>
        <v>0</v>
      </c>
      <c r="H303" s="40">
        <f>'Vendor Entry Sheet'!F305</f>
        <v>0</v>
      </c>
      <c r="I303">
        <f>'Vendor Entry Sheet'!G305</f>
        <v>0</v>
      </c>
      <c r="K303" s="41">
        <v>1005</v>
      </c>
      <c r="L303">
        <f>'Vendor Entry Sheet'!H305</f>
        <v>0</v>
      </c>
      <c r="M303" s="41" t="s">
        <v>41</v>
      </c>
    </row>
    <row r="304" spans="1:13" x14ac:dyDescent="0.35">
      <c r="A304" s="37">
        <f>'Vendor Entry Sheet'!A306</f>
        <v>0</v>
      </c>
      <c r="B304" s="38">
        <f>'Vendor Entry Sheet'!C306</f>
        <v>0</v>
      </c>
      <c r="C304">
        <f>'Vendor Entry Sheet'!I306</f>
        <v>0</v>
      </c>
      <c r="D304" s="39">
        <f>'Vendor Entry Sheet'!J306</f>
        <v>0</v>
      </c>
      <c r="E304">
        <f>'Vendor Entry Sheet'!D306</f>
        <v>0</v>
      </c>
      <c r="F304">
        <f>'Vendor Entry Sheet'!E306</f>
        <v>0</v>
      </c>
      <c r="H304" s="40">
        <f>'Vendor Entry Sheet'!F306</f>
        <v>0</v>
      </c>
      <c r="I304">
        <f>'Vendor Entry Sheet'!G306</f>
        <v>0</v>
      </c>
      <c r="K304" s="41">
        <v>1005</v>
      </c>
      <c r="L304">
        <f>'Vendor Entry Sheet'!H306</f>
        <v>0</v>
      </c>
      <c r="M304" s="41" t="s">
        <v>41</v>
      </c>
    </row>
    <row r="305" spans="1:13" x14ac:dyDescent="0.35">
      <c r="A305" s="37">
        <f>'Vendor Entry Sheet'!A307</f>
        <v>0</v>
      </c>
      <c r="B305" s="38">
        <f>'Vendor Entry Sheet'!C307</f>
        <v>0</v>
      </c>
      <c r="C305">
        <f>'Vendor Entry Sheet'!I307</f>
        <v>0</v>
      </c>
      <c r="D305" s="39">
        <f>'Vendor Entry Sheet'!J307</f>
        <v>0</v>
      </c>
      <c r="E305">
        <f>'Vendor Entry Sheet'!D307</f>
        <v>0</v>
      </c>
      <c r="F305">
        <f>'Vendor Entry Sheet'!E307</f>
        <v>0</v>
      </c>
      <c r="H305" s="40">
        <f>'Vendor Entry Sheet'!F307</f>
        <v>0</v>
      </c>
      <c r="I305">
        <f>'Vendor Entry Sheet'!G307</f>
        <v>0</v>
      </c>
      <c r="K305" s="41">
        <v>1005</v>
      </c>
      <c r="L305">
        <f>'Vendor Entry Sheet'!H307</f>
        <v>0</v>
      </c>
      <c r="M305" s="41" t="s">
        <v>41</v>
      </c>
    </row>
    <row r="306" spans="1:13" x14ac:dyDescent="0.35">
      <c r="A306" s="37">
        <f>'Vendor Entry Sheet'!A308</f>
        <v>0</v>
      </c>
      <c r="B306" s="38">
        <f>'Vendor Entry Sheet'!C308</f>
        <v>0</v>
      </c>
      <c r="C306">
        <f>'Vendor Entry Sheet'!I308</f>
        <v>0</v>
      </c>
      <c r="D306" s="39">
        <f>'Vendor Entry Sheet'!J308</f>
        <v>0</v>
      </c>
      <c r="E306">
        <f>'Vendor Entry Sheet'!D308</f>
        <v>0</v>
      </c>
      <c r="F306">
        <f>'Vendor Entry Sheet'!E308</f>
        <v>0</v>
      </c>
      <c r="H306" s="40">
        <f>'Vendor Entry Sheet'!F308</f>
        <v>0</v>
      </c>
      <c r="I306">
        <f>'Vendor Entry Sheet'!G308</f>
        <v>0</v>
      </c>
      <c r="K306" s="41">
        <v>1005</v>
      </c>
      <c r="L306">
        <f>'Vendor Entry Sheet'!H308</f>
        <v>0</v>
      </c>
      <c r="M306" s="41" t="s">
        <v>41</v>
      </c>
    </row>
    <row r="307" spans="1:13" x14ac:dyDescent="0.35">
      <c r="A307" s="37">
        <f>'Vendor Entry Sheet'!A309</f>
        <v>0</v>
      </c>
      <c r="B307" s="38">
        <f>'Vendor Entry Sheet'!C309</f>
        <v>0</v>
      </c>
      <c r="C307">
        <f>'Vendor Entry Sheet'!I309</f>
        <v>0</v>
      </c>
      <c r="D307" s="39">
        <f>'Vendor Entry Sheet'!J309</f>
        <v>0</v>
      </c>
      <c r="E307">
        <f>'Vendor Entry Sheet'!D309</f>
        <v>0</v>
      </c>
      <c r="F307">
        <f>'Vendor Entry Sheet'!E309</f>
        <v>0</v>
      </c>
      <c r="H307" s="40">
        <f>'Vendor Entry Sheet'!F309</f>
        <v>0</v>
      </c>
      <c r="I307">
        <f>'Vendor Entry Sheet'!G309</f>
        <v>0</v>
      </c>
      <c r="K307" s="41">
        <v>1005</v>
      </c>
      <c r="L307">
        <f>'Vendor Entry Sheet'!H309</f>
        <v>0</v>
      </c>
      <c r="M307" s="41" t="s">
        <v>41</v>
      </c>
    </row>
    <row r="308" spans="1:13" x14ac:dyDescent="0.35">
      <c r="A308" s="37">
        <f>'Vendor Entry Sheet'!A310</f>
        <v>0</v>
      </c>
      <c r="B308" s="38">
        <f>'Vendor Entry Sheet'!C310</f>
        <v>0</v>
      </c>
      <c r="C308">
        <f>'Vendor Entry Sheet'!I310</f>
        <v>0</v>
      </c>
      <c r="D308" s="39">
        <f>'Vendor Entry Sheet'!J310</f>
        <v>0</v>
      </c>
      <c r="E308">
        <f>'Vendor Entry Sheet'!D310</f>
        <v>0</v>
      </c>
      <c r="F308">
        <f>'Vendor Entry Sheet'!E310</f>
        <v>0</v>
      </c>
      <c r="H308" s="40">
        <f>'Vendor Entry Sheet'!F310</f>
        <v>0</v>
      </c>
      <c r="I308">
        <f>'Vendor Entry Sheet'!G310</f>
        <v>0</v>
      </c>
      <c r="K308" s="41">
        <v>1005</v>
      </c>
      <c r="L308">
        <f>'Vendor Entry Sheet'!H310</f>
        <v>0</v>
      </c>
      <c r="M308" s="41" t="s">
        <v>41</v>
      </c>
    </row>
    <row r="309" spans="1:13" x14ac:dyDescent="0.35">
      <c r="A309" s="37">
        <f>'Vendor Entry Sheet'!A311</f>
        <v>0</v>
      </c>
      <c r="B309" s="38">
        <f>'Vendor Entry Sheet'!C311</f>
        <v>0</v>
      </c>
      <c r="C309">
        <f>'Vendor Entry Sheet'!I311</f>
        <v>0</v>
      </c>
      <c r="D309" s="39">
        <f>'Vendor Entry Sheet'!J311</f>
        <v>0</v>
      </c>
      <c r="E309">
        <f>'Vendor Entry Sheet'!D311</f>
        <v>0</v>
      </c>
      <c r="F309">
        <f>'Vendor Entry Sheet'!E311</f>
        <v>0</v>
      </c>
      <c r="H309" s="40">
        <f>'Vendor Entry Sheet'!F311</f>
        <v>0</v>
      </c>
      <c r="I309">
        <f>'Vendor Entry Sheet'!G311</f>
        <v>0</v>
      </c>
      <c r="K309" s="41">
        <v>1005</v>
      </c>
      <c r="L309">
        <f>'Vendor Entry Sheet'!H311</f>
        <v>0</v>
      </c>
      <c r="M309" s="41" t="s">
        <v>41</v>
      </c>
    </row>
    <row r="310" spans="1:13" x14ac:dyDescent="0.35">
      <c r="A310" s="37">
        <f>'Vendor Entry Sheet'!A312</f>
        <v>0</v>
      </c>
      <c r="B310" s="38">
        <f>'Vendor Entry Sheet'!C312</f>
        <v>0</v>
      </c>
      <c r="C310">
        <f>'Vendor Entry Sheet'!I312</f>
        <v>0</v>
      </c>
      <c r="D310" s="39">
        <f>'Vendor Entry Sheet'!J312</f>
        <v>0</v>
      </c>
      <c r="E310">
        <f>'Vendor Entry Sheet'!D312</f>
        <v>0</v>
      </c>
      <c r="F310">
        <f>'Vendor Entry Sheet'!E312</f>
        <v>0</v>
      </c>
      <c r="H310" s="40">
        <f>'Vendor Entry Sheet'!F312</f>
        <v>0</v>
      </c>
      <c r="I310">
        <f>'Vendor Entry Sheet'!G312</f>
        <v>0</v>
      </c>
      <c r="K310" s="41">
        <v>1005</v>
      </c>
      <c r="L310">
        <f>'Vendor Entry Sheet'!H312</f>
        <v>0</v>
      </c>
      <c r="M310" s="41" t="s">
        <v>41</v>
      </c>
    </row>
    <row r="311" spans="1:13" x14ac:dyDescent="0.35">
      <c r="A311" s="37">
        <f>'Vendor Entry Sheet'!A313</f>
        <v>0</v>
      </c>
      <c r="B311" s="38">
        <f>'Vendor Entry Sheet'!C313</f>
        <v>0</v>
      </c>
      <c r="C311">
        <f>'Vendor Entry Sheet'!I313</f>
        <v>0</v>
      </c>
      <c r="D311" s="39">
        <f>'Vendor Entry Sheet'!J313</f>
        <v>0</v>
      </c>
      <c r="E311">
        <f>'Vendor Entry Sheet'!D313</f>
        <v>0</v>
      </c>
      <c r="F311">
        <f>'Vendor Entry Sheet'!E313</f>
        <v>0</v>
      </c>
      <c r="H311" s="40">
        <f>'Vendor Entry Sheet'!F313</f>
        <v>0</v>
      </c>
      <c r="I311">
        <f>'Vendor Entry Sheet'!G313</f>
        <v>0</v>
      </c>
      <c r="K311" s="41">
        <v>1005</v>
      </c>
      <c r="L311">
        <f>'Vendor Entry Sheet'!H313</f>
        <v>0</v>
      </c>
      <c r="M311" s="41" t="s">
        <v>41</v>
      </c>
    </row>
    <row r="312" spans="1:13" x14ac:dyDescent="0.35">
      <c r="A312" s="37">
        <f>'Vendor Entry Sheet'!A314</f>
        <v>0</v>
      </c>
      <c r="B312" s="38">
        <f>'Vendor Entry Sheet'!C314</f>
        <v>0</v>
      </c>
      <c r="C312">
        <f>'Vendor Entry Sheet'!I314</f>
        <v>0</v>
      </c>
      <c r="D312" s="39">
        <f>'Vendor Entry Sheet'!J314</f>
        <v>0</v>
      </c>
      <c r="E312">
        <f>'Vendor Entry Sheet'!D314</f>
        <v>0</v>
      </c>
      <c r="F312">
        <f>'Vendor Entry Sheet'!E314</f>
        <v>0</v>
      </c>
      <c r="H312" s="40">
        <f>'Vendor Entry Sheet'!F314</f>
        <v>0</v>
      </c>
      <c r="I312">
        <f>'Vendor Entry Sheet'!G314</f>
        <v>0</v>
      </c>
      <c r="K312" s="41">
        <v>1005</v>
      </c>
      <c r="L312">
        <f>'Vendor Entry Sheet'!H314</f>
        <v>0</v>
      </c>
      <c r="M312" s="41" t="s">
        <v>41</v>
      </c>
    </row>
    <row r="313" spans="1:13" x14ac:dyDescent="0.35">
      <c r="A313" s="37">
        <f>'Vendor Entry Sheet'!A315</f>
        <v>0</v>
      </c>
      <c r="B313" s="38">
        <f>'Vendor Entry Sheet'!C315</f>
        <v>0</v>
      </c>
      <c r="C313">
        <f>'Vendor Entry Sheet'!I315</f>
        <v>0</v>
      </c>
      <c r="D313" s="39">
        <f>'Vendor Entry Sheet'!J315</f>
        <v>0</v>
      </c>
      <c r="E313">
        <f>'Vendor Entry Sheet'!D315</f>
        <v>0</v>
      </c>
      <c r="F313">
        <f>'Vendor Entry Sheet'!E315</f>
        <v>0</v>
      </c>
      <c r="H313" s="40">
        <f>'Vendor Entry Sheet'!F315</f>
        <v>0</v>
      </c>
      <c r="I313">
        <f>'Vendor Entry Sheet'!G315</f>
        <v>0</v>
      </c>
      <c r="K313" s="41">
        <v>1005</v>
      </c>
      <c r="L313">
        <f>'Vendor Entry Sheet'!H315</f>
        <v>0</v>
      </c>
      <c r="M313" s="41" t="s">
        <v>41</v>
      </c>
    </row>
    <row r="314" spans="1:13" x14ac:dyDescent="0.35">
      <c r="A314" s="37">
        <f>'Vendor Entry Sheet'!A316</f>
        <v>0</v>
      </c>
      <c r="B314" s="38">
        <f>'Vendor Entry Sheet'!C316</f>
        <v>0</v>
      </c>
      <c r="C314">
        <f>'Vendor Entry Sheet'!I316</f>
        <v>0</v>
      </c>
      <c r="D314" s="39">
        <f>'Vendor Entry Sheet'!J316</f>
        <v>0</v>
      </c>
      <c r="E314">
        <f>'Vendor Entry Sheet'!D316</f>
        <v>0</v>
      </c>
      <c r="F314">
        <f>'Vendor Entry Sheet'!E316</f>
        <v>0</v>
      </c>
      <c r="H314" s="40">
        <f>'Vendor Entry Sheet'!F316</f>
        <v>0</v>
      </c>
      <c r="I314">
        <f>'Vendor Entry Sheet'!G316</f>
        <v>0</v>
      </c>
      <c r="K314" s="41">
        <v>1005</v>
      </c>
      <c r="L314">
        <f>'Vendor Entry Sheet'!H316</f>
        <v>0</v>
      </c>
      <c r="M314" s="41" t="s">
        <v>41</v>
      </c>
    </row>
    <row r="315" spans="1:13" x14ac:dyDescent="0.35">
      <c r="A315" s="37">
        <f>'Vendor Entry Sheet'!A317</f>
        <v>0</v>
      </c>
      <c r="B315" s="38">
        <f>'Vendor Entry Sheet'!C317</f>
        <v>0</v>
      </c>
      <c r="C315">
        <f>'Vendor Entry Sheet'!I317</f>
        <v>0</v>
      </c>
      <c r="D315" s="39">
        <f>'Vendor Entry Sheet'!J317</f>
        <v>0</v>
      </c>
      <c r="E315">
        <f>'Vendor Entry Sheet'!D317</f>
        <v>0</v>
      </c>
      <c r="F315">
        <f>'Vendor Entry Sheet'!E317</f>
        <v>0</v>
      </c>
      <c r="H315" s="40">
        <f>'Vendor Entry Sheet'!F317</f>
        <v>0</v>
      </c>
      <c r="I315">
        <f>'Vendor Entry Sheet'!G317</f>
        <v>0</v>
      </c>
      <c r="K315" s="41">
        <v>1005</v>
      </c>
      <c r="L315">
        <f>'Vendor Entry Sheet'!H317</f>
        <v>0</v>
      </c>
      <c r="M315" s="41" t="s">
        <v>41</v>
      </c>
    </row>
    <row r="316" spans="1:13" x14ac:dyDescent="0.35">
      <c r="A316" s="37">
        <f>'Vendor Entry Sheet'!A318</f>
        <v>0</v>
      </c>
      <c r="B316" s="38">
        <f>'Vendor Entry Sheet'!C318</f>
        <v>0</v>
      </c>
      <c r="C316">
        <f>'Vendor Entry Sheet'!I318</f>
        <v>0</v>
      </c>
      <c r="D316" s="39">
        <f>'Vendor Entry Sheet'!J318</f>
        <v>0</v>
      </c>
      <c r="E316">
        <f>'Vendor Entry Sheet'!D318</f>
        <v>0</v>
      </c>
      <c r="F316">
        <f>'Vendor Entry Sheet'!E318</f>
        <v>0</v>
      </c>
      <c r="H316" s="40">
        <f>'Vendor Entry Sheet'!F318</f>
        <v>0</v>
      </c>
      <c r="I316">
        <f>'Vendor Entry Sheet'!G318</f>
        <v>0</v>
      </c>
      <c r="K316" s="41">
        <v>1005</v>
      </c>
      <c r="L316">
        <f>'Vendor Entry Sheet'!H318</f>
        <v>0</v>
      </c>
      <c r="M316" s="41" t="s">
        <v>41</v>
      </c>
    </row>
    <row r="317" spans="1:13" x14ac:dyDescent="0.35">
      <c r="A317" s="37">
        <f>'Vendor Entry Sheet'!A319</f>
        <v>0</v>
      </c>
      <c r="B317" s="38">
        <f>'Vendor Entry Sheet'!C319</f>
        <v>0</v>
      </c>
      <c r="C317">
        <f>'Vendor Entry Sheet'!I319</f>
        <v>0</v>
      </c>
      <c r="D317" s="39">
        <f>'Vendor Entry Sheet'!J319</f>
        <v>0</v>
      </c>
      <c r="E317">
        <f>'Vendor Entry Sheet'!D319</f>
        <v>0</v>
      </c>
      <c r="F317">
        <f>'Vendor Entry Sheet'!E319</f>
        <v>0</v>
      </c>
      <c r="H317" s="40">
        <f>'Vendor Entry Sheet'!F319</f>
        <v>0</v>
      </c>
      <c r="I317">
        <f>'Vendor Entry Sheet'!G319</f>
        <v>0</v>
      </c>
      <c r="K317" s="41">
        <v>1005</v>
      </c>
      <c r="L317">
        <f>'Vendor Entry Sheet'!H319</f>
        <v>0</v>
      </c>
      <c r="M317" s="41" t="s">
        <v>41</v>
      </c>
    </row>
    <row r="318" spans="1:13" x14ac:dyDescent="0.35">
      <c r="A318" s="37">
        <f>'Vendor Entry Sheet'!A320</f>
        <v>0</v>
      </c>
      <c r="B318" s="38">
        <f>'Vendor Entry Sheet'!C320</f>
        <v>0</v>
      </c>
      <c r="C318">
        <f>'Vendor Entry Sheet'!I320</f>
        <v>0</v>
      </c>
      <c r="D318" s="39">
        <f>'Vendor Entry Sheet'!J320</f>
        <v>0</v>
      </c>
      <c r="E318">
        <f>'Vendor Entry Sheet'!D320</f>
        <v>0</v>
      </c>
      <c r="F318">
        <f>'Vendor Entry Sheet'!E320</f>
        <v>0</v>
      </c>
      <c r="H318" s="40">
        <f>'Vendor Entry Sheet'!F320</f>
        <v>0</v>
      </c>
      <c r="I318">
        <f>'Vendor Entry Sheet'!G320</f>
        <v>0</v>
      </c>
      <c r="K318" s="41">
        <v>1005</v>
      </c>
      <c r="L318">
        <f>'Vendor Entry Sheet'!H320</f>
        <v>0</v>
      </c>
      <c r="M318" s="41" t="s">
        <v>41</v>
      </c>
    </row>
    <row r="319" spans="1:13" x14ac:dyDescent="0.35">
      <c r="A319" s="37">
        <f>'Vendor Entry Sheet'!A321</f>
        <v>0</v>
      </c>
      <c r="B319" s="38">
        <f>'Vendor Entry Sheet'!C321</f>
        <v>0</v>
      </c>
      <c r="C319">
        <f>'Vendor Entry Sheet'!I321</f>
        <v>0</v>
      </c>
      <c r="D319" s="39">
        <f>'Vendor Entry Sheet'!J321</f>
        <v>0</v>
      </c>
      <c r="E319">
        <f>'Vendor Entry Sheet'!D321</f>
        <v>0</v>
      </c>
      <c r="F319">
        <f>'Vendor Entry Sheet'!E321</f>
        <v>0</v>
      </c>
      <c r="H319" s="40">
        <f>'Vendor Entry Sheet'!F321</f>
        <v>0</v>
      </c>
      <c r="I319">
        <f>'Vendor Entry Sheet'!G321</f>
        <v>0</v>
      </c>
      <c r="K319" s="41">
        <v>1005</v>
      </c>
      <c r="L319">
        <f>'Vendor Entry Sheet'!H321</f>
        <v>0</v>
      </c>
      <c r="M319" s="41" t="s">
        <v>41</v>
      </c>
    </row>
    <row r="320" spans="1:13" x14ac:dyDescent="0.35">
      <c r="A320" s="37">
        <f>'Vendor Entry Sheet'!A322</f>
        <v>0</v>
      </c>
      <c r="B320" s="38">
        <f>'Vendor Entry Sheet'!C322</f>
        <v>0</v>
      </c>
      <c r="C320">
        <f>'Vendor Entry Sheet'!I322</f>
        <v>0</v>
      </c>
      <c r="D320" s="39">
        <f>'Vendor Entry Sheet'!J322</f>
        <v>0</v>
      </c>
      <c r="E320">
        <f>'Vendor Entry Sheet'!D322</f>
        <v>0</v>
      </c>
      <c r="F320">
        <f>'Vendor Entry Sheet'!E322</f>
        <v>0</v>
      </c>
      <c r="H320" s="40">
        <f>'Vendor Entry Sheet'!F322</f>
        <v>0</v>
      </c>
      <c r="I320">
        <f>'Vendor Entry Sheet'!G322</f>
        <v>0</v>
      </c>
      <c r="K320" s="41">
        <v>1005</v>
      </c>
      <c r="L320">
        <f>'Vendor Entry Sheet'!H322</f>
        <v>0</v>
      </c>
      <c r="M320" s="41" t="s">
        <v>41</v>
      </c>
    </row>
    <row r="321" spans="1:13" x14ac:dyDescent="0.35">
      <c r="A321" s="37">
        <f>'Vendor Entry Sheet'!A323</f>
        <v>0</v>
      </c>
      <c r="B321" s="38">
        <f>'Vendor Entry Sheet'!C323</f>
        <v>0</v>
      </c>
      <c r="C321">
        <f>'Vendor Entry Sheet'!I323</f>
        <v>0</v>
      </c>
      <c r="D321" s="39">
        <f>'Vendor Entry Sheet'!J323</f>
        <v>0</v>
      </c>
      <c r="E321">
        <f>'Vendor Entry Sheet'!D323</f>
        <v>0</v>
      </c>
      <c r="F321">
        <f>'Vendor Entry Sheet'!E323</f>
        <v>0</v>
      </c>
      <c r="H321" s="40">
        <f>'Vendor Entry Sheet'!F323</f>
        <v>0</v>
      </c>
      <c r="I321">
        <f>'Vendor Entry Sheet'!G323</f>
        <v>0</v>
      </c>
      <c r="K321" s="41">
        <v>1005</v>
      </c>
      <c r="L321">
        <f>'Vendor Entry Sheet'!H323</f>
        <v>0</v>
      </c>
      <c r="M321" s="41" t="s">
        <v>41</v>
      </c>
    </row>
    <row r="322" spans="1:13" x14ac:dyDescent="0.35">
      <c r="A322" s="37">
        <f>'Vendor Entry Sheet'!A324</f>
        <v>0</v>
      </c>
      <c r="B322" s="38">
        <f>'Vendor Entry Sheet'!C324</f>
        <v>0</v>
      </c>
      <c r="C322">
        <f>'Vendor Entry Sheet'!I324</f>
        <v>0</v>
      </c>
      <c r="D322" s="39">
        <f>'Vendor Entry Sheet'!J324</f>
        <v>0</v>
      </c>
      <c r="E322">
        <f>'Vendor Entry Sheet'!D324</f>
        <v>0</v>
      </c>
      <c r="F322">
        <f>'Vendor Entry Sheet'!E324</f>
        <v>0</v>
      </c>
      <c r="H322" s="40">
        <f>'Vendor Entry Sheet'!F324</f>
        <v>0</v>
      </c>
      <c r="I322">
        <f>'Vendor Entry Sheet'!G324</f>
        <v>0</v>
      </c>
      <c r="K322" s="41">
        <v>1005</v>
      </c>
      <c r="L322">
        <f>'Vendor Entry Sheet'!H324</f>
        <v>0</v>
      </c>
      <c r="M322" s="41" t="s">
        <v>41</v>
      </c>
    </row>
    <row r="323" spans="1:13" x14ac:dyDescent="0.35">
      <c r="A323" s="37">
        <f>'Vendor Entry Sheet'!A325</f>
        <v>0</v>
      </c>
      <c r="B323" s="38">
        <f>'Vendor Entry Sheet'!C325</f>
        <v>0</v>
      </c>
      <c r="C323">
        <f>'Vendor Entry Sheet'!I325</f>
        <v>0</v>
      </c>
      <c r="D323" s="39">
        <f>'Vendor Entry Sheet'!J325</f>
        <v>0</v>
      </c>
      <c r="E323">
        <f>'Vendor Entry Sheet'!D325</f>
        <v>0</v>
      </c>
      <c r="F323">
        <f>'Vendor Entry Sheet'!E325</f>
        <v>0</v>
      </c>
      <c r="H323" s="40">
        <f>'Vendor Entry Sheet'!F325</f>
        <v>0</v>
      </c>
      <c r="I323">
        <f>'Vendor Entry Sheet'!G325</f>
        <v>0</v>
      </c>
      <c r="K323" s="41">
        <v>1005</v>
      </c>
      <c r="L323">
        <f>'Vendor Entry Sheet'!H325</f>
        <v>0</v>
      </c>
      <c r="M323" s="41" t="s">
        <v>41</v>
      </c>
    </row>
    <row r="324" spans="1:13" x14ac:dyDescent="0.35">
      <c r="A324" s="37">
        <f>'Vendor Entry Sheet'!A326</f>
        <v>0</v>
      </c>
      <c r="B324" s="38">
        <f>'Vendor Entry Sheet'!C326</f>
        <v>0</v>
      </c>
      <c r="C324">
        <f>'Vendor Entry Sheet'!I326</f>
        <v>0</v>
      </c>
      <c r="D324" s="39">
        <f>'Vendor Entry Sheet'!J326</f>
        <v>0</v>
      </c>
      <c r="E324">
        <f>'Vendor Entry Sheet'!D326</f>
        <v>0</v>
      </c>
      <c r="F324">
        <f>'Vendor Entry Sheet'!E326</f>
        <v>0</v>
      </c>
      <c r="H324" s="40">
        <f>'Vendor Entry Sheet'!F326</f>
        <v>0</v>
      </c>
      <c r="I324">
        <f>'Vendor Entry Sheet'!G326</f>
        <v>0</v>
      </c>
      <c r="K324" s="41">
        <v>1005</v>
      </c>
      <c r="L324">
        <f>'Vendor Entry Sheet'!H326</f>
        <v>0</v>
      </c>
      <c r="M324" s="41" t="s">
        <v>41</v>
      </c>
    </row>
    <row r="325" spans="1:13" x14ac:dyDescent="0.35">
      <c r="A325" s="37">
        <f>'Vendor Entry Sheet'!A327</f>
        <v>0</v>
      </c>
      <c r="B325" s="38">
        <f>'Vendor Entry Sheet'!C327</f>
        <v>0</v>
      </c>
      <c r="C325">
        <f>'Vendor Entry Sheet'!I327</f>
        <v>0</v>
      </c>
      <c r="D325" s="39">
        <f>'Vendor Entry Sheet'!J327</f>
        <v>0</v>
      </c>
      <c r="E325">
        <f>'Vendor Entry Sheet'!D327</f>
        <v>0</v>
      </c>
      <c r="F325">
        <f>'Vendor Entry Sheet'!E327</f>
        <v>0</v>
      </c>
      <c r="H325" s="40">
        <f>'Vendor Entry Sheet'!F327</f>
        <v>0</v>
      </c>
      <c r="I325">
        <f>'Vendor Entry Sheet'!G327</f>
        <v>0</v>
      </c>
      <c r="K325" s="41">
        <v>1005</v>
      </c>
      <c r="L325">
        <f>'Vendor Entry Sheet'!H327</f>
        <v>0</v>
      </c>
      <c r="M325" s="41" t="s">
        <v>41</v>
      </c>
    </row>
    <row r="326" spans="1:13" x14ac:dyDescent="0.35">
      <c r="A326" s="37">
        <f>'Vendor Entry Sheet'!A328</f>
        <v>0</v>
      </c>
      <c r="B326" s="38">
        <f>'Vendor Entry Sheet'!C328</f>
        <v>0</v>
      </c>
      <c r="C326">
        <f>'Vendor Entry Sheet'!I328</f>
        <v>0</v>
      </c>
      <c r="D326" s="39">
        <f>'Vendor Entry Sheet'!J328</f>
        <v>0</v>
      </c>
      <c r="E326">
        <f>'Vendor Entry Sheet'!D328</f>
        <v>0</v>
      </c>
      <c r="F326">
        <f>'Vendor Entry Sheet'!E328</f>
        <v>0</v>
      </c>
      <c r="H326" s="40">
        <f>'Vendor Entry Sheet'!F328</f>
        <v>0</v>
      </c>
      <c r="I326">
        <f>'Vendor Entry Sheet'!G328</f>
        <v>0</v>
      </c>
      <c r="K326" s="41">
        <v>1005</v>
      </c>
      <c r="L326">
        <f>'Vendor Entry Sheet'!H328</f>
        <v>0</v>
      </c>
      <c r="M326" s="41" t="s">
        <v>41</v>
      </c>
    </row>
    <row r="327" spans="1:13" x14ac:dyDescent="0.35">
      <c r="A327" s="37">
        <f>'Vendor Entry Sheet'!A329</f>
        <v>0</v>
      </c>
      <c r="B327" s="38">
        <f>'Vendor Entry Sheet'!C329</f>
        <v>0</v>
      </c>
      <c r="C327">
        <f>'Vendor Entry Sheet'!I329</f>
        <v>0</v>
      </c>
      <c r="D327" s="39">
        <f>'Vendor Entry Sheet'!J329</f>
        <v>0</v>
      </c>
      <c r="E327">
        <f>'Vendor Entry Sheet'!D329</f>
        <v>0</v>
      </c>
      <c r="F327">
        <f>'Vendor Entry Sheet'!E329</f>
        <v>0</v>
      </c>
      <c r="H327" s="40">
        <f>'Vendor Entry Sheet'!F329</f>
        <v>0</v>
      </c>
      <c r="I327">
        <f>'Vendor Entry Sheet'!G329</f>
        <v>0</v>
      </c>
      <c r="K327" s="41">
        <v>1005</v>
      </c>
      <c r="L327">
        <f>'Vendor Entry Sheet'!H329</f>
        <v>0</v>
      </c>
      <c r="M327" s="41" t="s">
        <v>41</v>
      </c>
    </row>
    <row r="328" spans="1:13" x14ac:dyDescent="0.35">
      <c r="A328" s="37">
        <f>'Vendor Entry Sheet'!A330</f>
        <v>0</v>
      </c>
      <c r="B328" s="38">
        <f>'Vendor Entry Sheet'!C330</f>
        <v>0</v>
      </c>
      <c r="C328">
        <f>'Vendor Entry Sheet'!I330</f>
        <v>0</v>
      </c>
      <c r="D328" s="39">
        <f>'Vendor Entry Sheet'!J330</f>
        <v>0</v>
      </c>
      <c r="E328">
        <f>'Vendor Entry Sheet'!D330</f>
        <v>0</v>
      </c>
      <c r="F328">
        <f>'Vendor Entry Sheet'!E330</f>
        <v>0</v>
      </c>
      <c r="H328" s="40">
        <f>'Vendor Entry Sheet'!F330</f>
        <v>0</v>
      </c>
      <c r="I328">
        <f>'Vendor Entry Sheet'!G330</f>
        <v>0</v>
      </c>
      <c r="K328" s="41">
        <v>1005</v>
      </c>
      <c r="L328">
        <f>'Vendor Entry Sheet'!H330</f>
        <v>0</v>
      </c>
      <c r="M328" s="41" t="s">
        <v>41</v>
      </c>
    </row>
    <row r="329" spans="1:13" x14ac:dyDescent="0.35">
      <c r="A329" s="37">
        <f>'Vendor Entry Sheet'!A331</f>
        <v>0</v>
      </c>
      <c r="B329" s="38">
        <f>'Vendor Entry Sheet'!C331</f>
        <v>0</v>
      </c>
      <c r="C329">
        <f>'Vendor Entry Sheet'!I331</f>
        <v>0</v>
      </c>
      <c r="D329" s="39">
        <f>'Vendor Entry Sheet'!J331</f>
        <v>0</v>
      </c>
      <c r="E329">
        <f>'Vendor Entry Sheet'!D331</f>
        <v>0</v>
      </c>
      <c r="F329">
        <f>'Vendor Entry Sheet'!E331</f>
        <v>0</v>
      </c>
      <c r="H329" s="40">
        <f>'Vendor Entry Sheet'!F331</f>
        <v>0</v>
      </c>
      <c r="I329">
        <f>'Vendor Entry Sheet'!G331</f>
        <v>0</v>
      </c>
      <c r="K329" s="41">
        <v>1005</v>
      </c>
      <c r="L329">
        <f>'Vendor Entry Sheet'!H331</f>
        <v>0</v>
      </c>
      <c r="M329" s="41" t="s">
        <v>41</v>
      </c>
    </row>
    <row r="330" spans="1:13" x14ac:dyDescent="0.35">
      <c r="A330" s="37">
        <f>'Vendor Entry Sheet'!A332</f>
        <v>0</v>
      </c>
      <c r="B330" s="38">
        <f>'Vendor Entry Sheet'!C332</f>
        <v>0</v>
      </c>
      <c r="C330">
        <f>'Vendor Entry Sheet'!I332</f>
        <v>0</v>
      </c>
      <c r="D330" s="39">
        <f>'Vendor Entry Sheet'!J332</f>
        <v>0</v>
      </c>
      <c r="E330">
        <f>'Vendor Entry Sheet'!D332</f>
        <v>0</v>
      </c>
      <c r="F330">
        <f>'Vendor Entry Sheet'!E332</f>
        <v>0</v>
      </c>
      <c r="H330" s="40">
        <f>'Vendor Entry Sheet'!F332</f>
        <v>0</v>
      </c>
      <c r="I330">
        <f>'Vendor Entry Sheet'!G332</f>
        <v>0</v>
      </c>
      <c r="K330" s="41">
        <v>1005</v>
      </c>
      <c r="L330">
        <f>'Vendor Entry Sheet'!H332</f>
        <v>0</v>
      </c>
      <c r="M330" s="41" t="s">
        <v>41</v>
      </c>
    </row>
    <row r="331" spans="1:13" x14ac:dyDescent="0.35">
      <c r="A331" s="37">
        <f>'Vendor Entry Sheet'!A333</f>
        <v>0</v>
      </c>
      <c r="B331" s="38">
        <f>'Vendor Entry Sheet'!C333</f>
        <v>0</v>
      </c>
      <c r="C331">
        <f>'Vendor Entry Sheet'!I333</f>
        <v>0</v>
      </c>
      <c r="D331" s="39">
        <f>'Vendor Entry Sheet'!J333</f>
        <v>0</v>
      </c>
      <c r="E331">
        <f>'Vendor Entry Sheet'!D333</f>
        <v>0</v>
      </c>
      <c r="F331">
        <f>'Vendor Entry Sheet'!E333</f>
        <v>0</v>
      </c>
      <c r="H331" s="40">
        <f>'Vendor Entry Sheet'!F333</f>
        <v>0</v>
      </c>
      <c r="I331">
        <f>'Vendor Entry Sheet'!G333</f>
        <v>0</v>
      </c>
      <c r="K331" s="41">
        <v>1005</v>
      </c>
      <c r="L331">
        <f>'Vendor Entry Sheet'!H333</f>
        <v>0</v>
      </c>
      <c r="M331" s="41" t="s">
        <v>41</v>
      </c>
    </row>
    <row r="332" spans="1:13" x14ac:dyDescent="0.35">
      <c r="A332" s="37">
        <f>'Vendor Entry Sheet'!A334</f>
        <v>0</v>
      </c>
      <c r="B332" s="38">
        <f>'Vendor Entry Sheet'!C334</f>
        <v>0</v>
      </c>
      <c r="C332">
        <f>'Vendor Entry Sheet'!I334</f>
        <v>0</v>
      </c>
      <c r="D332" s="39">
        <f>'Vendor Entry Sheet'!J334</f>
        <v>0</v>
      </c>
      <c r="E332">
        <f>'Vendor Entry Sheet'!D334</f>
        <v>0</v>
      </c>
      <c r="F332">
        <f>'Vendor Entry Sheet'!E334</f>
        <v>0</v>
      </c>
      <c r="H332" s="40">
        <f>'Vendor Entry Sheet'!F334</f>
        <v>0</v>
      </c>
      <c r="I332">
        <f>'Vendor Entry Sheet'!G334</f>
        <v>0</v>
      </c>
      <c r="K332" s="41">
        <v>1005</v>
      </c>
      <c r="L332">
        <f>'Vendor Entry Sheet'!H334</f>
        <v>0</v>
      </c>
      <c r="M332" s="41" t="s">
        <v>41</v>
      </c>
    </row>
    <row r="333" spans="1:13" x14ac:dyDescent="0.35">
      <c r="A333" s="37">
        <f>'Vendor Entry Sheet'!A335</f>
        <v>0</v>
      </c>
      <c r="B333" s="38">
        <f>'Vendor Entry Sheet'!C335</f>
        <v>0</v>
      </c>
      <c r="C333">
        <f>'Vendor Entry Sheet'!I335</f>
        <v>0</v>
      </c>
      <c r="D333" s="39">
        <f>'Vendor Entry Sheet'!J335</f>
        <v>0</v>
      </c>
      <c r="E333">
        <f>'Vendor Entry Sheet'!D335</f>
        <v>0</v>
      </c>
      <c r="F333">
        <f>'Vendor Entry Sheet'!E335</f>
        <v>0</v>
      </c>
      <c r="H333" s="40">
        <f>'Vendor Entry Sheet'!F335</f>
        <v>0</v>
      </c>
      <c r="I333">
        <f>'Vendor Entry Sheet'!G335</f>
        <v>0</v>
      </c>
      <c r="K333" s="41">
        <v>1005</v>
      </c>
      <c r="L333">
        <f>'Vendor Entry Sheet'!H335</f>
        <v>0</v>
      </c>
      <c r="M333" s="41" t="s">
        <v>41</v>
      </c>
    </row>
    <row r="334" spans="1:13" x14ac:dyDescent="0.35">
      <c r="A334" s="37">
        <f>'Vendor Entry Sheet'!A336</f>
        <v>0</v>
      </c>
      <c r="B334" s="38">
        <f>'Vendor Entry Sheet'!C336</f>
        <v>0</v>
      </c>
      <c r="C334">
        <f>'Vendor Entry Sheet'!I336</f>
        <v>0</v>
      </c>
      <c r="D334" s="39">
        <f>'Vendor Entry Sheet'!J336</f>
        <v>0</v>
      </c>
      <c r="E334">
        <f>'Vendor Entry Sheet'!D336</f>
        <v>0</v>
      </c>
      <c r="F334">
        <f>'Vendor Entry Sheet'!E336</f>
        <v>0</v>
      </c>
      <c r="H334" s="40">
        <f>'Vendor Entry Sheet'!F336</f>
        <v>0</v>
      </c>
      <c r="I334">
        <f>'Vendor Entry Sheet'!G336</f>
        <v>0</v>
      </c>
      <c r="K334" s="41">
        <v>1005</v>
      </c>
      <c r="L334">
        <f>'Vendor Entry Sheet'!H336</f>
        <v>0</v>
      </c>
      <c r="M334" s="41" t="s">
        <v>41</v>
      </c>
    </row>
    <row r="335" spans="1:13" x14ac:dyDescent="0.35">
      <c r="A335" s="37">
        <f>'Vendor Entry Sheet'!A337</f>
        <v>0</v>
      </c>
      <c r="B335" s="38">
        <f>'Vendor Entry Sheet'!C337</f>
        <v>0</v>
      </c>
      <c r="C335">
        <f>'Vendor Entry Sheet'!I337</f>
        <v>0</v>
      </c>
      <c r="D335" s="39">
        <f>'Vendor Entry Sheet'!J337</f>
        <v>0</v>
      </c>
      <c r="E335">
        <f>'Vendor Entry Sheet'!D337</f>
        <v>0</v>
      </c>
      <c r="F335">
        <f>'Vendor Entry Sheet'!E337</f>
        <v>0</v>
      </c>
      <c r="H335" s="40">
        <f>'Vendor Entry Sheet'!F337</f>
        <v>0</v>
      </c>
      <c r="I335">
        <f>'Vendor Entry Sheet'!G337</f>
        <v>0</v>
      </c>
      <c r="K335" s="41">
        <v>1005</v>
      </c>
      <c r="L335">
        <f>'Vendor Entry Sheet'!H337</f>
        <v>0</v>
      </c>
      <c r="M335" s="41" t="s">
        <v>41</v>
      </c>
    </row>
    <row r="336" spans="1:13" x14ac:dyDescent="0.35">
      <c r="A336" s="37">
        <f>'Vendor Entry Sheet'!A338</f>
        <v>0</v>
      </c>
      <c r="B336" s="38">
        <f>'Vendor Entry Sheet'!C338</f>
        <v>0</v>
      </c>
      <c r="C336">
        <f>'Vendor Entry Sheet'!I338</f>
        <v>0</v>
      </c>
      <c r="D336" s="39">
        <f>'Vendor Entry Sheet'!J338</f>
        <v>0</v>
      </c>
      <c r="E336">
        <f>'Vendor Entry Sheet'!D338</f>
        <v>0</v>
      </c>
      <c r="F336">
        <f>'Vendor Entry Sheet'!E338</f>
        <v>0</v>
      </c>
      <c r="H336" s="40">
        <f>'Vendor Entry Sheet'!F338</f>
        <v>0</v>
      </c>
      <c r="I336">
        <f>'Vendor Entry Sheet'!G338</f>
        <v>0</v>
      </c>
      <c r="K336" s="41">
        <v>1005</v>
      </c>
      <c r="L336">
        <f>'Vendor Entry Sheet'!H338</f>
        <v>0</v>
      </c>
      <c r="M336" s="41" t="s">
        <v>41</v>
      </c>
    </row>
    <row r="337" spans="1:13" x14ac:dyDescent="0.35">
      <c r="A337" s="37">
        <f>'Vendor Entry Sheet'!A339</f>
        <v>0</v>
      </c>
      <c r="B337" s="38">
        <f>'Vendor Entry Sheet'!C339</f>
        <v>0</v>
      </c>
      <c r="C337">
        <f>'Vendor Entry Sheet'!I339</f>
        <v>0</v>
      </c>
      <c r="D337" s="39">
        <f>'Vendor Entry Sheet'!J339</f>
        <v>0</v>
      </c>
      <c r="E337">
        <f>'Vendor Entry Sheet'!D339</f>
        <v>0</v>
      </c>
      <c r="F337">
        <f>'Vendor Entry Sheet'!E339</f>
        <v>0</v>
      </c>
      <c r="H337" s="40">
        <f>'Vendor Entry Sheet'!F339</f>
        <v>0</v>
      </c>
      <c r="I337">
        <f>'Vendor Entry Sheet'!G339</f>
        <v>0</v>
      </c>
      <c r="K337" s="41">
        <v>1005</v>
      </c>
      <c r="L337">
        <f>'Vendor Entry Sheet'!H339</f>
        <v>0</v>
      </c>
      <c r="M337" s="41" t="s">
        <v>41</v>
      </c>
    </row>
    <row r="338" spans="1:13" x14ac:dyDescent="0.35">
      <c r="A338" s="37">
        <f>'Vendor Entry Sheet'!A340</f>
        <v>0</v>
      </c>
      <c r="B338" s="38">
        <f>'Vendor Entry Sheet'!C340</f>
        <v>0</v>
      </c>
      <c r="C338">
        <f>'Vendor Entry Sheet'!I340</f>
        <v>0</v>
      </c>
      <c r="D338" s="39">
        <f>'Vendor Entry Sheet'!J340</f>
        <v>0</v>
      </c>
      <c r="E338">
        <f>'Vendor Entry Sheet'!D340</f>
        <v>0</v>
      </c>
      <c r="F338">
        <f>'Vendor Entry Sheet'!E340</f>
        <v>0</v>
      </c>
      <c r="H338" s="40">
        <f>'Vendor Entry Sheet'!F340</f>
        <v>0</v>
      </c>
      <c r="I338">
        <f>'Vendor Entry Sheet'!G340</f>
        <v>0</v>
      </c>
      <c r="K338" s="41">
        <v>1005</v>
      </c>
      <c r="L338">
        <f>'Vendor Entry Sheet'!H340</f>
        <v>0</v>
      </c>
      <c r="M338" s="41" t="s">
        <v>41</v>
      </c>
    </row>
    <row r="339" spans="1:13" x14ac:dyDescent="0.35">
      <c r="A339" s="37">
        <f>'Vendor Entry Sheet'!A341</f>
        <v>0</v>
      </c>
      <c r="B339" s="38">
        <f>'Vendor Entry Sheet'!C341</f>
        <v>0</v>
      </c>
      <c r="C339">
        <f>'Vendor Entry Sheet'!I341</f>
        <v>0</v>
      </c>
      <c r="D339" s="39">
        <f>'Vendor Entry Sheet'!J341</f>
        <v>0</v>
      </c>
      <c r="E339">
        <f>'Vendor Entry Sheet'!D341</f>
        <v>0</v>
      </c>
      <c r="F339">
        <f>'Vendor Entry Sheet'!E341</f>
        <v>0</v>
      </c>
      <c r="H339" s="40">
        <f>'Vendor Entry Sheet'!F341</f>
        <v>0</v>
      </c>
      <c r="I339">
        <f>'Vendor Entry Sheet'!G341</f>
        <v>0</v>
      </c>
      <c r="K339" s="41">
        <v>1005</v>
      </c>
      <c r="L339">
        <f>'Vendor Entry Sheet'!H341</f>
        <v>0</v>
      </c>
      <c r="M339" s="41" t="s">
        <v>41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330"/>
  <sheetViews>
    <sheetView tabSelected="1" topLeftCell="A315" zoomScaleNormal="100" workbookViewId="0">
      <selection activeCell="F329" sqref="F329"/>
    </sheetView>
  </sheetViews>
  <sheetFormatPr defaultRowHeight="14.5" customHeight="1" x14ac:dyDescent="0.35"/>
  <cols>
    <col min="1" max="1" width="24.1796875" bestFit="1" customWidth="1"/>
    <col min="2" max="2" width="30.1796875" customWidth="1"/>
    <col min="3" max="3" width="17.26953125" style="29" customWidth="1"/>
    <col min="4" max="4" width="20.81640625" bestFit="1" customWidth="1"/>
    <col min="5" max="5" width="20.54296875" style="42" customWidth="1"/>
    <col min="6" max="6" width="12.7265625" style="29" customWidth="1"/>
    <col min="7" max="7" width="22.7265625" bestFit="1" customWidth="1"/>
    <col min="8" max="8" width="13.1796875" bestFit="1" customWidth="1"/>
    <col min="9" max="9" width="17.54296875" customWidth="1"/>
    <col min="10" max="10" width="20.81640625" customWidth="1"/>
    <col min="11" max="11" width="13.54296875" style="29" bestFit="1" customWidth="1"/>
    <col min="12" max="12" width="11.81640625" bestFit="1" customWidth="1"/>
    <col min="13" max="13" width="24.7265625" customWidth="1"/>
  </cols>
  <sheetData>
    <row r="1" spans="1:13" x14ac:dyDescent="0.35">
      <c r="A1" s="43" t="s">
        <v>42</v>
      </c>
      <c r="B1" s="43" t="s">
        <v>43</v>
      </c>
      <c r="C1" s="44" t="s">
        <v>44</v>
      </c>
      <c r="D1" s="44" t="s">
        <v>18</v>
      </c>
      <c r="E1" s="44" t="s">
        <v>45</v>
      </c>
      <c r="F1"/>
      <c r="G1" s="44" t="s">
        <v>18</v>
      </c>
      <c r="H1" s="44" t="s">
        <v>45</v>
      </c>
      <c r="J1" s="43" t="s">
        <v>42</v>
      </c>
      <c r="K1" s="45" t="s">
        <v>46</v>
      </c>
      <c r="L1" s="45" t="s">
        <v>47</v>
      </c>
      <c r="M1" s="29"/>
    </row>
    <row r="2" spans="1:13" x14ac:dyDescent="0.35">
      <c r="A2" s="48" t="s">
        <v>281</v>
      </c>
      <c r="B2" s="48" t="s">
        <v>2431</v>
      </c>
      <c r="C2" s="54">
        <v>90302290</v>
      </c>
      <c r="D2" s="48" t="s">
        <v>73</v>
      </c>
      <c r="E2" s="47">
        <v>3001496</v>
      </c>
      <c r="F2"/>
      <c r="G2" s="42" t="s">
        <v>49</v>
      </c>
      <c r="H2" s="47">
        <v>3001496</v>
      </c>
      <c r="J2" t="s">
        <v>56</v>
      </c>
      <c r="K2">
        <v>4700023309</v>
      </c>
      <c r="L2">
        <v>10</v>
      </c>
      <c r="M2" s="29"/>
    </row>
    <row r="3" spans="1:13" x14ac:dyDescent="0.35">
      <c r="A3" s="48" t="s">
        <v>281</v>
      </c>
      <c r="B3" s="48" t="s">
        <v>2432</v>
      </c>
      <c r="C3" s="54">
        <v>90302290</v>
      </c>
      <c r="D3" s="48" t="s">
        <v>2430</v>
      </c>
      <c r="E3" s="47">
        <v>3001496</v>
      </c>
      <c r="F3"/>
      <c r="G3" s="42" t="s">
        <v>51</v>
      </c>
      <c r="H3" s="47">
        <v>3001496</v>
      </c>
      <c r="J3" t="s">
        <v>50</v>
      </c>
      <c r="K3">
        <v>4700022806</v>
      </c>
      <c r="L3">
        <v>10</v>
      </c>
      <c r="M3" s="29"/>
    </row>
    <row r="4" spans="1:13" x14ac:dyDescent="0.35">
      <c r="A4" s="48" t="s">
        <v>281</v>
      </c>
      <c r="B4" s="48" t="s">
        <v>2433</v>
      </c>
      <c r="C4" s="54">
        <v>90302290</v>
      </c>
      <c r="D4" s="48" t="s">
        <v>2430</v>
      </c>
      <c r="E4" s="47">
        <v>3001496</v>
      </c>
      <c r="F4"/>
      <c r="G4" s="42" t="s">
        <v>20</v>
      </c>
      <c r="H4" s="47">
        <v>3001496</v>
      </c>
      <c r="J4" t="s">
        <v>48</v>
      </c>
      <c r="K4">
        <v>4700022805</v>
      </c>
      <c r="L4">
        <v>10</v>
      </c>
      <c r="M4" s="29"/>
    </row>
    <row r="5" spans="1:13" x14ac:dyDescent="0.35">
      <c r="A5" s="48" t="s">
        <v>281</v>
      </c>
      <c r="B5" s="48" t="s">
        <v>2434</v>
      </c>
      <c r="C5" s="54">
        <v>90302291</v>
      </c>
      <c r="D5" s="48" t="s">
        <v>73</v>
      </c>
      <c r="E5" s="47">
        <v>3001496</v>
      </c>
      <c r="F5"/>
      <c r="G5" s="42" t="s">
        <v>52</v>
      </c>
      <c r="H5" s="47">
        <v>3001496</v>
      </c>
      <c r="J5" t="s">
        <v>54</v>
      </c>
      <c r="K5">
        <v>4700022724</v>
      </c>
      <c r="L5">
        <v>10</v>
      </c>
      <c r="M5" s="29"/>
    </row>
    <row r="6" spans="1:13" x14ac:dyDescent="0.35">
      <c r="A6" s="48" t="s">
        <v>281</v>
      </c>
      <c r="B6" s="48" t="s">
        <v>2435</v>
      </c>
      <c r="C6" s="54">
        <v>90302291</v>
      </c>
      <c r="D6" s="48" t="s">
        <v>2430</v>
      </c>
      <c r="E6" s="47">
        <v>3001496</v>
      </c>
      <c r="F6"/>
      <c r="G6" t="s">
        <v>53</v>
      </c>
      <c r="H6" s="47">
        <v>3001496</v>
      </c>
      <c r="J6" t="s">
        <v>2736</v>
      </c>
      <c r="K6">
        <v>4700022804</v>
      </c>
      <c r="L6">
        <v>10</v>
      </c>
      <c r="M6" s="29"/>
    </row>
    <row r="7" spans="1:13" x14ac:dyDescent="0.35">
      <c r="A7" s="48" t="s">
        <v>281</v>
      </c>
      <c r="B7" s="48" t="s">
        <v>2436</v>
      </c>
      <c r="C7" s="54">
        <v>90302291</v>
      </c>
      <c r="D7" s="48" t="s">
        <v>2430</v>
      </c>
      <c r="E7" s="47">
        <v>3001496</v>
      </c>
      <c r="F7"/>
      <c r="G7" t="s">
        <v>55</v>
      </c>
      <c r="H7" s="47">
        <v>3001496</v>
      </c>
      <c r="J7" t="s">
        <v>48</v>
      </c>
      <c r="K7">
        <v>4700022805</v>
      </c>
      <c r="L7">
        <v>10</v>
      </c>
      <c r="M7" s="29"/>
    </row>
    <row r="8" spans="1:13" x14ac:dyDescent="0.35">
      <c r="A8" s="48" t="s">
        <v>2437</v>
      </c>
      <c r="B8" s="48" t="s">
        <v>2438</v>
      </c>
      <c r="C8" s="55">
        <v>90302294</v>
      </c>
      <c r="D8" s="48" t="s">
        <v>73</v>
      </c>
      <c r="E8" s="47">
        <v>3001496</v>
      </c>
      <c r="F8"/>
      <c r="G8" t="s">
        <v>57</v>
      </c>
      <c r="H8" s="47">
        <v>3001496</v>
      </c>
      <c r="J8" t="s">
        <v>2737</v>
      </c>
      <c r="K8">
        <v>4700022803</v>
      </c>
      <c r="L8">
        <v>10</v>
      </c>
      <c r="M8" s="29"/>
    </row>
    <row r="9" spans="1:13" x14ac:dyDescent="0.35">
      <c r="A9" s="48" t="s">
        <v>2437</v>
      </c>
      <c r="B9" s="48" t="s">
        <v>2439</v>
      </c>
      <c r="C9" s="55">
        <v>90302294</v>
      </c>
      <c r="D9" s="48" t="s">
        <v>114</v>
      </c>
      <c r="E9" s="47">
        <v>3001496</v>
      </c>
      <c r="F9"/>
      <c r="G9" t="s">
        <v>58</v>
      </c>
      <c r="H9" s="47">
        <v>3001496</v>
      </c>
      <c r="J9" t="s">
        <v>2468</v>
      </c>
      <c r="K9">
        <v>4700022734</v>
      </c>
      <c r="L9">
        <v>10</v>
      </c>
      <c r="M9" s="29"/>
    </row>
    <row r="10" spans="1:13" x14ac:dyDescent="0.35">
      <c r="A10" s="48" t="s">
        <v>2437</v>
      </c>
      <c r="B10" s="48" t="s">
        <v>2440</v>
      </c>
      <c r="C10" s="55">
        <v>90302294</v>
      </c>
      <c r="D10" s="48" t="s">
        <v>114</v>
      </c>
      <c r="E10" s="47">
        <v>3001496</v>
      </c>
      <c r="F10"/>
      <c r="G10" t="s">
        <v>59</v>
      </c>
      <c r="H10" s="47">
        <v>3001496</v>
      </c>
      <c r="J10" t="s">
        <v>1914</v>
      </c>
      <c r="K10">
        <v>4700023527</v>
      </c>
      <c r="L10">
        <v>10</v>
      </c>
      <c r="M10" s="29"/>
    </row>
    <row r="11" spans="1:13" x14ac:dyDescent="0.35">
      <c r="A11" s="48" t="s">
        <v>2437</v>
      </c>
      <c r="B11" s="48" t="s">
        <v>2441</v>
      </c>
      <c r="C11" s="55">
        <v>90302295</v>
      </c>
      <c r="D11" s="48" t="s">
        <v>73</v>
      </c>
      <c r="E11" s="47">
        <v>3001496</v>
      </c>
      <c r="F11"/>
      <c r="G11" t="s">
        <v>60</v>
      </c>
      <c r="H11" s="47">
        <v>3001496</v>
      </c>
      <c r="J11" t="s">
        <v>2492</v>
      </c>
      <c r="K11">
        <v>4700023066</v>
      </c>
      <c r="L11">
        <v>10</v>
      </c>
      <c r="M11" s="29"/>
    </row>
    <row r="12" spans="1:13" x14ac:dyDescent="0.35">
      <c r="A12" s="48" t="s">
        <v>2437</v>
      </c>
      <c r="B12" s="48" t="s">
        <v>2442</v>
      </c>
      <c r="C12" s="55">
        <v>90302295</v>
      </c>
      <c r="D12" s="48" t="s">
        <v>114</v>
      </c>
      <c r="E12" s="47">
        <v>3001496</v>
      </c>
      <c r="F12"/>
      <c r="G12" t="s">
        <v>61</v>
      </c>
      <c r="H12" s="47">
        <v>3001496</v>
      </c>
      <c r="J12" t="s">
        <v>742</v>
      </c>
      <c r="K12">
        <v>4700023290</v>
      </c>
      <c r="L12">
        <v>10</v>
      </c>
      <c r="M12" s="29"/>
    </row>
    <row r="13" spans="1:13" x14ac:dyDescent="0.35">
      <c r="A13" s="48" t="s">
        <v>2437</v>
      </c>
      <c r="B13" s="48" t="s">
        <v>2443</v>
      </c>
      <c r="C13" s="55">
        <v>90302295</v>
      </c>
      <c r="D13" s="48" t="s">
        <v>114</v>
      </c>
      <c r="E13" s="47">
        <v>3001496</v>
      </c>
      <c r="F13"/>
      <c r="G13" t="s">
        <v>62</v>
      </c>
      <c r="H13" s="47">
        <v>3001496</v>
      </c>
      <c r="J13" t="s">
        <v>2738</v>
      </c>
      <c r="K13">
        <v>4700022808</v>
      </c>
      <c r="L13">
        <v>10</v>
      </c>
      <c r="M13" s="29"/>
    </row>
    <row r="14" spans="1:13" x14ac:dyDescent="0.35">
      <c r="A14" s="48" t="s">
        <v>48</v>
      </c>
      <c r="B14" s="48" t="s">
        <v>2457</v>
      </c>
      <c r="C14" s="55">
        <v>90302292</v>
      </c>
      <c r="D14" s="48" t="s">
        <v>2444</v>
      </c>
      <c r="E14" s="47">
        <v>3001496</v>
      </c>
      <c r="F14"/>
      <c r="G14" t="s">
        <v>63</v>
      </c>
      <c r="H14" s="47">
        <v>3001496</v>
      </c>
      <c r="J14" t="s">
        <v>2739</v>
      </c>
      <c r="K14">
        <v>4700022569</v>
      </c>
      <c r="L14">
        <v>10</v>
      </c>
      <c r="M14" s="29"/>
    </row>
    <row r="15" spans="1:13" x14ac:dyDescent="0.35">
      <c r="A15" s="48" t="s">
        <v>48</v>
      </c>
      <c r="B15" s="48" t="s">
        <v>2893</v>
      </c>
      <c r="C15" s="55">
        <v>90302292</v>
      </c>
      <c r="D15" s="48" t="s">
        <v>73</v>
      </c>
      <c r="E15" s="47">
        <v>3001496</v>
      </c>
      <c r="F15"/>
      <c r="G15" t="s">
        <v>64</v>
      </c>
      <c r="H15" s="47">
        <v>3001496</v>
      </c>
      <c r="J15" t="s">
        <v>2740</v>
      </c>
      <c r="K15">
        <v>4700022811</v>
      </c>
      <c r="L15">
        <v>10</v>
      </c>
      <c r="M15" s="29"/>
    </row>
    <row r="16" spans="1:13" x14ac:dyDescent="0.35">
      <c r="A16" s="48" t="s">
        <v>48</v>
      </c>
      <c r="B16" s="48" t="s">
        <v>2458</v>
      </c>
      <c r="C16" s="55">
        <v>90302292</v>
      </c>
      <c r="D16" s="48" t="s">
        <v>2888</v>
      </c>
      <c r="E16" s="47">
        <v>3001496</v>
      </c>
      <c r="F16"/>
      <c r="G16" t="s">
        <v>65</v>
      </c>
      <c r="H16" s="47">
        <v>3001496</v>
      </c>
      <c r="J16" t="s">
        <v>2554</v>
      </c>
      <c r="K16">
        <v>4700022810</v>
      </c>
      <c r="L16">
        <v>10</v>
      </c>
      <c r="M16" s="29"/>
    </row>
    <row r="17" spans="1:13" x14ac:dyDescent="0.35">
      <c r="A17" s="48" t="s">
        <v>48</v>
      </c>
      <c r="B17" s="48" t="s">
        <v>2459</v>
      </c>
      <c r="C17" s="55">
        <v>90302292</v>
      </c>
      <c r="D17" s="48" t="s">
        <v>2889</v>
      </c>
      <c r="E17" s="47">
        <v>3001496</v>
      </c>
      <c r="F17"/>
      <c r="G17" t="s">
        <v>66</v>
      </c>
      <c r="H17" s="47">
        <v>3001496</v>
      </c>
      <c r="J17" t="s">
        <v>2553</v>
      </c>
      <c r="K17">
        <v>4700022726</v>
      </c>
      <c r="L17">
        <v>10</v>
      </c>
      <c r="M17" s="29"/>
    </row>
    <row r="18" spans="1:13" x14ac:dyDescent="0.35">
      <c r="A18" s="48" t="s">
        <v>48</v>
      </c>
      <c r="B18" s="48" t="s">
        <v>2460</v>
      </c>
      <c r="C18" s="55">
        <v>90302292</v>
      </c>
      <c r="D18" s="50" t="s">
        <v>2888</v>
      </c>
      <c r="E18" s="47">
        <v>3001496</v>
      </c>
      <c r="F18"/>
      <c r="G18" t="s">
        <v>68</v>
      </c>
      <c r="H18" s="47">
        <v>3001496</v>
      </c>
      <c r="J18" t="s">
        <v>2569</v>
      </c>
      <c r="K18">
        <v>4700023234</v>
      </c>
      <c r="L18">
        <v>10</v>
      </c>
      <c r="M18" s="29"/>
    </row>
    <row r="19" spans="1:13" x14ac:dyDescent="0.35">
      <c r="A19" s="48" t="s">
        <v>48</v>
      </c>
      <c r="B19" s="49" t="s">
        <v>2452</v>
      </c>
      <c r="C19" s="55">
        <v>90302292</v>
      </c>
      <c r="D19" s="50" t="s">
        <v>2889</v>
      </c>
      <c r="E19" s="47">
        <v>3001496</v>
      </c>
      <c r="F19"/>
      <c r="G19" t="s">
        <v>69</v>
      </c>
      <c r="H19" s="47">
        <v>3001496</v>
      </c>
      <c r="J19" t="s">
        <v>1687</v>
      </c>
      <c r="K19">
        <v>4700023299</v>
      </c>
      <c r="L19">
        <v>10</v>
      </c>
      <c r="M19" s="29"/>
    </row>
    <row r="20" spans="1:13" x14ac:dyDescent="0.35">
      <c r="A20" s="48" t="s">
        <v>48</v>
      </c>
      <c r="B20" s="49" t="s">
        <v>2894</v>
      </c>
      <c r="C20" s="55">
        <v>90302292</v>
      </c>
      <c r="D20" s="50" t="s">
        <v>2889</v>
      </c>
      <c r="E20" s="47">
        <v>3001496</v>
      </c>
      <c r="F20"/>
      <c r="G20" t="s">
        <v>70</v>
      </c>
      <c r="H20" s="47">
        <v>3001496</v>
      </c>
      <c r="J20" t="s">
        <v>2741</v>
      </c>
      <c r="K20">
        <v>4700022233</v>
      </c>
      <c r="L20">
        <v>10</v>
      </c>
      <c r="M20" s="29"/>
    </row>
    <row r="21" spans="1:13" x14ac:dyDescent="0.35">
      <c r="A21" s="48" t="s">
        <v>48</v>
      </c>
      <c r="B21" s="48" t="s">
        <v>2461</v>
      </c>
      <c r="C21" s="55">
        <v>90302292</v>
      </c>
      <c r="D21" s="50" t="s">
        <v>2889</v>
      </c>
      <c r="E21" s="47">
        <v>3001496</v>
      </c>
      <c r="F21"/>
      <c r="G21" s="42"/>
      <c r="H21" s="29"/>
      <c r="J21" t="s">
        <v>50</v>
      </c>
      <c r="K21">
        <v>4700022806</v>
      </c>
      <c r="L21">
        <v>10</v>
      </c>
      <c r="M21" s="29"/>
    </row>
    <row r="22" spans="1:13" x14ac:dyDescent="0.35">
      <c r="A22" s="48" t="s">
        <v>48</v>
      </c>
      <c r="B22" s="48" t="s">
        <v>2462</v>
      </c>
      <c r="C22" s="55">
        <v>90302292</v>
      </c>
      <c r="D22" s="50" t="s">
        <v>2889</v>
      </c>
      <c r="E22" s="47">
        <v>3001496</v>
      </c>
      <c r="F22"/>
      <c r="G22" s="42"/>
      <c r="H22" s="29"/>
      <c r="J22" t="s">
        <v>2731</v>
      </c>
      <c r="K22">
        <v>4700022814</v>
      </c>
      <c r="L22">
        <v>10</v>
      </c>
      <c r="M22" s="29"/>
    </row>
    <row r="23" spans="1:13" x14ac:dyDescent="0.35">
      <c r="A23" s="48" t="s">
        <v>48</v>
      </c>
      <c r="B23" s="48" t="s">
        <v>2463</v>
      </c>
      <c r="C23" s="55">
        <v>90302292</v>
      </c>
      <c r="D23" s="50" t="s">
        <v>113</v>
      </c>
      <c r="E23" s="47">
        <v>3001496</v>
      </c>
      <c r="F23"/>
      <c r="G23" s="42"/>
      <c r="H23" s="29"/>
      <c r="J23" t="s">
        <v>2741</v>
      </c>
      <c r="K23" s="59">
        <v>4700022233</v>
      </c>
      <c r="L23">
        <v>10</v>
      </c>
      <c r="M23" s="29"/>
    </row>
    <row r="24" spans="1:13" x14ac:dyDescent="0.35">
      <c r="A24" s="48" t="s">
        <v>48</v>
      </c>
      <c r="B24" s="48" t="s">
        <v>2464</v>
      </c>
      <c r="C24" s="55">
        <v>90302292</v>
      </c>
      <c r="D24" s="50" t="s">
        <v>113</v>
      </c>
      <c r="E24" s="47">
        <v>3001496</v>
      </c>
      <c r="F24"/>
      <c r="G24" s="42"/>
      <c r="H24" s="29"/>
      <c r="J24" t="s">
        <v>2437</v>
      </c>
      <c r="M24" s="29"/>
    </row>
    <row r="25" spans="1:13" x14ac:dyDescent="0.35">
      <c r="A25" s="48" t="s">
        <v>48</v>
      </c>
      <c r="B25" s="49" t="s">
        <v>2465</v>
      </c>
      <c r="C25" s="55">
        <v>90302292</v>
      </c>
      <c r="D25" s="50" t="s">
        <v>113</v>
      </c>
      <c r="E25" s="47">
        <v>3001496</v>
      </c>
      <c r="F25"/>
      <c r="G25" s="42"/>
      <c r="H25" s="29"/>
      <c r="M25" s="29"/>
    </row>
    <row r="26" spans="1:13" x14ac:dyDescent="0.35">
      <c r="A26" s="48" t="s">
        <v>48</v>
      </c>
      <c r="B26" s="48" t="s">
        <v>2451</v>
      </c>
      <c r="C26" s="55">
        <v>90302292</v>
      </c>
      <c r="D26" s="50" t="s">
        <v>113</v>
      </c>
      <c r="E26" s="47">
        <v>3001496</v>
      </c>
      <c r="F26"/>
      <c r="G26" s="42"/>
      <c r="H26" s="29"/>
      <c r="M26" s="29"/>
    </row>
    <row r="27" spans="1:13" x14ac:dyDescent="0.35">
      <c r="A27" s="48" t="s">
        <v>48</v>
      </c>
      <c r="B27" s="48" t="s">
        <v>2466</v>
      </c>
      <c r="C27" s="55">
        <v>90302292</v>
      </c>
      <c r="D27" s="50" t="s">
        <v>113</v>
      </c>
      <c r="E27" s="47">
        <v>3001496</v>
      </c>
      <c r="F27"/>
      <c r="G27" s="42"/>
      <c r="H27" s="29"/>
      <c r="M27" s="29"/>
    </row>
    <row r="28" spans="1:13" x14ac:dyDescent="0.35">
      <c r="A28" s="48" t="s">
        <v>48</v>
      </c>
      <c r="B28" s="48" t="s">
        <v>2467</v>
      </c>
      <c r="C28" s="55">
        <v>90302292</v>
      </c>
      <c r="D28" s="50" t="s">
        <v>113</v>
      </c>
      <c r="E28" s="47">
        <v>3001496</v>
      </c>
      <c r="F28"/>
      <c r="G28" s="42"/>
      <c r="H28" s="29"/>
      <c r="M28" s="29"/>
    </row>
    <row r="29" spans="1:13" x14ac:dyDescent="0.35">
      <c r="A29" s="48" t="s">
        <v>48</v>
      </c>
      <c r="B29" s="48" t="s">
        <v>129</v>
      </c>
      <c r="C29" s="55">
        <v>90302292</v>
      </c>
      <c r="D29" s="50" t="s">
        <v>113</v>
      </c>
      <c r="E29" s="47">
        <v>3001496</v>
      </c>
      <c r="F29"/>
      <c r="G29" s="42"/>
      <c r="H29" s="29"/>
      <c r="M29" s="29"/>
    </row>
    <row r="30" spans="1:13" x14ac:dyDescent="0.35">
      <c r="A30" s="48" t="s">
        <v>48</v>
      </c>
      <c r="B30" s="48" t="s">
        <v>2456</v>
      </c>
      <c r="C30" s="55">
        <v>90302292</v>
      </c>
      <c r="D30" s="50" t="s">
        <v>113</v>
      </c>
      <c r="E30" s="47">
        <v>3001496</v>
      </c>
      <c r="F30"/>
      <c r="G30" s="42"/>
      <c r="H30" s="29"/>
      <c r="M30" s="29"/>
    </row>
    <row r="31" spans="1:13" x14ac:dyDescent="0.35">
      <c r="A31" s="48" t="s">
        <v>48</v>
      </c>
      <c r="B31" s="49" t="s">
        <v>2887</v>
      </c>
      <c r="C31" s="55">
        <v>90302293</v>
      </c>
      <c r="D31" s="50" t="s">
        <v>73</v>
      </c>
      <c r="E31" s="47">
        <v>3001496</v>
      </c>
      <c r="F31"/>
      <c r="G31" s="42"/>
      <c r="H31" s="29"/>
      <c r="M31" s="29"/>
    </row>
    <row r="32" spans="1:13" x14ac:dyDescent="0.35">
      <c r="A32" s="48" t="s">
        <v>48</v>
      </c>
      <c r="B32" s="48" t="s">
        <v>2455</v>
      </c>
      <c r="C32" s="55">
        <v>90302293</v>
      </c>
      <c r="D32" s="50" t="s">
        <v>2445</v>
      </c>
      <c r="E32" s="47">
        <v>3001496</v>
      </c>
      <c r="F32"/>
      <c r="G32" s="42"/>
      <c r="H32" s="29"/>
      <c r="M32" s="29"/>
    </row>
    <row r="33" spans="1:13" x14ac:dyDescent="0.35">
      <c r="A33" s="48" t="s">
        <v>48</v>
      </c>
      <c r="B33" s="49" t="s">
        <v>2454</v>
      </c>
      <c r="C33" s="55">
        <v>90302293</v>
      </c>
      <c r="D33" s="50" t="s">
        <v>2888</v>
      </c>
      <c r="E33" s="47">
        <v>3001496</v>
      </c>
      <c r="F33"/>
      <c r="G33" s="42"/>
      <c r="H33" s="29"/>
      <c r="M33" s="29"/>
    </row>
    <row r="34" spans="1:13" x14ac:dyDescent="0.35">
      <c r="A34" s="48" t="s">
        <v>48</v>
      </c>
      <c r="B34" s="49" t="s">
        <v>2453</v>
      </c>
      <c r="C34" s="55">
        <v>90302293</v>
      </c>
      <c r="D34" s="50" t="s">
        <v>2888</v>
      </c>
      <c r="E34" s="47">
        <v>3001496</v>
      </c>
      <c r="F34"/>
      <c r="G34" s="42"/>
      <c r="H34" s="29"/>
      <c r="K34"/>
      <c r="M34" s="29"/>
    </row>
    <row r="35" spans="1:13" x14ac:dyDescent="0.35">
      <c r="A35" s="48" t="s">
        <v>48</v>
      </c>
      <c r="B35" s="49" t="s">
        <v>2452</v>
      </c>
      <c r="C35" s="55">
        <v>90302293</v>
      </c>
      <c r="D35" s="50" t="s">
        <v>115</v>
      </c>
      <c r="E35" s="47">
        <v>3001496</v>
      </c>
      <c r="F35"/>
      <c r="G35" s="42"/>
      <c r="H35" s="29"/>
      <c r="K35"/>
      <c r="M35" s="29"/>
    </row>
    <row r="36" spans="1:13" x14ac:dyDescent="0.35">
      <c r="A36" s="48" t="s">
        <v>48</v>
      </c>
      <c r="B36" s="49" t="s">
        <v>127</v>
      </c>
      <c r="C36" s="55">
        <v>90302293</v>
      </c>
      <c r="D36" s="50" t="s">
        <v>2889</v>
      </c>
      <c r="E36" s="47">
        <v>3001496</v>
      </c>
      <c r="F36"/>
      <c r="G36" s="42"/>
      <c r="H36" s="29"/>
      <c r="K36"/>
      <c r="M36" s="29"/>
    </row>
    <row r="37" spans="1:13" x14ac:dyDescent="0.35">
      <c r="A37" s="48" t="s">
        <v>48</v>
      </c>
      <c r="B37" s="49" t="s">
        <v>2455</v>
      </c>
      <c r="C37" s="55">
        <v>90302293</v>
      </c>
      <c r="D37" s="50" t="s">
        <v>2888</v>
      </c>
      <c r="E37" s="47">
        <v>3001496</v>
      </c>
      <c r="F37"/>
      <c r="G37" s="42"/>
      <c r="H37" s="29"/>
      <c r="K37"/>
      <c r="M37" s="29"/>
    </row>
    <row r="38" spans="1:13" x14ac:dyDescent="0.35">
      <c r="A38" s="48" t="s">
        <v>48</v>
      </c>
      <c r="B38" s="49" t="s">
        <v>2450</v>
      </c>
      <c r="C38" s="55">
        <v>90302293</v>
      </c>
      <c r="D38" s="50" t="s">
        <v>2888</v>
      </c>
      <c r="E38" s="47">
        <v>3001496</v>
      </c>
      <c r="F38"/>
      <c r="G38" s="42"/>
      <c r="H38" s="29"/>
      <c r="K38"/>
      <c r="M38" s="29"/>
    </row>
    <row r="39" spans="1:13" x14ac:dyDescent="0.35">
      <c r="A39" s="48" t="s">
        <v>48</v>
      </c>
      <c r="B39" s="48" t="s">
        <v>2449</v>
      </c>
      <c r="C39" s="55">
        <v>90302293</v>
      </c>
      <c r="D39" s="50" t="s">
        <v>113</v>
      </c>
      <c r="E39" s="47">
        <v>3001496</v>
      </c>
      <c r="F39"/>
      <c r="G39" s="42"/>
      <c r="H39" s="29"/>
      <c r="K39"/>
      <c r="M39" s="29"/>
    </row>
    <row r="40" spans="1:13" x14ac:dyDescent="0.35">
      <c r="A40" s="48" t="s">
        <v>48</v>
      </c>
      <c r="B40" s="49" t="s">
        <v>2448</v>
      </c>
      <c r="C40" s="55">
        <v>90302293</v>
      </c>
      <c r="D40" s="50" t="s">
        <v>113</v>
      </c>
      <c r="E40" s="47">
        <v>3001496</v>
      </c>
      <c r="F40"/>
      <c r="G40" s="42"/>
      <c r="H40" s="29"/>
      <c r="K40"/>
      <c r="M40" s="29"/>
    </row>
    <row r="41" spans="1:13" x14ac:dyDescent="0.35">
      <c r="A41" s="48" t="s">
        <v>48</v>
      </c>
      <c r="B41" s="49" t="s">
        <v>2892</v>
      </c>
      <c r="C41" s="55">
        <v>90302293</v>
      </c>
      <c r="D41" s="50" t="s">
        <v>2888</v>
      </c>
      <c r="E41" s="47">
        <v>3001496</v>
      </c>
      <c r="F41"/>
      <c r="G41" s="42"/>
      <c r="H41" s="29"/>
      <c r="K41"/>
      <c r="M41" s="29"/>
    </row>
    <row r="42" spans="1:13" x14ac:dyDescent="0.35">
      <c r="A42" s="48" t="s">
        <v>48</v>
      </c>
      <c r="B42" s="49" t="s">
        <v>2450</v>
      </c>
      <c r="C42" s="55">
        <v>90302293</v>
      </c>
      <c r="D42" s="50" t="s">
        <v>2889</v>
      </c>
      <c r="E42" s="47">
        <v>3001496</v>
      </c>
      <c r="F42"/>
      <c r="G42" s="42"/>
      <c r="H42" s="29"/>
      <c r="K42"/>
      <c r="M42" s="29"/>
    </row>
    <row r="43" spans="1:13" x14ac:dyDescent="0.35">
      <c r="A43" s="48" t="s">
        <v>48</v>
      </c>
      <c r="B43" s="49" t="s">
        <v>128</v>
      </c>
      <c r="C43" s="55">
        <v>90302293</v>
      </c>
      <c r="D43" s="50" t="s">
        <v>113</v>
      </c>
      <c r="E43" s="47">
        <v>3001496</v>
      </c>
      <c r="F43"/>
      <c r="G43" s="42"/>
      <c r="H43" s="29"/>
      <c r="K43"/>
      <c r="M43" s="29"/>
    </row>
    <row r="44" spans="1:13" x14ac:dyDescent="0.35">
      <c r="A44" s="48" t="s">
        <v>48</v>
      </c>
      <c r="B44" s="48" t="s">
        <v>2447</v>
      </c>
      <c r="C44" s="55">
        <v>90302293</v>
      </c>
      <c r="D44" s="50" t="s">
        <v>113</v>
      </c>
      <c r="E44" s="47">
        <v>3001496</v>
      </c>
      <c r="F44"/>
      <c r="G44" s="42"/>
      <c r="H44" s="29"/>
      <c r="K44"/>
      <c r="M44" s="29"/>
    </row>
    <row r="45" spans="1:13" x14ac:dyDescent="0.35">
      <c r="A45" s="48" t="s">
        <v>48</v>
      </c>
      <c r="B45" s="49" t="s">
        <v>2446</v>
      </c>
      <c r="C45" s="55">
        <v>90302293</v>
      </c>
      <c r="D45" s="50" t="s">
        <v>113</v>
      </c>
      <c r="E45" s="47">
        <v>3001496</v>
      </c>
      <c r="F45"/>
      <c r="G45" s="42"/>
      <c r="H45" s="29"/>
      <c r="K45"/>
      <c r="M45" s="29"/>
    </row>
    <row r="46" spans="1:13" x14ac:dyDescent="0.35">
      <c r="A46" s="48" t="s">
        <v>48</v>
      </c>
      <c r="B46" s="48" t="s">
        <v>2891</v>
      </c>
      <c r="C46" s="55">
        <v>90302293</v>
      </c>
      <c r="D46" s="50" t="s">
        <v>113</v>
      </c>
      <c r="E46" s="47">
        <v>3001496</v>
      </c>
      <c r="F46"/>
      <c r="G46" s="42"/>
      <c r="H46" s="29"/>
      <c r="K46"/>
      <c r="M46" s="29"/>
    </row>
    <row r="47" spans="1:13" x14ac:dyDescent="0.35">
      <c r="A47" s="48" t="s">
        <v>48</v>
      </c>
      <c r="B47" s="48" t="s">
        <v>2890</v>
      </c>
      <c r="C47" s="55">
        <v>90302293</v>
      </c>
      <c r="D47" s="50" t="s">
        <v>113</v>
      </c>
      <c r="E47" s="47">
        <v>3001496</v>
      </c>
      <c r="F47"/>
      <c r="G47" s="42"/>
      <c r="H47" s="29"/>
      <c r="K47"/>
      <c r="M47" s="29"/>
    </row>
    <row r="48" spans="1:13" x14ac:dyDescent="0.35">
      <c r="A48" s="48" t="s">
        <v>48</v>
      </c>
      <c r="B48" s="48" t="s">
        <v>67</v>
      </c>
      <c r="C48" s="55">
        <v>90302293</v>
      </c>
      <c r="D48" s="48" t="s">
        <v>113</v>
      </c>
      <c r="E48" s="47">
        <v>3001496</v>
      </c>
      <c r="F48"/>
      <c r="G48" s="42"/>
      <c r="H48" s="29"/>
      <c r="K48"/>
      <c r="M48" s="29"/>
    </row>
    <row r="49" spans="1:13" x14ac:dyDescent="0.35">
      <c r="A49" s="48" t="s">
        <v>2468</v>
      </c>
      <c r="B49" s="48" t="s">
        <v>2482</v>
      </c>
      <c r="C49" s="55">
        <v>90302296</v>
      </c>
      <c r="D49" s="48" t="s">
        <v>73</v>
      </c>
      <c r="E49" s="47">
        <v>3001496</v>
      </c>
      <c r="F49"/>
      <c r="G49" s="42"/>
      <c r="H49" s="29"/>
      <c r="K49"/>
      <c r="M49" s="29"/>
    </row>
    <row r="50" spans="1:13" x14ac:dyDescent="0.35">
      <c r="A50" s="48" t="s">
        <v>2468</v>
      </c>
      <c r="B50" s="48" t="s">
        <v>2483</v>
      </c>
      <c r="C50" s="55">
        <v>90302296</v>
      </c>
      <c r="D50" s="48" t="s">
        <v>111</v>
      </c>
      <c r="E50" s="47">
        <v>3001496</v>
      </c>
      <c r="F50"/>
      <c r="G50" s="42"/>
      <c r="H50" s="29"/>
      <c r="K50"/>
      <c r="M50" s="29"/>
    </row>
    <row r="51" spans="1:13" x14ac:dyDescent="0.35">
      <c r="A51" s="48" t="s">
        <v>2468</v>
      </c>
      <c r="B51" s="48" t="s">
        <v>2481</v>
      </c>
      <c r="C51" s="55">
        <v>90302296</v>
      </c>
      <c r="D51" s="48" t="s">
        <v>111</v>
      </c>
      <c r="E51" s="47">
        <v>3001496</v>
      </c>
      <c r="F51"/>
      <c r="G51" s="42"/>
      <c r="H51" s="29"/>
      <c r="K51"/>
      <c r="M51" s="29"/>
    </row>
    <row r="52" spans="1:13" x14ac:dyDescent="0.35">
      <c r="A52" s="48" t="s">
        <v>2468</v>
      </c>
      <c r="B52" s="48" t="s">
        <v>2480</v>
      </c>
      <c r="C52" s="55">
        <v>90302296</v>
      </c>
      <c r="D52" s="48" t="s">
        <v>111</v>
      </c>
      <c r="E52" s="47">
        <v>3001496</v>
      </c>
      <c r="F52"/>
      <c r="G52" s="42"/>
      <c r="H52" s="29"/>
      <c r="K52"/>
      <c r="M52" s="29"/>
    </row>
    <row r="53" spans="1:13" x14ac:dyDescent="0.35">
      <c r="A53" s="48" t="s">
        <v>2468</v>
      </c>
      <c r="B53" s="48" t="s">
        <v>2479</v>
      </c>
      <c r="C53" s="55">
        <v>90302296</v>
      </c>
      <c r="D53" s="48" t="s">
        <v>112</v>
      </c>
      <c r="E53" s="47">
        <v>3001496</v>
      </c>
      <c r="F53"/>
      <c r="G53" s="42"/>
      <c r="H53" s="29"/>
      <c r="K53"/>
      <c r="M53" s="29"/>
    </row>
    <row r="54" spans="1:13" x14ac:dyDescent="0.35">
      <c r="A54" s="48" t="s">
        <v>2468</v>
      </c>
      <c r="B54" s="48" t="s">
        <v>2478</v>
      </c>
      <c r="C54" s="55">
        <v>90302296</v>
      </c>
      <c r="D54" s="48" t="s">
        <v>112</v>
      </c>
      <c r="E54" s="47">
        <v>3001496</v>
      </c>
      <c r="F54"/>
      <c r="G54" s="42"/>
      <c r="H54" s="29"/>
      <c r="K54"/>
      <c r="M54" s="29"/>
    </row>
    <row r="55" spans="1:13" x14ac:dyDescent="0.35">
      <c r="A55" s="48" t="s">
        <v>2468</v>
      </c>
      <c r="B55" s="48" t="s">
        <v>2477</v>
      </c>
      <c r="C55" s="55">
        <v>90302296</v>
      </c>
      <c r="D55" s="48" t="s">
        <v>112</v>
      </c>
      <c r="E55" s="47">
        <v>3001496</v>
      </c>
      <c r="F55"/>
      <c r="G55" s="42"/>
      <c r="H55" s="29"/>
      <c r="K55"/>
      <c r="M55" s="29"/>
    </row>
    <row r="56" spans="1:13" x14ac:dyDescent="0.35">
      <c r="A56" s="48" t="s">
        <v>2468</v>
      </c>
      <c r="B56" s="48" t="s">
        <v>2476</v>
      </c>
      <c r="C56" s="55">
        <v>90302296</v>
      </c>
      <c r="D56" s="48" t="s">
        <v>73</v>
      </c>
      <c r="E56" s="47">
        <v>3001496</v>
      </c>
      <c r="F56"/>
      <c r="G56" s="42"/>
      <c r="H56" s="29"/>
      <c r="K56"/>
      <c r="M56" s="29"/>
    </row>
    <row r="57" spans="1:13" x14ac:dyDescent="0.35">
      <c r="A57" s="48" t="s">
        <v>2468</v>
      </c>
      <c r="B57" s="48" t="s">
        <v>2475</v>
      </c>
      <c r="C57" s="55">
        <v>90302297</v>
      </c>
      <c r="D57" s="48" t="s">
        <v>73</v>
      </c>
      <c r="E57" s="47">
        <v>3001496</v>
      </c>
      <c r="F57"/>
      <c r="G57" s="42"/>
      <c r="H57" s="29"/>
      <c r="K57"/>
      <c r="M57" s="29"/>
    </row>
    <row r="58" spans="1:13" x14ac:dyDescent="0.35">
      <c r="A58" s="48" t="s">
        <v>2468</v>
      </c>
      <c r="B58" s="48" t="s">
        <v>2474</v>
      </c>
      <c r="C58" s="55">
        <v>90302297</v>
      </c>
      <c r="D58" s="48" t="s">
        <v>111</v>
      </c>
      <c r="E58" s="47">
        <v>3001496</v>
      </c>
      <c r="F58"/>
      <c r="G58" s="42"/>
      <c r="H58" s="29"/>
      <c r="K58"/>
      <c r="M58" s="29"/>
    </row>
    <row r="59" spans="1:13" x14ac:dyDescent="0.35">
      <c r="A59" s="48" t="s">
        <v>2468</v>
      </c>
      <c r="B59" s="48" t="s">
        <v>2473</v>
      </c>
      <c r="C59" s="55">
        <v>90302297</v>
      </c>
      <c r="D59" s="48" t="s">
        <v>111</v>
      </c>
      <c r="E59" s="47">
        <v>3001496</v>
      </c>
      <c r="F59"/>
      <c r="G59" s="42"/>
      <c r="H59" s="29"/>
      <c r="K59"/>
      <c r="M59" s="29"/>
    </row>
    <row r="60" spans="1:13" x14ac:dyDescent="0.35">
      <c r="A60" s="48" t="s">
        <v>2468</v>
      </c>
      <c r="B60" s="48" t="s">
        <v>2472</v>
      </c>
      <c r="C60" s="55">
        <v>90302297</v>
      </c>
      <c r="D60" s="48" t="s">
        <v>111</v>
      </c>
      <c r="E60" s="47">
        <v>3001496</v>
      </c>
      <c r="F60"/>
      <c r="G60" s="42"/>
      <c r="H60" s="29"/>
      <c r="K60"/>
      <c r="M60" s="29"/>
    </row>
    <row r="61" spans="1:13" x14ac:dyDescent="0.35">
      <c r="A61" s="48" t="s">
        <v>2468</v>
      </c>
      <c r="B61" s="48" t="s">
        <v>2471</v>
      </c>
      <c r="C61" s="55">
        <v>90302297</v>
      </c>
      <c r="D61" s="48" t="s">
        <v>112</v>
      </c>
      <c r="E61" s="47">
        <v>3001496</v>
      </c>
      <c r="F61"/>
      <c r="G61" s="42"/>
      <c r="H61" s="29"/>
      <c r="K61"/>
      <c r="M61" s="29"/>
    </row>
    <row r="62" spans="1:13" x14ac:dyDescent="0.35">
      <c r="A62" s="48" t="s">
        <v>2468</v>
      </c>
      <c r="B62" s="48" t="s">
        <v>2470</v>
      </c>
      <c r="C62" s="55">
        <v>90302297</v>
      </c>
      <c r="D62" s="48" t="s">
        <v>112</v>
      </c>
      <c r="E62" s="47">
        <v>3001496</v>
      </c>
      <c r="F62"/>
      <c r="G62" s="42"/>
      <c r="H62" s="29"/>
      <c r="K62"/>
      <c r="M62" s="29"/>
    </row>
    <row r="63" spans="1:13" x14ac:dyDescent="0.35">
      <c r="A63" s="48" t="s">
        <v>2468</v>
      </c>
      <c r="B63" s="48" t="s">
        <v>2469</v>
      </c>
      <c r="C63" s="55">
        <v>90302297</v>
      </c>
      <c r="D63" s="48" t="s">
        <v>112</v>
      </c>
      <c r="E63" s="47">
        <v>3001496</v>
      </c>
      <c r="F63"/>
      <c r="G63" s="42"/>
      <c r="H63" s="29"/>
      <c r="K63"/>
      <c r="M63" s="29"/>
    </row>
    <row r="64" spans="1:13" x14ac:dyDescent="0.35">
      <c r="A64" s="48" t="s">
        <v>1914</v>
      </c>
      <c r="B64" s="48" t="s">
        <v>2484</v>
      </c>
      <c r="C64" s="55">
        <v>90302322</v>
      </c>
      <c r="D64" s="48" t="s">
        <v>73</v>
      </c>
      <c r="E64" s="47">
        <v>3001496</v>
      </c>
      <c r="F64"/>
      <c r="G64" s="42"/>
      <c r="H64" s="29"/>
      <c r="K64"/>
      <c r="M64" s="29"/>
    </row>
    <row r="65" spans="1:13" x14ac:dyDescent="0.35">
      <c r="A65" s="48" t="s">
        <v>1914</v>
      </c>
      <c r="B65" s="48" t="s">
        <v>2485</v>
      </c>
      <c r="C65" s="55">
        <v>90302322</v>
      </c>
      <c r="D65" s="48" t="s">
        <v>111</v>
      </c>
      <c r="E65" s="47">
        <v>3001496</v>
      </c>
      <c r="F65"/>
      <c r="G65" s="42"/>
      <c r="H65" s="29"/>
      <c r="K65"/>
      <c r="M65" s="29"/>
    </row>
    <row r="66" spans="1:13" x14ac:dyDescent="0.35">
      <c r="A66" s="48" t="s">
        <v>1914</v>
      </c>
      <c r="B66" s="48" t="s">
        <v>2486</v>
      </c>
      <c r="C66" s="55">
        <v>90302322</v>
      </c>
      <c r="D66" s="48" t="s">
        <v>111</v>
      </c>
      <c r="E66" s="47">
        <v>3001496</v>
      </c>
      <c r="F66"/>
      <c r="G66" s="42"/>
      <c r="H66" s="29"/>
      <c r="K66"/>
      <c r="M66" s="29"/>
    </row>
    <row r="67" spans="1:13" x14ac:dyDescent="0.35">
      <c r="A67" s="48" t="s">
        <v>1914</v>
      </c>
      <c r="B67" s="48" t="s">
        <v>2487</v>
      </c>
      <c r="C67" s="55">
        <v>90302322</v>
      </c>
      <c r="D67" s="48" t="s">
        <v>112</v>
      </c>
      <c r="E67" s="47">
        <v>3001496</v>
      </c>
      <c r="F67"/>
      <c r="G67" s="42"/>
      <c r="H67" s="29"/>
      <c r="K67"/>
      <c r="M67" s="29"/>
    </row>
    <row r="68" spans="1:13" x14ac:dyDescent="0.35">
      <c r="A68" s="48" t="s">
        <v>1914</v>
      </c>
      <c r="B68" s="48" t="s">
        <v>2488</v>
      </c>
      <c r="C68" s="56">
        <v>90302323</v>
      </c>
      <c r="D68" s="48" t="s">
        <v>73</v>
      </c>
      <c r="E68" s="47">
        <v>3001496</v>
      </c>
      <c r="F68"/>
      <c r="G68" s="42"/>
      <c r="H68" s="29"/>
      <c r="K68"/>
      <c r="M68" s="29"/>
    </row>
    <row r="69" spans="1:13" x14ac:dyDescent="0.35">
      <c r="A69" s="48" t="s">
        <v>1914</v>
      </c>
      <c r="B69" s="48" t="s">
        <v>2489</v>
      </c>
      <c r="C69" s="56">
        <v>90302323</v>
      </c>
      <c r="D69" s="48" t="s">
        <v>111</v>
      </c>
      <c r="E69" s="47">
        <v>3001496</v>
      </c>
      <c r="F69"/>
      <c r="G69" s="42"/>
      <c r="H69" s="29"/>
      <c r="K69"/>
      <c r="M69" s="29"/>
    </row>
    <row r="70" spans="1:13" x14ac:dyDescent="0.35">
      <c r="A70" s="48" t="s">
        <v>1914</v>
      </c>
      <c r="B70" s="48" t="s">
        <v>2490</v>
      </c>
      <c r="C70" s="56">
        <v>90302323</v>
      </c>
      <c r="D70" s="48" t="s">
        <v>111</v>
      </c>
      <c r="E70" s="47">
        <v>3001496</v>
      </c>
      <c r="F70"/>
      <c r="G70" s="42"/>
      <c r="H70" s="29"/>
      <c r="K70"/>
      <c r="M70" s="29"/>
    </row>
    <row r="71" spans="1:13" x14ac:dyDescent="0.35">
      <c r="A71" s="48" t="s">
        <v>1914</v>
      </c>
      <c r="B71" s="48" t="s">
        <v>2491</v>
      </c>
      <c r="C71" s="56">
        <v>90302323</v>
      </c>
      <c r="D71" s="48" t="s">
        <v>112</v>
      </c>
      <c r="E71" s="47">
        <v>3001496</v>
      </c>
    </row>
    <row r="72" spans="1:13" x14ac:dyDescent="0.35">
      <c r="A72" s="48" t="s">
        <v>2492</v>
      </c>
      <c r="B72" s="48" t="s">
        <v>2495</v>
      </c>
      <c r="C72" s="55">
        <v>90302099</v>
      </c>
      <c r="D72" s="48" t="s">
        <v>73</v>
      </c>
      <c r="E72" s="47">
        <v>3001496</v>
      </c>
    </row>
    <row r="73" spans="1:13" x14ac:dyDescent="0.35">
      <c r="A73" s="48" t="s">
        <v>2492</v>
      </c>
      <c r="B73" s="48" t="s">
        <v>2496</v>
      </c>
      <c r="C73" s="55">
        <v>90300955</v>
      </c>
      <c r="D73" s="48" t="s">
        <v>2493</v>
      </c>
      <c r="E73" s="47">
        <v>3001496</v>
      </c>
    </row>
    <row r="74" spans="1:13" ht="14.5" customHeight="1" x14ac:dyDescent="0.35">
      <c r="A74" s="48" t="s">
        <v>2492</v>
      </c>
      <c r="B74" s="48" t="s">
        <v>2497</v>
      </c>
      <c r="C74" s="55">
        <v>90302954</v>
      </c>
      <c r="D74" s="48" t="s">
        <v>2493</v>
      </c>
      <c r="E74" s="47">
        <v>3001496</v>
      </c>
    </row>
    <row r="75" spans="1:13" ht="14.5" customHeight="1" x14ac:dyDescent="0.35">
      <c r="A75" s="48" t="s">
        <v>2492</v>
      </c>
      <c r="B75" s="48" t="s">
        <v>2498</v>
      </c>
      <c r="C75" s="55">
        <v>90302098</v>
      </c>
      <c r="D75" s="48" t="s">
        <v>2493</v>
      </c>
      <c r="E75" s="47">
        <v>3001496</v>
      </c>
    </row>
    <row r="76" spans="1:13" ht="14.5" customHeight="1" x14ac:dyDescent="0.35">
      <c r="A76" s="48" t="s">
        <v>742</v>
      </c>
      <c r="B76" s="48" t="s">
        <v>2499</v>
      </c>
      <c r="C76" s="55">
        <v>90302300</v>
      </c>
      <c r="D76" s="48" t="s">
        <v>73</v>
      </c>
      <c r="E76" s="47">
        <v>3001496</v>
      </c>
    </row>
    <row r="77" spans="1:13" ht="14.5" customHeight="1" x14ac:dyDescent="0.35">
      <c r="A77" s="48" t="s">
        <v>742</v>
      </c>
      <c r="B77" s="48" t="s">
        <v>2500</v>
      </c>
      <c r="C77" s="55">
        <v>90302300</v>
      </c>
      <c r="D77" s="48" t="s">
        <v>2494</v>
      </c>
      <c r="E77" s="47">
        <v>3001496</v>
      </c>
    </row>
    <row r="78" spans="1:13" ht="14.5" customHeight="1" x14ac:dyDescent="0.35">
      <c r="A78" s="48" t="s">
        <v>742</v>
      </c>
      <c r="B78" s="48" t="s">
        <v>2501</v>
      </c>
      <c r="C78" s="55">
        <v>90302300</v>
      </c>
      <c r="D78" s="48" t="s">
        <v>2494</v>
      </c>
      <c r="E78" s="47">
        <v>3001496</v>
      </c>
    </row>
    <row r="79" spans="1:13" ht="14.5" customHeight="1" x14ac:dyDescent="0.35">
      <c r="A79" s="48" t="s">
        <v>742</v>
      </c>
      <c r="B79" s="48" t="s">
        <v>2502</v>
      </c>
      <c r="C79" s="55">
        <v>90302301</v>
      </c>
      <c r="D79" s="48" t="s">
        <v>73</v>
      </c>
      <c r="E79" s="47">
        <v>3001496</v>
      </c>
    </row>
    <row r="80" spans="1:13" ht="14.5" customHeight="1" x14ac:dyDescent="0.35">
      <c r="A80" s="48" t="s">
        <v>742</v>
      </c>
      <c r="B80" s="48" t="s">
        <v>2503</v>
      </c>
      <c r="C80" s="55">
        <v>90302301</v>
      </c>
      <c r="D80" s="48" t="s">
        <v>2494</v>
      </c>
      <c r="E80" s="47">
        <v>3001496</v>
      </c>
    </row>
    <row r="81" spans="1:5" ht="14.5" customHeight="1" x14ac:dyDescent="0.35">
      <c r="A81" s="48" t="s">
        <v>742</v>
      </c>
      <c r="B81" s="48" t="s">
        <v>2504</v>
      </c>
      <c r="C81" s="55">
        <v>90302301</v>
      </c>
      <c r="D81" s="48" t="s">
        <v>2494</v>
      </c>
      <c r="E81" s="47">
        <v>3001496</v>
      </c>
    </row>
    <row r="82" spans="1:5" ht="14.5" customHeight="1" x14ac:dyDescent="0.35">
      <c r="A82" s="48" t="s">
        <v>2505</v>
      </c>
      <c r="B82" s="48" t="s">
        <v>2508</v>
      </c>
      <c r="C82" s="55">
        <v>90302302</v>
      </c>
      <c r="D82" s="48" t="s">
        <v>2506</v>
      </c>
      <c r="E82" s="47">
        <v>3001496</v>
      </c>
    </row>
    <row r="83" spans="1:5" ht="14.5" customHeight="1" x14ac:dyDescent="0.35">
      <c r="A83" s="48" t="s">
        <v>2505</v>
      </c>
      <c r="B83" s="48" t="s">
        <v>2509</v>
      </c>
      <c r="C83" s="55">
        <v>90302302</v>
      </c>
      <c r="D83" s="48" t="s">
        <v>2506</v>
      </c>
      <c r="E83" s="47">
        <v>3001496</v>
      </c>
    </row>
    <row r="84" spans="1:5" ht="14.5" customHeight="1" x14ac:dyDescent="0.35">
      <c r="A84" s="48" t="s">
        <v>2505</v>
      </c>
      <c r="B84" s="48" t="s">
        <v>2510</v>
      </c>
      <c r="C84" s="55">
        <v>90302302</v>
      </c>
      <c r="D84" s="48" t="s">
        <v>2506</v>
      </c>
      <c r="E84" s="47">
        <v>3001496</v>
      </c>
    </row>
    <row r="85" spans="1:5" ht="14.5" customHeight="1" x14ac:dyDescent="0.35">
      <c r="A85" s="48" t="s">
        <v>2511</v>
      </c>
      <c r="B85" s="48" t="s">
        <v>2527</v>
      </c>
      <c r="C85" s="55">
        <v>90302304</v>
      </c>
      <c r="D85" s="48" t="s">
        <v>73</v>
      </c>
      <c r="E85" s="47">
        <v>3001496</v>
      </c>
    </row>
    <row r="86" spans="1:5" ht="14.5" customHeight="1" x14ac:dyDescent="0.35">
      <c r="A86" s="48" t="s">
        <v>2511</v>
      </c>
      <c r="B86" s="48" t="s">
        <v>2528</v>
      </c>
      <c r="C86" s="55">
        <v>90302304</v>
      </c>
      <c r="D86" s="48" t="s">
        <v>113</v>
      </c>
      <c r="E86" s="47">
        <v>3001496</v>
      </c>
    </row>
    <row r="87" spans="1:5" ht="14.5" customHeight="1" x14ac:dyDescent="0.35">
      <c r="A87" s="48" t="s">
        <v>2511</v>
      </c>
      <c r="B87" s="48" t="s">
        <v>2529</v>
      </c>
      <c r="C87" s="55">
        <v>90302304</v>
      </c>
      <c r="D87" s="48" t="s">
        <v>111</v>
      </c>
      <c r="E87" s="47">
        <v>3001496</v>
      </c>
    </row>
    <row r="88" spans="1:5" ht="14.5" customHeight="1" x14ac:dyDescent="0.35">
      <c r="A88" s="48" t="s">
        <v>2511</v>
      </c>
      <c r="B88" s="52" t="s">
        <v>2530</v>
      </c>
      <c r="C88" s="55">
        <v>90302304</v>
      </c>
      <c r="D88" s="48" t="s">
        <v>111</v>
      </c>
      <c r="E88" s="47">
        <v>3001496</v>
      </c>
    </row>
    <row r="89" spans="1:5" ht="14.5" customHeight="1" x14ac:dyDescent="0.35">
      <c r="A89" s="48" t="s">
        <v>2511</v>
      </c>
      <c r="B89" s="48" t="s">
        <v>2531</v>
      </c>
      <c r="C89" s="55">
        <v>90302304</v>
      </c>
      <c r="D89" s="48" t="s">
        <v>111</v>
      </c>
      <c r="E89" s="47">
        <v>3001496</v>
      </c>
    </row>
    <row r="90" spans="1:5" ht="14.5" customHeight="1" x14ac:dyDescent="0.35">
      <c r="A90" s="48" t="s">
        <v>2511</v>
      </c>
      <c r="B90" s="48" t="s">
        <v>2532</v>
      </c>
      <c r="C90" s="55">
        <v>90302304</v>
      </c>
      <c r="D90" s="48" t="s">
        <v>111</v>
      </c>
      <c r="E90" s="47">
        <v>3001496</v>
      </c>
    </row>
    <row r="91" spans="1:5" ht="14.5" customHeight="1" x14ac:dyDescent="0.35">
      <c r="A91" s="48" t="s">
        <v>2511</v>
      </c>
      <c r="B91" s="48" t="s">
        <v>2533</v>
      </c>
      <c r="C91" s="55">
        <v>90302304</v>
      </c>
      <c r="D91" s="48" t="s">
        <v>111</v>
      </c>
      <c r="E91" s="47">
        <v>3001496</v>
      </c>
    </row>
    <row r="92" spans="1:5" ht="14.5" customHeight="1" x14ac:dyDescent="0.35">
      <c r="A92" s="48" t="s">
        <v>2511</v>
      </c>
      <c r="B92" s="48" t="s">
        <v>2534</v>
      </c>
      <c r="C92" s="55">
        <v>90302304</v>
      </c>
      <c r="D92" s="48" t="s">
        <v>111</v>
      </c>
      <c r="E92" s="47">
        <v>3001496</v>
      </c>
    </row>
    <row r="93" spans="1:5" ht="14.5" customHeight="1" x14ac:dyDescent="0.35">
      <c r="A93" s="48" t="s">
        <v>2511</v>
      </c>
      <c r="B93" s="48" t="s">
        <v>2535</v>
      </c>
      <c r="C93" s="55">
        <v>90302304</v>
      </c>
      <c r="D93" s="48" t="s">
        <v>111</v>
      </c>
      <c r="E93" s="47">
        <v>3001496</v>
      </c>
    </row>
    <row r="94" spans="1:5" ht="14.5" customHeight="1" x14ac:dyDescent="0.35">
      <c r="A94" s="48" t="s">
        <v>2511</v>
      </c>
      <c r="B94" s="48" t="s">
        <v>2536</v>
      </c>
      <c r="C94" s="55">
        <v>90302304</v>
      </c>
      <c r="D94" s="48" t="s">
        <v>111</v>
      </c>
      <c r="E94" s="47">
        <v>3001496</v>
      </c>
    </row>
    <row r="95" spans="1:5" ht="14.5" customHeight="1" x14ac:dyDescent="0.35">
      <c r="A95" s="48" t="s">
        <v>2511</v>
      </c>
      <c r="B95" s="48" t="s">
        <v>2537</v>
      </c>
      <c r="C95" s="55">
        <v>90302304</v>
      </c>
      <c r="D95" s="48" t="s">
        <v>111</v>
      </c>
      <c r="E95" s="47">
        <v>3001496</v>
      </c>
    </row>
    <row r="96" spans="1:5" ht="14.5" customHeight="1" x14ac:dyDescent="0.35">
      <c r="A96" s="48" t="s">
        <v>2511</v>
      </c>
      <c r="B96" s="48" t="s">
        <v>2538</v>
      </c>
      <c r="C96" s="55">
        <v>90302304</v>
      </c>
      <c r="D96" s="51" t="s">
        <v>112</v>
      </c>
      <c r="E96" s="47">
        <v>3001496</v>
      </c>
    </row>
    <row r="97" spans="1:5" ht="14.5" customHeight="1" x14ac:dyDescent="0.35">
      <c r="A97" s="48" t="s">
        <v>2511</v>
      </c>
      <c r="B97" s="48" t="s">
        <v>2539</v>
      </c>
      <c r="C97" s="55">
        <v>90302304</v>
      </c>
      <c r="D97" s="48" t="s">
        <v>112</v>
      </c>
      <c r="E97" s="47">
        <v>3001496</v>
      </c>
    </row>
    <row r="98" spans="1:5" ht="14.5" customHeight="1" x14ac:dyDescent="0.35">
      <c r="A98" s="48" t="s">
        <v>2511</v>
      </c>
      <c r="B98" s="48" t="s">
        <v>2512</v>
      </c>
      <c r="C98" s="55">
        <v>90302304</v>
      </c>
      <c r="D98" s="48" t="s">
        <v>112</v>
      </c>
      <c r="E98" s="47">
        <v>3001496</v>
      </c>
    </row>
    <row r="99" spans="1:5" ht="14.5" customHeight="1" x14ac:dyDescent="0.35">
      <c r="A99" s="48" t="s">
        <v>2511</v>
      </c>
      <c r="B99" s="48" t="s">
        <v>2513</v>
      </c>
      <c r="C99" s="57">
        <v>90302305</v>
      </c>
      <c r="D99" s="48" t="s">
        <v>73</v>
      </c>
      <c r="E99" s="47">
        <v>3001496</v>
      </c>
    </row>
    <row r="100" spans="1:5" ht="14.5" customHeight="1" x14ac:dyDescent="0.35">
      <c r="A100" s="48" t="s">
        <v>2511</v>
      </c>
      <c r="B100" s="48" t="s">
        <v>2514</v>
      </c>
      <c r="C100" s="57">
        <v>90302305</v>
      </c>
      <c r="D100" s="48" t="s">
        <v>113</v>
      </c>
      <c r="E100" s="47">
        <v>3001496</v>
      </c>
    </row>
    <row r="101" spans="1:5" ht="14.5" customHeight="1" x14ac:dyDescent="0.35">
      <c r="A101" s="48" t="s">
        <v>2511</v>
      </c>
      <c r="B101" s="48" t="s">
        <v>2515</v>
      </c>
      <c r="C101" s="57">
        <v>90302305</v>
      </c>
      <c r="D101" s="48" t="s">
        <v>111</v>
      </c>
      <c r="E101" s="47">
        <v>3001496</v>
      </c>
    </row>
    <row r="102" spans="1:5" ht="14.5" customHeight="1" x14ac:dyDescent="0.35">
      <c r="A102" s="48" t="s">
        <v>2511</v>
      </c>
      <c r="B102" s="48" t="s">
        <v>2516</v>
      </c>
      <c r="C102" s="57">
        <v>90302305</v>
      </c>
      <c r="D102" s="51" t="s">
        <v>113</v>
      </c>
      <c r="E102" s="47">
        <v>3001496</v>
      </c>
    </row>
    <row r="103" spans="1:5" ht="14.5" customHeight="1" x14ac:dyDescent="0.35">
      <c r="A103" s="48" t="s">
        <v>2511</v>
      </c>
      <c r="B103" s="48" t="s">
        <v>2517</v>
      </c>
      <c r="C103" s="57">
        <v>90302305</v>
      </c>
      <c r="D103" s="48" t="s">
        <v>111</v>
      </c>
      <c r="E103" s="47">
        <v>3001496</v>
      </c>
    </row>
    <row r="104" spans="1:5" ht="14.5" customHeight="1" x14ac:dyDescent="0.35">
      <c r="A104" s="48" t="s">
        <v>2511</v>
      </c>
      <c r="B104" s="48" t="s">
        <v>2518</v>
      </c>
      <c r="C104" s="57">
        <v>90302305</v>
      </c>
      <c r="D104" s="48" t="s">
        <v>111</v>
      </c>
      <c r="E104" s="47">
        <v>3001496</v>
      </c>
    </row>
    <row r="105" spans="1:5" ht="14.5" customHeight="1" x14ac:dyDescent="0.35">
      <c r="A105" s="48" t="s">
        <v>2511</v>
      </c>
      <c r="B105" s="48" t="s">
        <v>2519</v>
      </c>
      <c r="C105" s="57">
        <v>90302305</v>
      </c>
      <c r="D105" s="48" t="s">
        <v>111</v>
      </c>
      <c r="E105" s="47">
        <v>3001496</v>
      </c>
    </row>
    <row r="106" spans="1:5" ht="14.5" customHeight="1" x14ac:dyDescent="0.35">
      <c r="A106" s="48" t="s">
        <v>2511</v>
      </c>
      <c r="B106" s="48" t="s">
        <v>2520</v>
      </c>
      <c r="C106" s="57">
        <v>90302305</v>
      </c>
      <c r="D106" s="48" t="s">
        <v>111</v>
      </c>
      <c r="E106" s="47">
        <v>3001496</v>
      </c>
    </row>
    <row r="107" spans="1:5" ht="14.5" customHeight="1" x14ac:dyDescent="0.35">
      <c r="A107" s="48" t="s">
        <v>2511</v>
      </c>
      <c r="B107" s="48" t="s">
        <v>2521</v>
      </c>
      <c r="C107" s="57">
        <v>90302305</v>
      </c>
      <c r="D107" s="48" t="s">
        <v>111</v>
      </c>
      <c r="E107" s="47">
        <v>3001496</v>
      </c>
    </row>
    <row r="108" spans="1:5" ht="14.5" customHeight="1" x14ac:dyDescent="0.35">
      <c r="A108" s="48" t="s">
        <v>2511</v>
      </c>
      <c r="B108" s="48" t="s">
        <v>2522</v>
      </c>
      <c r="C108" s="57">
        <v>90302305</v>
      </c>
      <c r="D108" s="48" t="s">
        <v>111</v>
      </c>
      <c r="E108" s="47">
        <v>3001496</v>
      </c>
    </row>
    <row r="109" spans="1:5" ht="14.5" customHeight="1" x14ac:dyDescent="0.35">
      <c r="A109" s="48" t="s">
        <v>2511</v>
      </c>
      <c r="B109" s="48" t="s">
        <v>2523</v>
      </c>
      <c r="C109" s="57">
        <v>90302305</v>
      </c>
      <c r="D109" s="48" t="s">
        <v>111</v>
      </c>
      <c r="E109" s="47">
        <v>3001496</v>
      </c>
    </row>
    <row r="110" spans="1:5" ht="14.5" customHeight="1" x14ac:dyDescent="0.35">
      <c r="A110" s="48" t="s">
        <v>2511</v>
      </c>
      <c r="B110" s="48" t="s">
        <v>2524</v>
      </c>
      <c r="C110" s="57">
        <v>90302305</v>
      </c>
      <c r="D110" s="48" t="s">
        <v>111</v>
      </c>
      <c r="E110" s="47">
        <v>3001496</v>
      </c>
    </row>
    <row r="111" spans="1:5" ht="14.5" customHeight="1" x14ac:dyDescent="0.35">
      <c r="A111" s="48" t="s">
        <v>2511</v>
      </c>
      <c r="B111" s="48" t="s">
        <v>2525</v>
      </c>
      <c r="C111" s="57">
        <v>90302305</v>
      </c>
      <c r="D111" s="48" t="s">
        <v>112</v>
      </c>
      <c r="E111" s="47">
        <v>3001496</v>
      </c>
    </row>
    <row r="112" spans="1:5" ht="14.5" customHeight="1" x14ac:dyDescent="0.35">
      <c r="A112" s="48" t="s">
        <v>2511</v>
      </c>
      <c r="B112" s="48" t="s">
        <v>2526</v>
      </c>
      <c r="C112" s="57">
        <v>90302305</v>
      </c>
      <c r="D112" s="48" t="s">
        <v>112</v>
      </c>
      <c r="E112" s="47">
        <v>3001496</v>
      </c>
    </row>
    <row r="113" spans="1:5" ht="14.5" customHeight="1" x14ac:dyDescent="0.35">
      <c r="A113" s="48" t="s">
        <v>2540</v>
      </c>
      <c r="B113" s="48" t="s">
        <v>2542</v>
      </c>
      <c r="C113" s="55">
        <v>90302308</v>
      </c>
      <c r="D113" s="48" t="s">
        <v>73</v>
      </c>
      <c r="E113" s="47">
        <v>3001496</v>
      </c>
    </row>
    <row r="114" spans="1:5" ht="14.5" customHeight="1" x14ac:dyDescent="0.35">
      <c r="A114" s="48" t="s">
        <v>2540</v>
      </c>
      <c r="B114" s="48" t="s">
        <v>2543</v>
      </c>
      <c r="C114" s="55">
        <v>90302308</v>
      </c>
      <c r="D114" s="48" t="s">
        <v>2541</v>
      </c>
      <c r="E114" s="47">
        <v>3001496</v>
      </c>
    </row>
    <row r="115" spans="1:5" ht="14.5" customHeight="1" x14ac:dyDescent="0.35">
      <c r="A115" s="48" t="s">
        <v>2540</v>
      </c>
      <c r="B115" s="48" t="s">
        <v>2544</v>
      </c>
      <c r="C115" s="55">
        <v>90302308</v>
      </c>
      <c r="D115" s="48" t="s">
        <v>2541</v>
      </c>
      <c r="E115" s="47">
        <v>3001496</v>
      </c>
    </row>
    <row r="116" spans="1:5" ht="14.5" customHeight="1" x14ac:dyDescent="0.35">
      <c r="A116" s="48" t="s">
        <v>2540</v>
      </c>
      <c r="B116" s="48" t="s">
        <v>2545</v>
      </c>
      <c r="C116" s="55">
        <v>90302308</v>
      </c>
      <c r="D116" s="48" t="s">
        <v>2541</v>
      </c>
      <c r="E116" s="47">
        <v>3001496</v>
      </c>
    </row>
    <row r="117" spans="1:5" ht="14.5" customHeight="1" x14ac:dyDescent="0.35">
      <c r="A117" s="48" t="s">
        <v>2540</v>
      </c>
      <c r="B117" s="48" t="s">
        <v>2546</v>
      </c>
      <c r="C117" s="55">
        <v>90302308</v>
      </c>
      <c r="D117" s="48" t="s">
        <v>2541</v>
      </c>
      <c r="E117" s="47">
        <v>3001496</v>
      </c>
    </row>
    <row r="118" spans="1:5" ht="14.5" customHeight="1" x14ac:dyDescent="0.35">
      <c r="A118" s="48" t="s">
        <v>2540</v>
      </c>
      <c r="B118" s="48" t="s">
        <v>2547</v>
      </c>
      <c r="C118" s="55">
        <v>90302308</v>
      </c>
      <c r="D118" s="48" t="s">
        <v>2541</v>
      </c>
      <c r="E118" s="47">
        <v>3001496</v>
      </c>
    </row>
    <row r="119" spans="1:5" ht="14.5" customHeight="1" x14ac:dyDescent="0.35">
      <c r="A119" s="48" t="s">
        <v>2540</v>
      </c>
      <c r="B119" s="48" t="s">
        <v>2548</v>
      </c>
      <c r="C119" s="56">
        <v>90302309</v>
      </c>
      <c r="D119" s="48" t="s">
        <v>73</v>
      </c>
      <c r="E119" s="47">
        <v>3001496</v>
      </c>
    </row>
    <row r="120" spans="1:5" ht="14.5" customHeight="1" x14ac:dyDescent="0.35">
      <c r="A120" s="48" t="s">
        <v>2540</v>
      </c>
      <c r="B120" s="48" t="s">
        <v>2549</v>
      </c>
      <c r="C120" s="56">
        <v>90302309</v>
      </c>
      <c r="D120" s="48" t="s">
        <v>2541</v>
      </c>
      <c r="E120" s="47">
        <v>3001496</v>
      </c>
    </row>
    <row r="121" spans="1:5" ht="14.5" customHeight="1" x14ac:dyDescent="0.35">
      <c r="A121" s="48" t="s">
        <v>2540</v>
      </c>
      <c r="B121" s="48" t="s">
        <v>2550</v>
      </c>
      <c r="C121" s="56">
        <v>90302309</v>
      </c>
      <c r="D121" s="48" t="s">
        <v>2541</v>
      </c>
      <c r="E121" s="47">
        <v>3001496</v>
      </c>
    </row>
    <row r="122" spans="1:5" ht="14.5" customHeight="1" x14ac:dyDescent="0.35">
      <c r="A122" s="48" t="s">
        <v>2540</v>
      </c>
      <c r="B122" s="48" t="s">
        <v>2551</v>
      </c>
      <c r="C122" s="56">
        <v>90302309</v>
      </c>
      <c r="D122" s="48" t="s">
        <v>2541</v>
      </c>
      <c r="E122" s="47">
        <v>3001496</v>
      </c>
    </row>
    <row r="123" spans="1:5" ht="14.5" customHeight="1" x14ac:dyDescent="0.35">
      <c r="A123" s="48" t="s">
        <v>2540</v>
      </c>
      <c r="B123" s="48" t="s">
        <v>2904</v>
      </c>
      <c r="C123" s="56">
        <v>90302309</v>
      </c>
      <c r="D123" s="48" t="s">
        <v>2541</v>
      </c>
      <c r="E123" s="47">
        <v>3001496</v>
      </c>
    </row>
    <row r="124" spans="1:5" ht="14.5" customHeight="1" x14ac:dyDescent="0.35">
      <c r="A124" s="48" t="s">
        <v>2540</v>
      </c>
      <c r="B124" s="48" t="s">
        <v>2552</v>
      </c>
      <c r="C124" s="56">
        <v>90302309</v>
      </c>
      <c r="D124" s="48" t="s">
        <v>2541</v>
      </c>
      <c r="E124" s="47">
        <v>3001496</v>
      </c>
    </row>
    <row r="125" spans="1:5" ht="14.5" customHeight="1" x14ac:dyDescent="0.35">
      <c r="A125" s="48" t="s">
        <v>2553</v>
      </c>
      <c r="B125" s="48" t="s">
        <v>2555</v>
      </c>
      <c r="C125" s="55">
        <v>90303169</v>
      </c>
      <c r="D125" s="48" t="s">
        <v>2507</v>
      </c>
      <c r="E125" s="47">
        <v>3001496</v>
      </c>
    </row>
    <row r="126" spans="1:5" ht="14.5" customHeight="1" x14ac:dyDescent="0.35">
      <c r="A126" s="48" t="s">
        <v>2553</v>
      </c>
      <c r="B126" s="48" t="s">
        <v>2556</v>
      </c>
      <c r="C126" s="55">
        <v>90303169</v>
      </c>
      <c r="D126" s="48" t="s">
        <v>2493</v>
      </c>
      <c r="E126" s="47">
        <v>3001496</v>
      </c>
    </row>
    <row r="127" spans="1:5" ht="14.5" customHeight="1" x14ac:dyDescent="0.35">
      <c r="A127" s="48" t="s">
        <v>2553</v>
      </c>
      <c r="B127" s="48" t="s">
        <v>2557</v>
      </c>
      <c r="C127" s="55">
        <v>90303169</v>
      </c>
      <c r="D127" s="48" t="s">
        <v>2493</v>
      </c>
      <c r="E127" s="47">
        <v>3001496</v>
      </c>
    </row>
    <row r="128" spans="1:5" ht="14.5" customHeight="1" x14ac:dyDescent="0.35">
      <c r="A128" s="48" t="s">
        <v>2553</v>
      </c>
      <c r="B128" s="48" t="s">
        <v>2560</v>
      </c>
      <c r="C128" s="55">
        <v>90303169</v>
      </c>
      <c r="D128" s="48" t="s">
        <v>2493</v>
      </c>
      <c r="E128" s="47">
        <v>3001496</v>
      </c>
    </row>
    <row r="129" spans="1:5" ht="14.5" customHeight="1" x14ac:dyDescent="0.35">
      <c r="A129" s="48" t="s">
        <v>2553</v>
      </c>
      <c r="B129" s="48" t="s">
        <v>2561</v>
      </c>
      <c r="C129" s="55">
        <v>90303169</v>
      </c>
      <c r="D129" s="48" t="s">
        <v>74</v>
      </c>
      <c r="E129" s="47">
        <v>3001496</v>
      </c>
    </row>
    <row r="130" spans="1:5" ht="14.5" customHeight="1" x14ac:dyDescent="0.35">
      <c r="A130" s="48" t="s">
        <v>2554</v>
      </c>
      <c r="B130" s="48" t="s">
        <v>2562</v>
      </c>
      <c r="C130" s="55">
        <v>90302399</v>
      </c>
      <c r="D130" s="48" t="s">
        <v>73</v>
      </c>
      <c r="E130" s="47">
        <v>3001496</v>
      </c>
    </row>
    <row r="131" spans="1:5" ht="14.5" customHeight="1" x14ac:dyDescent="0.35">
      <c r="A131" s="48" t="s">
        <v>2554</v>
      </c>
      <c r="B131" s="48" t="s">
        <v>2558</v>
      </c>
      <c r="C131" s="55">
        <v>90302399</v>
      </c>
      <c r="D131" s="48" t="s">
        <v>2493</v>
      </c>
      <c r="E131" s="47">
        <v>3001496</v>
      </c>
    </row>
    <row r="132" spans="1:5" ht="14.5" customHeight="1" x14ac:dyDescent="0.35">
      <c r="A132" s="48" t="s">
        <v>2554</v>
      </c>
      <c r="B132" s="48" t="s">
        <v>2563</v>
      </c>
      <c r="C132" s="55">
        <v>90302399</v>
      </c>
      <c r="D132" s="48" t="s">
        <v>2493</v>
      </c>
      <c r="E132" s="47">
        <v>3001496</v>
      </c>
    </row>
    <row r="133" spans="1:5" ht="14.5" customHeight="1" x14ac:dyDescent="0.35">
      <c r="A133" s="48" t="s">
        <v>2554</v>
      </c>
      <c r="B133" s="48" t="s">
        <v>2564</v>
      </c>
      <c r="C133" s="55">
        <v>90302399</v>
      </c>
      <c r="D133" s="48" t="s">
        <v>2493</v>
      </c>
      <c r="E133" s="47">
        <v>3001496</v>
      </c>
    </row>
    <row r="134" spans="1:5" ht="14.5" customHeight="1" x14ac:dyDescent="0.35">
      <c r="A134" s="48" t="s">
        <v>2554</v>
      </c>
      <c r="B134" s="48" t="s">
        <v>2565</v>
      </c>
      <c r="C134" s="55">
        <v>90302399</v>
      </c>
      <c r="D134" s="48" t="s">
        <v>2493</v>
      </c>
      <c r="E134" s="47">
        <v>3001496</v>
      </c>
    </row>
    <row r="135" spans="1:5" ht="14.5" customHeight="1" x14ac:dyDescent="0.35">
      <c r="A135" s="48" t="s">
        <v>2554</v>
      </c>
      <c r="B135" s="48" t="s">
        <v>2566</v>
      </c>
      <c r="C135" s="55">
        <v>90302400</v>
      </c>
      <c r="D135" s="48" t="s">
        <v>73</v>
      </c>
      <c r="E135" s="47">
        <v>3001496</v>
      </c>
    </row>
    <row r="136" spans="1:5" ht="14.5" customHeight="1" x14ac:dyDescent="0.35">
      <c r="A136" s="48" t="s">
        <v>2554</v>
      </c>
      <c r="B136" s="48" t="s">
        <v>2567</v>
      </c>
      <c r="C136" s="55">
        <v>90302400</v>
      </c>
      <c r="D136" s="48" t="s">
        <v>2493</v>
      </c>
      <c r="E136" s="47">
        <v>3001496</v>
      </c>
    </row>
    <row r="137" spans="1:5" ht="14.5" customHeight="1" x14ac:dyDescent="0.35">
      <c r="A137" s="48" t="s">
        <v>2554</v>
      </c>
      <c r="B137" s="48" t="s">
        <v>2568</v>
      </c>
      <c r="C137" s="55">
        <v>90302400</v>
      </c>
      <c r="D137" s="48" t="s">
        <v>2493</v>
      </c>
      <c r="E137" s="47">
        <v>3001496</v>
      </c>
    </row>
    <row r="138" spans="1:5" ht="14.5" customHeight="1" x14ac:dyDescent="0.35">
      <c r="A138" s="48" t="s">
        <v>2554</v>
      </c>
      <c r="B138" s="48" t="s">
        <v>2559</v>
      </c>
      <c r="C138" s="55">
        <v>90302400</v>
      </c>
      <c r="D138" s="48" t="s">
        <v>2493</v>
      </c>
      <c r="E138" s="47">
        <v>3001496</v>
      </c>
    </row>
    <row r="139" spans="1:5" ht="14.5" customHeight="1" x14ac:dyDescent="0.35">
      <c r="A139" s="48" t="s">
        <v>2569</v>
      </c>
      <c r="B139" s="48" t="s">
        <v>2572</v>
      </c>
      <c r="C139" s="55">
        <v>90303171</v>
      </c>
      <c r="D139" s="48" t="s">
        <v>73</v>
      </c>
      <c r="E139" s="47">
        <v>3001496</v>
      </c>
    </row>
    <row r="140" spans="1:5" ht="14.5" customHeight="1" x14ac:dyDescent="0.35">
      <c r="A140" s="48" t="s">
        <v>2569</v>
      </c>
      <c r="B140" s="48" t="s">
        <v>2573</v>
      </c>
      <c r="C140" s="55">
        <v>90303171</v>
      </c>
      <c r="D140" s="48" t="s">
        <v>2570</v>
      </c>
      <c r="E140" s="47">
        <v>3001496</v>
      </c>
    </row>
    <row r="141" spans="1:5" ht="14.5" customHeight="1" x14ac:dyDescent="0.35">
      <c r="A141" s="48" t="s">
        <v>2569</v>
      </c>
      <c r="B141" s="48" t="s">
        <v>2574</v>
      </c>
      <c r="C141" s="55">
        <v>90303171</v>
      </c>
      <c r="D141" s="48" t="s">
        <v>2570</v>
      </c>
      <c r="E141" s="47">
        <v>3001496</v>
      </c>
    </row>
    <row r="142" spans="1:5" ht="14.5" customHeight="1" x14ac:dyDescent="0.35">
      <c r="A142" s="48" t="s">
        <v>2569</v>
      </c>
      <c r="B142" s="48" t="s">
        <v>2575</v>
      </c>
      <c r="C142" s="55">
        <v>90303171</v>
      </c>
      <c r="D142" s="48" t="s">
        <v>2570</v>
      </c>
      <c r="E142" s="47">
        <v>3001496</v>
      </c>
    </row>
    <row r="143" spans="1:5" ht="14.5" customHeight="1" x14ac:dyDescent="0.35">
      <c r="A143" s="48" t="s">
        <v>1687</v>
      </c>
      <c r="B143" s="48" t="s">
        <v>2576</v>
      </c>
      <c r="C143" s="55">
        <v>90303173</v>
      </c>
      <c r="D143" s="48" t="s">
        <v>73</v>
      </c>
      <c r="E143" s="47">
        <v>3001496</v>
      </c>
    </row>
    <row r="144" spans="1:5" ht="14.5" customHeight="1" x14ac:dyDescent="0.35">
      <c r="A144" s="48" t="s">
        <v>1687</v>
      </c>
      <c r="B144" s="48" t="s">
        <v>2577</v>
      </c>
      <c r="C144" s="55">
        <v>90303173</v>
      </c>
      <c r="D144" s="48" t="s">
        <v>113</v>
      </c>
      <c r="E144" s="47">
        <v>3001496</v>
      </c>
    </row>
    <row r="145" spans="1:5" ht="14.5" customHeight="1" x14ac:dyDescent="0.35">
      <c r="A145" s="48" t="s">
        <v>1687</v>
      </c>
      <c r="B145" s="48" t="s">
        <v>2578</v>
      </c>
      <c r="C145" s="55">
        <v>90303173</v>
      </c>
      <c r="D145" s="48" t="s">
        <v>111</v>
      </c>
      <c r="E145" s="47">
        <v>3001496</v>
      </c>
    </row>
    <row r="146" spans="1:5" ht="14.5" customHeight="1" x14ac:dyDescent="0.35">
      <c r="A146" s="48" t="s">
        <v>1687</v>
      </c>
      <c r="B146" s="48" t="s">
        <v>2579</v>
      </c>
      <c r="C146" s="55">
        <v>90303173</v>
      </c>
      <c r="D146" s="48" t="s">
        <v>111</v>
      </c>
      <c r="E146" s="47">
        <v>3001496</v>
      </c>
    </row>
    <row r="147" spans="1:5" ht="14.5" customHeight="1" x14ac:dyDescent="0.35">
      <c r="A147" s="48" t="s">
        <v>1687</v>
      </c>
      <c r="B147" s="48" t="s">
        <v>2580</v>
      </c>
      <c r="C147" s="55">
        <v>90303173</v>
      </c>
      <c r="D147" s="48" t="s">
        <v>112</v>
      </c>
      <c r="E147" s="47">
        <v>3001496</v>
      </c>
    </row>
    <row r="148" spans="1:5" ht="14.5" customHeight="1" x14ac:dyDescent="0.35">
      <c r="A148" s="48" t="s">
        <v>1687</v>
      </c>
      <c r="B148" s="48" t="s">
        <v>2581</v>
      </c>
      <c r="C148" s="55">
        <v>90303173</v>
      </c>
      <c r="D148" s="48" t="s">
        <v>112</v>
      </c>
      <c r="E148" s="47">
        <v>3001496</v>
      </c>
    </row>
    <row r="149" spans="1:5" ht="14.5" customHeight="1" x14ac:dyDescent="0.35">
      <c r="A149" s="48" t="s">
        <v>1687</v>
      </c>
      <c r="B149" s="48" t="s">
        <v>2582</v>
      </c>
      <c r="C149" s="55">
        <v>90303173</v>
      </c>
      <c r="D149" s="48" t="s">
        <v>112</v>
      </c>
      <c r="E149" s="47">
        <v>3001496</v>
      </c>
    </row>
    <row r="150" spans="1:5" ht="14.5" customHeight="1" x14ac:dyDescent="0.35">
      <c r="A150" s="48" t="s">
        <v>1687</v>
      </c>
      <c r="B150" s="48" t="s">
        <v>2583</v>
      </c>
      <c r="C150" s="55">
        <v>90303173</v>
      </c>
      <c r="D150" s="48" t="s">
        <v>112</v>
      </c>
      <c r="E150" s="47">
        <v>3001496</v>
      </c>
    </row>
    <row r="151" spans="1:5" ht="14.5" customHeight="1" x14ac:dyDescent="0.35">
      <c r="A151" s="48" t="s">
        <v>1687</v>
      </c>
      <c r="B151" s="48" t="s">
        <v>2584</v>
      </c>
      <c r="C151" s="55">
        <v>90303173</v>
      </c>
      <c r="D151" s="48" t="s">
        <v>112</v>
      </c>
      <c r="E151" s="47">
        <v>3001496</v>
      </c>
    </row>
    <row r="152" spans="1:5" ht="14.5" customHeight="1" x14ac:dyDescent="0.35">
      <c r="A152" s="48" t="s">
        <v>1687</v>
      </c>
      <c r="B152" s="48" t="s">
        <v>2585</v>
      </c>
      <c r="C152" s="55">
        <v>90303173</v>
      </c>
      <c r="D152" s="48" t="s">
        <v>111</v>
      </c>
      <c r="E152" s="47">
        <v>3001496</v>
      </c>
    </row>
    <row r="153" spans="1:5" ht="14.5" customHeight="1" x14ac:dyDescent="0.35">
      <c r="A153" s="48" t="s">
        <v>1687</v>
      </c>
      <c r="B153" s="48" t="s">
        <v>2586</v>
      </c>
      <c r="C153" s="55">
        <v>90303173</v>
      </c>
      <c r="D153" s="48" t="s">
        <v>112</v>
      </c>
      <c r="E153" s="47">
        <v>3001496</v>
      </c>
    </row>
    <row r="154" spans="1:5" ht="14.5" customHeight="1" x14ac:dyDescent="0.35">
      <c r="A154" s="48" t="s">
        <v>1687</v>
      </c>
      <c r="B154" s="48" t="s">
        <v>2587</v>
      </c>
      <c r="C154" s="55">
        <v>90302311</v>
      </c>
      <c r="D154" s="48" t="s">
        <v>73</v>
      </c>
      <c r="E154" s="47">
        <v>3001496</v>
      </c>
    </row>
    <row r="155" spans="1:5" ht="14.5" customHeight="1" x14ac:dyDescent="0.35">
      <c r="A155" s="48" t="s">
        <v>1687</v>
      </c>
      <c r="B155" s="48" t="s">
        <v>2588</v>
      </c>
      <c r="C155" s="55">
        <v>90302311</v>
      </c>
      <c r="D155" s="48" t="s">
        <v>113</v>
      </c>
      <c r="E155" s="47">
        <v>3001496</v>
      </c>
    </row>
    <row r="156" spans="1:5" ht="14.5" customHeight="1" x14ac:dyDescent="0.35">
      <c r="A156" s="48" t="s">
        <v>1687</v>
      </c>
      <c r="B156" s="48" t="s">
        <v>2589</v>
      </c>
      <c r="C156" s="55">
        <v>90302311</v>
      </c>
      <c r="D156" s="48" t="s">
        <v>111</v>
      </c>
      <c r="E156" s="47">
        <v>3001496</v>
      </c>
    </row>
    <row r="157" spans="1:5" ht="14.5" customHeight="1" x14ac:dyDescent="0.35">
      <c r="A157" s="48" t="s">
        <v>1687</v>
      </c>
      <c r="B157" s="48" t="s">
        <v>2590</v>
      </c>
      <c r="C157" s="55">
        <v>90302311</v>
      </c>
      <c r="D157" s="48" t="s">
        <v>111</v>
      </c>
      <c r="E157" s="47">
        <v>3001496</v>
      </c>
    </row>
    <row r="158" spans="1:5" ht="14.5" customHeight="1" x14ac:dyDescent="0.35">
      <c r="A158" s="48" t="s">
        <v>1687</v>
      </c>
      <c r="B158" s="48" t="s">
        <v>2591</v>
      </c>
      <c r="C158" s="55">
        <v>90302311</v>
      </c>
      <c r="D158" s="48" t="s">
        <v>112</v>
      </c>
      <c r="E158" s="47">
        <v>3001496</v>
      </c>
    </row>
    <row r="159" spans="1:5" ht="14.5" customHeight="1" x14ac:dyDescent="0.35">
      <c r="A159" s="48" t="s">
        <v>1687</v>
      </c>
      <c r="B159" s="48" t="s">
        <v>2592</v>
      </c>
      <c r="C159" s="55">
        <v>90302311</v>
      </c>
      <c r="D159" s="48" t="s">
        <v>112</v>
      </c>
      <c r="E159" s="47">
        <v>3001496</v>
      </c>
    </row>
    <row r="160" spans="1:5" ht="14.5" customHeight="1" x14ac:dyDescent="0.35">
      <c r="A160" s="48" t="s">
        <v>1687</v>
      </c>
      <c r="B160" s="48" t="s">
        <v>2593</v>
      </c>
      <c r="C160" s="55">
        <v>90302311</v>
      </c>
      <c r="D160" s="48" t="s">
        <v>112</v>
      </c>
      <c r="E160" s="47">
        <v>3001496</v>
      </c>
    </row>
    <row r="161" spans="1:5" ht="14.5" customHeight="1" x14ac:dyDescent="0.35">
      <c r="A161" s="48" t="s">
        <v>1687</v>
      </c>
      <c r="B161" s="48" t="s">
        <v>2594</v>
      </c>
      <c r="C161" s="55">
        <v>90302311</v>
      </c>
      <c r="D161" s="48" t="s">
        <v>112</v>
      </c>
      <c r="E161" s="47">
        <v>3001496</v>
      </c>
    </row>
    <row r="162" spans="1:5" ht="14.5" customHeight="1" x14ac:dyDescent="0.35">
      <c r="A162" s="48" t="s">
        <v>1687</v>
      </c>
      <c r="B162" s="48" t="s">
        <v>2595</v>
      </c>
      <c r="C162" s="55">
        <v>90302311</v>
      </c>
      <c r="D162" s="48" t="s">
        <v>112</v>
      </c>
      <c r="E162" s="47">
        <v>3001496</v>
      </c>
    </row>
    <row r="163" spans="1:5" ht="14.5" customHeight="1" x14ac:dyDescent="0.35">
      <c r="A163" s="48" t="s">
        <v>1687</v>
      </c>
      <c r="B163" s="48" t="s">
        <v>2596</v>
      </c>
      <c r="C163" s="55">
        <v>90302311</v>
      </c>
      <c r="D163" s="48" t="s">
        <v>112</v>
      </c>
      <c r="E163" s="47">
        <v>3001496</v>
      </c>
    </row>
    <row r="164" spans="1:5" ht="14.5" customHeight="1" x14ac:dyDescent="0.35">
      <c r="A164" s="48" t="s">
        <v>1687</v>
      </c>
      <c r="B164" s="48" t="s">
        <v>2597</v>
      </c>
      <c r="C164" s="55">
        <v>90302311</v>
      </c>
      <c r="D164" s="48" t="s">
        <v>112</v>
      </c>
      <c r="E164" s="47">
        <v>3001496</v>
      </c>
    </row>
    <row r="165" spans="1:5" ht="14.5" customHeight="1" x14ac:dyDescent="0.35">
      <c r="A165" s="48" t="s">
        <v>54</v>
      </c>
      <c r="B165" s="48" t="s">
        <v>2598</v>
      </c>
      <c r="C165" s="55">
        <v>90302312</v>
      </c>
      <c r="D165" s="48" t="s">
        <v>73</v>
      </c>
      <c r="E165" s="47">
        <v>3001496</v>
      </c>
    </row>
    <row r="166" spans="1:5" ht="14.5" customHeight="1" x14ac:dyDescent="0.35">
      <c r="A166" s="48" t="s">
        <v>54</v>
      </c>
      <c r="B166" s="48" t="s">
        <v>2898</v>
      </c>
      <c r="C166" s="55">
        <v>90302312</v>
      </c>
      <c r="D166" s="48" t="s">
        <v>112</v>
      </c>
      <c r="E166" s="47">
        <v>3001496</v>
      </c>
    </row>
    <row r="167" spans="1:5" ht="14.5" customHeight="1" x14ac:dyDescent="0.35">
      <c r="A167" s="48" t="s">
        <v>54</v>
      </c>
      <c r="B167" s="48" t="s">
        <v>126</v>
      </c>
      <c r="C167" s="55">
        <v>90302312</v>
      </c>
      <c r="D167" s="48" t="s">
        <v>112</v>
      </c>
      <c r="E167" s="47">
        <v>3001496</v>
      </c>
    </row>
    <row r="168" spans="1:5" ht="14.5" customHeight="1" x14ac:dyDescent="0.35">
      <c r="A168" s="48" t="s">
        <v>54</v>
      </c>
      <c r="B168" s="48" t="s">
        <v>124</v>
      </c>
      <c r="C168" s="55">
        <v>90302312</v>
      </c>
      <c r="D168" s="48" t="s">
        <v>2900</v>
      </c>
      <c r="E168" s="47">
        <v>3001496</v>
      </c>
    </row>
    <row r="169" spans="1:5" ht="14.5" customHeight="1" x14ac:dyDescent="0.35">
      <c r="A169" s="48" t="s">
        <v>54</v>
      </c>
      <c r="B169" s="48" t="s">
        <v>2897</v>
      </c>
      <c r="C169" s="55">
        <v>90302312</v>
      </c>
      <c r="D169" s="48" t="s">
        <v>112</v>
      </c>
      <c r="E169" s="47">
        <v>3001496</v>
      </c>
    </row>
    <row r="170" spans="1:5" ht="14.5" customHeight="1" x14ac:dyDescent="0.35">
      <c r="A170" s="48" t="s">
        <v>54</v>
      </c>
      <c r="B170" s="48" t="s">
        <v>2599</v>
      </c>
      <c r="C170" s="55">
        <v>90302312</v>
      </c>
      <c r="D170" s="48" t="s">
        <v>112</v>
      </c>
      <c r="E170" s="47">
        <v>3001496</v>
      </c>
    </row>
    <row r="171" spans="1:5" ht="14.5" customHeight="1" x14ac:dyDescent="0.35">
      <c r="A171" s="48" t="s">
        <v>54</v>
      </c>
      <c r="B171" s="48" t="s">
        <v>2600</v>
      </c>
      <c r="C171" s="55">
        <v>90302312</v>
      </c>
      <c r="D171" s="48" t="s">
        <v>2571</v>
      </c>
      <c r="E171" s="47">
        <v>3001496</v>
      </c>
    </row>
    <row r="172" spans="1:5" ht="14.5" customHeight="1" x14ac:dyDescent="0.35">
      <c r="A172" s="48" t="s">
        <v>54</v>
      </c>
      <c r="B172" s="48" t="s">
        <v>125</v>
      </c>
      <c r="C172" s="55">
        <v>90302312</v>
      </c>
      <c r="D172" s="48" t="s">
        <v>111</v>
      </c>
      <c r="E172" s="47">
        <v>3001496</v>
      </c>
    </row>
    <row r="173" spans="1:5" ht="14.5" customHeight="1" x14ac:dyDescent="0.35">
      <c r="A173" s="48" t="s">
        <v>54</v>
      </c>
      <c r="B173" s="48" t="s">
        <v>2601</v>
      </c>
      <c r="C173" s="55">
        <v>90302312</v>
      </c>
      <c r="D173" s="48" t="s">
        <v>2899</v>
      </c>
      <c r="E173" s="47">
        <v>3001496</v>
      </c>
    </row>
    <row r="174" spans="1:5" ht="14.5" customHeight="1" x14ac:dyDescent="0.35">
      <c r="A174" s="48" t="s">
        <v>54</v>
      </c>
      <c r="B174" s="48" t="s">
        <v>2902</v>
      </c>
      <c r="C174" s="55">
        <v>90302312</v>
      </c>
      <c r="D174" s="48" t="s">
        <v>2900</v>
      </c>
      <c r="E174" s="47">
        <v>3001496</v>
      </c>
    </row>
    <row r="175" spans="1:5" ht="14.5" customHeight="1" x14ac:dyDescent="0.35">
      <c r="A175" s="48" t="s">
        <v>54</v>
      </c>
      <c r="B175" s="48" t="s">
        <v>2602</v>
      </c>
      <c r="C175" s="55">
        <v>90302313</v>
      </c>
      <c r="D175" s="48" t="s">
        <v>73</v>
      </c>
      <c r="E175" s="47">
        <v>3001496</v>
      </c>
    </row>
    <row r="176" spans="1:5" ht="14.5" customHeight="1" x14ac:dyDescent="0.35">
      <c r="A176" s="48" t="s">
        <v>54</v>
      </c>
      <c r="B176" s="48" t="s">
        <v>2603</v>
      </c>
      <c r="C176" s="55">
        <v>90302313</v>
      </c>
      <c r="D176" s="48" t="s">
        <v>112</v>
      </c>
      <c r="E176" s="47">
        <v>3001496</v>
      </c>
    </row>
    <row r="177" spans="1:5" ht="14.5" customHeight="1" x14ac:dyDescent="0.35">
      <c r="A177" s="48" t="s">
        <v>54</v>
      </c>
      <c r="B177" s="48" t="s">
        <v>2604</v>
      </c>
      <c r="C177" s="55">
        <v>90302313</v>
      </c>
      <c r="D177" s="48" t="s">
        <v>112</v>
      </c>
      <c r="E177" s="47">
        <v>3001496</v>
      </c>
    </row>
    <row r="178" spans="1:5" ht="14.5" customHeight="1" x14ac:dyDescent="0.35">
      <c r="A178" s="48" t="s">
        <v>54</v>
      </c>
      <c r="B178" s="48" t="s">
        <v>2605</v>
      </c>
      <c r="C178" s="55">
        <v>90302313</v>
      </c>
      <c r="D178" s="48" t="s">
        <v>112</v>
      </c>
      <c r="E178" s="47">
        <v>3001496</v>
      </c>
    </row>
    <row r="179" spans="1:5" ht="14.5" customHeight="1" x14ac:dyDescent="0.35">
      <c r="A179" s="48" t="s">
        <v>54</v>
      </c>
      <c r="B179" s="48" t="s">
        <v>2606</v>
      </c>
      <c r="C179" s="55">
        <v>90302313</v>
      </c>
      <c r="D179" s="48" t="s">
        <v>2900</v>
      </c>
      <c r="E179" s="47">
        <v>3001496</v>
      </c>
    </row>
    <row r="180" spans="1:5" ht="14.5" customHeight="1" x14ac:dyDescent="0.35">
      <c r="A180" s="48" t="s">
        <v>54</v>
      </c>
      <c r="B180" s="48" t="s">
        <v>2607</v>
      </c>
      <c r="C180" s="55">
        <v>90302313</v>
      </c>
      <c r="D180" s="48" t="s">
        <v>2571</v>
      </c>
      <c r="E180" s="47">
        <v>3001496</v>
      </c>
    </row>
    <row r="181" spans="1:5" ht="14.5" customHeight="1" x14ac:dyDescent="0.35">
      <c r="A181" s="48" t="s">
        <v>54</v>
      </c>
      <c r="B181" s="48" t="s">
        <v>2608</v>
      </c>
      <c r="C181" s="55">
        <v>90302313</v>
      </c>
      <c r="D181" s="48" t="s">
        <v>2900</v>
      </c>
      <c r="E181" s="47">
        <v>3001496</v>
      </c>
    </row>
    <row r="182" spans="1:5" ht="14.5" customHeight="1" x14ac:dyDescent="0.35">
      <c r="A182" s="48" t="s">
        <v>54</v>
      </c>
      <c r="B182" s="48" t="s">
        <v>2609</v>
      </c>
      <c r="C182" s="55">
        <v>90302313</v>
      </c>
      <c r="D182" s="48" t="s">
        <v>111</v>
      </c>
      <c r="E182" s="47">
        <v>3001496</v>
      </c>
    </row>
    <row r="183" spans="1:5" ht="14.5" customHeight="1" x14ac:dyDescent="0.35">
      <c r="A183" s="48" t="s">
        <v>54</v>
      </c>
      <c r="B183" s="48" t="s">
        <v>2610</v>
      </c>
      <c r="C183" s="55">
        <v>90302313</v>
      </c>
      <c r="D183" s="48" t="s">
        <v>2901</v>
      </c>
      <c r="E183" s="47">
        <v>3001496</v>
      </c>
    </row>
    <row r="184" spans="1:5" ht="14.5" customHeight="1" x14ac:dyDescent="0.35">
      <c r="A184" s="48" t="s">
        <v>2611</v>
      </c>
      <c r="B184" s="48" t="s">
        <v>2612</v>
      </c>
      <c r="C184" s="55">
        <v>90303175</v>
      </c>
      <c r="D184" s="48" t="s">
        <v>2494</v>
      </c>
      <c r="E184" s="47">
        <v>3001496</v>
      </c>
    </row>
    <row r="185" spans="1:5" ht="14.5" customHeight="1" x14ac:dyDescent="0.35">
      <c r="A185" s="48" t="s">
        <v>2611</v>
      </c>
      <c r="B185" s="48" t="s">
        <v>2613</v>
      </c>
      <c r="C185" s="55">
        <v>90303175</v>
      </c>
      <c r="D185" s="48" t="s">
        <v>2494</v>
      </c>
      <c r="E185" s="47">
        <v>3001496</v>
      </c>
    </row>
    <row r="186" spans="1:5" ht="14.5" customHeight="1" x14ac:dyDescent="0.35">
      <c r="A186" s="48" t="s">
        <v>2611</v>
      </c>
      <c r="B186" s="48" t="s">
        <v>2614</v>
      </c>
      <c r="C186" s="55">
        <v>90303175</v>
      </c>
      <c r="D186" s="48" t="s">
        <v>2494</v>
      </c>
      <c r="E186" s="47">
        <v>3001496</v>
      </c>
    </row>
    <row r="187" spans="1:5" ht="15" customHeight="1" x14ac:dyDescent="0.35">
      <c r="A187" s="48" t="s">
        <v>2611</v>
      </c>
      <c r="B187" s="48" t="s">
        <v>2615</v>
      </c>
      <c r="C187" s="55">
        <v>90303175</v>
      </c>
      <c r="D187" s="48" t="s">
        <v>2494</v>
      </c>
      <c r="E187" s="47">
        <v>3001496</v>
      </c>
    </row>
    <row r="188" spans="1:5" ht="14.5" customHeight="1" x14ac:dyDescent="0.35">
      <c r="A188" s="48" t="s">
        <v>56</v>
      </c>
      <c r="B188" s="48" t="s">
        <v>2622</v>
      </c>
      <c r="C188" s="55">
        <v>90302314</v>
      </c>
      <c r="D188" s="48" t="s">
        <v>2616</v>
      </c>
      <c r="E188" s="47">
        <v>3001496</v>
      </c>
    </row>
    <row r="189" spans="1:5" ht="14.5" customHeight="1" x14ac:dyDescent="0.35">
      <c r="A189" s="48" t="s">
        <v>56</v>
      </c>
      <c r="B189" s="48" t="s">
        <v>2623</v>
      </c>
      <c r="C189" s="55">
        <v>90302314</v>
      </c>
      <c r="D189" s="48" t="s">
        <v>2617</v>
      </c>
      <c r="E189" s="47">
        <v>3001496</v>
      </c>
    </row>
    <row r="190" spans="1:5" ht="14.5" customHeight="1" x14ac:dyDescent="0.35">
      <c r="A190" s="48" t="s">
        <v>56</v>
      </c>
      <c r="B190" s="48" t="s">
        <v>2624</v>
      </c>
      <c r="C190" s="55">
        <v>90302314</v>
      </c>
      <c r="D190" s="48" t="s">
        <v>2616</v>
      </c>
      <c r="E190" s="47">
        <v>3001496</v>
      </c>
    </row>
    <row r="191" spans="1:5" ht="14.5" customHeight="1" x14ac:dyDescent="0.35">
      <c r="A191" s="48" t="s">
        <v>56</v>
      </c>
      <c r="B191" s="48" t="s">
        <v>2625</v>
      </c>
      <c r="C191" s="55">
        <v>90302314</v>
      </c>
      <c r="D191" s="48" t="s">
        <v>2617</v>
      </c>
      <c r="E191" s="47">
        <v>3001496</v>
      </c>
    </row>
    <row r="192" spans="1:5" ht="14.5" customHeight="1" x14ac:dyDescent="0.35">
      <c r="A192" s="48" t="s">
        <v>56</v>
      </c>
      <c r="B192" s="48" t="s">
        <v>2626</v>
      </c>
      <c r="C192" s="55">
        <v>90302314</v>
      </c>
      <c r="D192" s="48" t="s">
        <v>2444</v>
      </c>
      <c r="E192" s="47">
        <v>3001496</v>
      </c>
    </row>
    <row r="193" spans="1:5" ht="14.5" customHeight="1" x14ac:dyDescent="0.35">
      <c r="A193" s="48" t="s">
        <v>56</v>
      </c>
      <c r="B193" s="48" t="s">
        <v>2627</v>
      </c>
      <c r="C193" s="55">
        <v>90302314</v>
      </c>
      <c r="D193" s="48" t="s">
        <v>2618</v>
      </c>
      <c r="E193" s="47">
        <v>3001496</v>
      </c>
    </row>
    <row r="194" spans="1:5" ht="14.5" customHeight="1" x14ac:dyDescent="0.35">
      <c r="A194" s="48" t="s">
        <v>56</v>
      </c>
      <c r="B194" s="48" t="s">
        <v>2628</v>
      </c>
      <c r="C194" s="55">
        <v>90302314</v>
      </c>
      <c r="D194" s="48" t="s">
        <v>2618</v>
      </c>
      <c r="E194" s="47">
        <v>3001496</v>
      </c>
    </row>
    <row r="195" spans="1:5" ht="14.5" customHeight="1" x14ac:dyDescent="0.35">
      <c r="A195" s="48" t="s">
        <v>56</v>
      </c>
      <c r="B195" s="48" t="s">
        <v>2629</v>
      </c>
      <c r="C195" s="55">
        <v>90302314</v>
      </c>
      <c r="D195" s="48" t="s">
        <v>116</v>
      </c>
      <c r="E195" s="47">
        <v>3001496</v>
      </c>
    </row>
    <row r="196" spans="1:5" ht="14.5" customHeight="1" x14ac:dyDescent="0.35">
      <c r="A196" s="48" t="s">
        <v>56</v>
      </c>
      <c r="B196" s="48" t="s">
        <v>2630</v>
      </c>
      <c r="C196" s="55">
        <v>90302314</v>
      </c>
      <c r="D196" s="48" t="s">
        <v>116</v>
      </c>
      <c r="E196" s="47">
        <v>3001496</v>
      </c>
    </row>
    <row r="197" spans="1:5" ht="14.5" customHeight="1" x14ac:dyDescent="0.35">
      <c r="A197" s="48" t="s">
        <v>56</v>
      </c>
      <c r="B197" s="48" t="s">
        <v>2631</v>
      </c>
      <c r="C197" s="55">
        <v>90302314</v>
      </c>
      <c r="D197" s="48" t="s">
        <v>116</v>
      </c>
      <c r="E197" s="47">
        <v>3001496</v>
      </c>
    </row>
    <row r="198" spans="1:5" ht="14.5" customHeight="1" x14ac:dyDescent="0.35">
      <c r="A198" s="48" t="s">
        <v>56</v>
      </c>
      <c r="B198" s="48" t="s">
        <v>2632</v>
      </c>
      <c r="C198" s="55">
        <v>90302314</v>
      </c>
      <c r="D198" s="48" t="s">
        <v>116</v>
      </c>
      <c r="E198" s="47">
        <v>3001496</v>
      </c>
    </row>
    <row r="199" spans="1:5" ht="14.5" customHeight="1" x14ac:dyDescent="0.35">
      <c r="A199" s="48" t="s">
        <v>56</v>
      </c>
      <c r="B199" s="48" t="s">
        <v>2633</v>
      </c>
      <c r="C199" s="55">
        <v>90302314</v>
      </c>
      <c r="D199" s="48" t="s">
        <v>116</v>
      </c>
      <c r="E199" s="47">
        <v>3001496</v>
      </c>
    </row>
    <row r="200" spans="1:5" ht="14.5" customHeight="1" x14ac:dyDescent="0.35">
      <c r="A200" s="48" t="s">
        <v>56</v>
      </c>
      <c r="B200" s="48" t="s">
        <v>2634</v>
      </c>
      <c r="C200" s="55">
        <v>90302314</v>
      </c>
      <c r="D200" s="48" t="s">
        <v>116</v>
      </c>
      <c r="E200" s="47">
        <v>3001496</v>
      </c>
    </row>
    <row r="201" spans="1:5" ht="14.5" customHeight="1" x14ac:dyDescent="0.35">
      <c r="A201" s="48" t="s">
        <v>56</v>
      </c>
      <c r="B201" s="48" t="s">
        <v>2635</v>
      </c>
      <c r="C201" s="55">
        <v>90302314</v>
      </c>
      <c r="D201" s="48" t="s">
        <v>116</v>
      </c>
      <c r="E201" s="47">
        <v>3001496</v>
      </c>
    </row>
    <row r="202" spans="1:5" ht="14.5" customHeight="1" x14ac:dyDescent="0.35">
      <c r="A202" s="48" t="s">
        <v>56</v>
      </c>
      <c r="B202" s="48" t="s">
        <v>2636</v>
      </c>
      <c r="C202" s="55">
        <v>90302314</v>
      </c>
      <c r="D202" s="48" t="s">
        <v>116</v>
      </c>
      <c r="E202" s="47">
        <v>3001496</v>
      </c>
    </row>
    <row r="203" spans="1:5" ht="14.5" customHeight="1" x14ac:dyDescent="0.35">
      <c r="A203" s="48" t="s">
        <v>56</v>
      </c>
      <c r="B203" s="48" t="s">
        <v>2637</v>
      </c>
      <c r="C203" s="55">
        <v>90302314</v>
      </c>
      <c r="D203" s="48" t="s">
        <v>116</v>
      </c>
      <c r="E203" s="47">
        <v>3001496</v>
      </c>
    </row>
    <row r="204" spans="1:5" ht="14.5" customHeight="1" x14ac:dyDescent="0.35">
      <c r="A204" s="48" t="s">
        <v>56</v>
      </c>
      <c r="B204" s="48" t="s">
        <v>2638</v>
      </c>
      <c r="C204" s="55">
        <v>90302314</v>
      </c>
      <c r="D204" s="48" t="s">
        <v>116</v>
      </c>
      <c r="E204" s="47">
        <v>3001496</v>
      </c>
    </row>
    <row r="205" spans="1:5" ht="14.5" customHeight="1" x14ac:dyDescent="0.35">
      <c r="A205" s="48" t="s">
        <v>56</v>
      </c>
      <c r="B205" s="48" t="s">
        <v>2639</v>
      </c>
      <c r="C205" s="55">
        <v>90302314</v>
      </c>
      <c r="D205" s="48" t="s">
        <v>116</v>
      </c>
      <c r="E205" s="47">
        <v>3001496</v>
      </c>
    </row>
    <row r="206" spans="1:5" ht="14.5" customHeight="1" x14ac:dyDescent="0.35">
      <c r="A206" s="48" t="s">
        <v>56</v>
      </c>
      <c r="B206" s="48" t="s">
        <v>2640</v>
      </c>
      <c r="C206" s="55">
        <v>90302314</v>
      </c>
      <c r="D206" s="48" t="s">
        <v>116</v>
      </c>
      <c r="E206" s="47">
        <v>3001496</v>
      </c>
    </row>
    <row r="207" spans="1:5" ht="14.5" customHeight="1" x14ac:dyDescent="0.35">
      <c r="A207" s="48" t="s">
        <v>56</v>
      </c>
      <c r="B207" s="48" t="s">
        <v>2641</v>
      </c>
      <c r="C207" s="55">
        <v>90302315</v>
      </c>
      <c r="D207" s="48" t="s">
        <v>2618</v>
      </c>
      <c r="E207" s="47">
        <v>3001496</v>
      </c>
    </row>
    <row r="208" spans="1:5" ht="14.5" customHeight="1" x14ac:dyDescent="0.35">
      <c r="A208" s="48" t="s">
        <v>56</v>
      </c>
      <c r="B208" s="48" t="s">
        <v>75</v>
      </c>
      <c r="C208" s="55">
        <v>90302315</v>
      </c>
      <c r="D208" s="48" t="s">
        <v>2618</v>
      </c>
      <c r="E208" s="47">
        <v>3001496</v>
      </c>
    </row>
    <row r="209" spans="1:5" ht="14.5" customHeight="1" x14ac:dyDescent="0.35">
      <c r="A209" s="48" t="s">
        <v>56</v>
      </c>
      <c r="B209" s="48" t="s">
        <v>2642</v>
      </c>
      <c r="C209" s="55">
        <v>90302315</v>
      </c>
      <c r="D209" s="48" t="s">
        <v>116</v>
      </c>
      <c r="E209" s="47">
        <v>3001496</v>
      </c>
    </row>
    <row r="210" spans="1:5" ht="14.5" customHeight="1" x14ac:dyDescent="0.35">
      <c r="A210" s="48" t="s">
        <v>56</v>
      </c>
      <c r="B210" s="48" t="s">
        <v>2643</v>
      </c>
      <c r="C210" s="55">
        <v>90302315</v>
      </c>
      <c r="D210" s="48" t="s">
        <v>116</v>
      </c>
      <c r="E210" s="47">
        <v>3001496</v>
      </c>
    </row>
    <row r="211" spans="1:5" ht="14.5" customHeight="1" x14ac:dyDescent="0.35">
      <c r="A211" s="48" t="s">
        <v>56</v>
      </c>
      <c r="B211" s="48" t="s">
        <v>2644</v>
      </c>
      <c r="C211" s="55">
        <v>90302315</v>
      </c>
      <c r="D211" s="48" t="s">
        <v>116</v>
      </c>
      <c r="E211" s="47">
        <v>3001496</v>
      </c>
    </row>
    <row r="212" spans="1:5" ht="14.5" customHeight="1" x14ac:dyDescent="0.35">
      <c r="A212" s="48" t="s">
        <v>56</v>
      </c>
      <c r="B212" s="48" t="s">
        <v>2645</v>
      </c>
      <c r="C212" s="55">
        <v>90302315</v>
      </c>
      <c r="D212" s="48" t="s">
        <v>116</v>
      </c>
      <c r="E212" s="47">
        <v>3001496</v>
      </c>
    </row>
    <row r="213" spans="1:5" ht="14.5" customHeight="1" x14ac:dyDescent="0.35">
      <c r="A213" s="48" t="s">
        <v>56</v>
      </c>
      <c r="B213" s="48" t="s">
        <v>2646</v>
      </c>
      <c r="C213" s="55">
        <v>90302315</v>
      </c>
      <c r="D213" s="48" t="s">
        <v>116</v>
      </c>
      <c r="E213" s="47">
        <v>3001496</v>
      </c>
    </row>
    <row r="214" spans="1:5" ht="14.5" customHeight="1" x14ac:dyDescent="0.35">
      <c r="A214" s="48" t="s">
        <v>56</v>
      </c>
      <c r="B214" s="48" t="s">
        <v>2647</v>
      </c>
      <c r="C214" s="55">
        <v>90302315</v>
      </c>
      <c r="D214" s="48" t="s">
        <v>116</v>
      </c>
      <c r="E214" s="47">
        <v>3001496</v>
      </c>
    </row>
    <row r="215" spans="1:5" ht="14.5" customHeight="1" x14ac:dyDescent="0.35">
      <c r="A215" s="48" t="s">
        <v>56</v>
      </c>
      <c r="B215" s="48" t="s">
        <v>2648</v>
      </c>
      <c r="C215" s="55">
        <v>90302315</v>
      </c>
      <c r="D215" s="48" t="s">
        <v>116</v>
      </c>
      <c r="E215" s="47">
        <v>3001496</v>
      </c>
    </row>
    <row r="216" spans="1:5" ht="14.5" customHeight="1" x14ac:dyDescent="0.35">
      <c r="A216" s="48" t="s">
        <v>56</v>
      </c>
      <c r="B216" s="48" t="s">
        <v>2649</v>
      </c>
      <c r="C216" s="55">
        <v>90302315</v>
      </c>
      <c r="D216" s="48" t="s">
        <v>116</v>
      </c>
      <c r="E216" s="47">
        <v>3001496</v>
      </c>
    </row>
    <row r="217" spans="1:5" ht="14.5" customHeight="1" x14ac:dyDescent="0.35">
      <c r="A217" s="48" t="s">
        <v>56</v>
      </c>
      <c r="B217" s="48" t="s">
        <v>2650</v>
      </c>
      <c r="C217" s="55">
        <v>90302315</v>
      </c>
      <c r="D217" s="48" t="s">
        <v>116</v>
      </c>
      <c r="E217" s="47">
        <v>3001496</v>
      </c>
    </row>
    <row r="218" spans="1:5" ht="14.5" customHeight="1" x14ac:dyDescent="0.35">
      <c r="A218" s="48" t="s">
        <v>56</v>
      </c>
      <c r="B218" s="48" t="s">
        <v>2651</v>
      </c>
      <c r="C218" s="55">
        <v>90302315</v>
      </c>
      <c r="D218" s="48" t="s">
        <v>116</v>
      </c>
      <c r="E218" s="47">
        <v>3001496</v>
      </c>
    </row>
    <row r="219" spans="1:5" ht="14.5" customHeight="1" x14ac:dyDescent="0.35">
      <c r="A219" s="48" t="s">
        <v>56</v>
      </c>
      <c r="B219" s="48" t="s">
        <v>2652</v>
      </c>
      <c r="C219" s="55">
        <v>90302315</v>
      </c>
      <c r="D219" s="48" t="s">
        <v>116</v>
      </c>
      <c r="E219" s="47">
        <v>3001496</v>
      </c>
    </row>
    <row r="220" spans="1:5" ht="14.5" customHeight="1" x14ac:dyDescent="0.35">
      <c r="A220" s="48" t="s">
        <v>56</v>
      </c>
      <c r="B220" s="48" t="s">
        <v>2653</v>
      </c>
      <c r="C220" s="55">
        <v>90302315</v>
      </c>
      <c r="D220" s="48" t="s">
        <v>116</v>
      </c>
      <c r="E220" s="47">
        <v>3001496</v>
      </c>
    </row>
    <row r="221" spans="1:5" ht="14.5" customHeight="1" x14ac:dyDescent="0.35">
      <c r="A221" s="48" t="s">
        <v>56</v>
      </c>
      <c r="B221" s="48" t="s">
        <v>2654</v>
      </c>
      <c r="C221" s="55">
        <v>90302314</v>
      </c>
      <c r="D221" s="48" t="s">
        <v>2619</v>
      </c>
      <c r="E221" s="47">
        <v>3001496</v>
      </c>
    </row>
    <row r="222" spans="1:5" ht="14.5" customHeight="1" x14ac:dyDescent="0.35">
      <c r="A222" s="48" t="s">
        <v>56</v>
      </c>
      <c r="B222" s="48" t="s">
        <v>2655</v>
      </c>
      <c r="C222" s="55">
        <v>90302314</v>
      </c>
      <c r="D222" s="48" t="s">
        <v>2619</v>
      </c>
      <c r="E222" s="47">
        <v>3001496</v>
      </c>
    </row>
    <row r="223" spans="1:5" ht="14.5" customHeight="1" x14ac:dyDescent="0.35">
      <c r="A223" s="48" t="s">
        <v>56</v>
      </c>
      <c r="B223" s="48" t="s">
        <v>2656</v>
      </c>
      <c r="C223" s="55">
        <v>90302315</v>
      </c>
      <c r="D223" s="48" t="s">
        <v>2619</v>
      </c>
      <c r="E223" s="47">
        <v>3001496</v>
      </c>
    </row>
    <row r="224" spans="1:5" ht="14.5" customHeight="1" x14ac:dyDescent="0.35">
      <c r="A224" s="48" t="s">
        <v>56</v>
      </c>
      <c r="B224" s="48" t="s">
        <v>2657</v>
      </c>
      <c r="C224" s="55">
        <v>90302315</v>
      </c>
      <c r="D224" s="48" t="s">
        <v>2619</v>
      </c>
      <c r="E224" s="47">
        <v>3001496</v>
      </c>
    </row>
    <row r="225" spans="1:5" ht="14.5" customHeight="1" x14ac:dyDescent="0.35">
      <c r="A225" s="48" t="s">
        <v>56</v>
      </c>
      <c r="B225" s="48" t="s">
        <v>2658</v>
      </c>
      <c r="C225" s="55">
        <v>90302314</v>
      </c>
      <c r="D225" s="48" t="s">
        <v>2620</v>
      </c>
      <c r="E225" s="47">
        <v>3001496</v>
      </c>
    </row>
    <row r="226" spans="1:5" ht="14.5" customHeight="1" x14ac:dyDescent="0.35">
      <c r="A226" s="48" t="s">
        <v>56</v>
      </c>
      <c r="B226" s="48" t="s">
        <v>2659</v>
      </c>
      <c r="C226" s="55">
        <v>90302314</v>
      </c>
      <c r="D226" s="48" t="s">
        <v>2620</v>
      </c>
      <c r="E226" s="47">
        <v>3001496</v>
      </c>
    </row>
    <row r="227" spans="1:5" ht="14.5" customHeight="1" x14ac:dyDescent="0.35">
      <c r="A227" s="48" t="s">
        <v>56</v>
      </c>
      <c r="B227" s="48" t="s">
        <v>2660</v>
      </c>
      <c r="C227" s="55">
        <v>90302314</v>
      </c>
      <c r="D227" s="48" t="s">
        <v>2620</v>
      </c>
      <c r="E227" s="47">
        <v>3001496</v>
      </c>
    </row>
    <row r="228" spans="1:5" ht="14.5" customHeight="1" x14ac:dyDescent="0.35">
      <c r="A228" s="48" t="s">
        <v>56</v>
      </c>
      <c r="B228" s="48" t="s">
        <v>2661</v>
      </c>
      <c r="C228" s="55">
        <v>90302314</v>
      </c>
      <c r="D228" s="48" t="s">
        <v>2620</v>
      </c>
      <c r="E228" s="47">
        <v>3001496</v>
      </c>
    </row>
    <row r="229" spans="1:5" ht="14.5" customHeight="1" x14ac:dyDescent="0.35">
      <c r="A229" s="48" t="s">
        <v>56</v>
      </c>
      <c r="B229" s="48" t="s">
        <v>2662</v>
      </c>
      <c r="C229" s="55">
        <v>90302314</v>
      </c>
      <c r="D229" s="48" t="s">
        <v>2620</v>
      </c>
      <c r="E229" s="47">
        <v>3001496</v>
      </c>
    </row>
    <row r="230" spans="1:5" ht="14.5" customHeight="1" x14ac:dyDescent="0.35">
      <c r="A230" s="48" t="s">
        <v>56</v>
      </c>
      <c r="B230" s="48" t="s">
        <v>2663</v>
      </c>
      <c r="C230" s="55">
        <v>90302314</v>
      </c>
      <c r="D230" s="48" t="s">
        <v>2620</v>
      </c>
      <c r="E230" s="47">
        <v>3001496</v>
      </c>
    </row>
    <row r="231" spans="1:5" ht="14.5" customHeight="1" x14ac:dyDescent="0.35">
      <c r="A231" s="48" t="s">
        <v>56</v>
      </c>
      <c r="B231" s="48" t="s">
        <v>2664</v>
      </c>
      <c r="C231" s="55">
        <v>90302314</v>
      </c>
      <c r="D231" s="48" t="s">
        <v>2620</v>
      </c>
      <c r="E231" s="47">
        <v>3001496</v>
      </c>
    </row>
    <row r="232" spans="1:5" ht="14.5" customHeight="1" x14ac:dyDescent="0.35">
      <c r="A232" s="48" t="s">
        <v>56</v>
      </c>
      <c r="B232" s="48" t="s">
        <v>2665</v>
      </c>
      <c r="C232" s="55">
        <v>90302314</v>
      </c>
      <c r="D232" s="48" t="s">
        <v>2620</v>
      </c>
      <c r="E232" s="47">
        <v>3001496</v>
      </c>
    </row>
    <row r="233" spans="1:5" ht="14.5" customHeight="1" x14ac:dyDescent="0.35">
      <c r="A233" s="48" t="s">
        <v>56</v>
      </c>
      <c r="B233" s="48" t="s">
        <v>2666</v>
      </c>
      <c r="C233" s="55">
        <v>90302314</v>
      </c>
      <c r="D233" s="48" t="s">
        <v>2620</v>
      </c>
      <c r="E233" s="47">
        <v>3001496</v>
      </c>
    </row>
    <row r="234" spans="1:5" ht="14.5" customHeight="1" x14ac:dyDescent="0.35">
      <c r="A234" s="48" t="s">
        <v>56</v>
      </c>
      <c r="B234" s="48" t="s">
        <v>2667</v>
      </c>
      <c r="C234" s="55">
        <v>90302314</v>
      </c>
      <c r="D234" s="48" t="s">
        <v>2620</v>
      </c>
      <c r="E234" s="47">
        <v>3001496</v>
      </c>
    </row>
    <row r="235" spans="1:5" ht="14.5" customHeight="1" x14ac:dyDescent="0.35">
      <c r="A235" s="48" t="s">
        <v>56</v>
      </c>
      <c r="B235" s="48" t="s">
        <v>2668</v>
      </c>
      <c r="C235" s="55">
        <v>90302314</v>
      </c>
      <c r="D235" s="48" t="s">
        <v>2620</v>
      </c>
      <c r="E235" s="47">
        <v>3001496</v>
      </c>
    </row>
    <row r="236" spans="1:5" ht="14.5" customHeight="1" x14ac:dyDescent="0.35">
      <c r="A236" s="48" t="s">
        <v>56</v>
      </c>
      <c r="B236" s="48" t="s">
        <v>2669</v>
      </c>
      <c r="C236" s="55">
        <v>90302314</v>
      </c>
      <c r="D236" s="48" t="s">
        <v>2620</v>
      </c>
      <c r="E236" s="47">
        <v>3001496</v>
      </c>
    </row>
    <row r="237" spans="1:5" ht="14.5" customHeight="1" x14ac:dyDescent="0.35">
      <c r="A237" s="48" t="s">
        <v>56</v>
      </c>
      <c r="B237" s="48" t="s">
        <v>2670</v>
      </c>
      <c r="C237" s="55">
        <v>90302314</v>
      </c>
      <c r="D237" s="48" t="s">
        <v>2620</v>
      </c>
      <c r="E237" s="47">
        <v>3001496</v>
      </c>
    </row>
    <row r="238" spans="1:5" ht="14.5" customHeight="1" x14ac:dyDescent="0.35">
      <c r="A238" s="48" t="s">
        <v>56</v>
      </c>
      <c r="B238" s="48" t="s">
        <v>2671</v>
      </c>
      <c r="C238" s="55">
        <v>90302314</v>
      </c>
      <c r="D238" s="48" t="s">
        <v>2620</v>
      </c>
      <c r="E238" s="47">
        <v>3001496</v>
      </c>
    </row>
    <row r="239" spans="1:5" ht="14.5" customHeight="1" x14ac:dyDescent="0.35">
      <c r="A239" s="48" t="s">
        <v>56</v>
      </c>
      <c r="B239" s="48" t="s">
        <v>2672</v>
      </c>
      <c r="C239" s="55">
        <v>90302314</v>
      </c>
      <c r="D239" s="48" t="s">
        <v>2620</v>
      </c>
      <c r="E239" s="47">
        <v>3001496</v>
      </c>
    </row>
    <row r="240" spans="1:5" ht="14.5" customHeight="1" x14ac:dyDescent="0.35">
      <c r="A240" s="48" t="s">
        <v>56</v>
      </c>
      <c r="B240" s="48" t="s">
        <v>2673</v>
      </c>
      <c r="C240" s="55">
        <v>90302314</v>
      </c>
      <c r="D240" s="48" t="s">
        <v>2620</v>
      </c>
      <c r="E240" s="47">
        <v>3001496</v>
      </c>
    </row>
    <row r="241" spans="1:5" ht="14.5" customHeight="1" x14ac:dyDescent="0.35">
      <c r="A241" s="48" t="s">
        <v>56</v>
      </c>
      <c r="B241" s="48" t="s">
        <v>2674</v>
      </c>
      <c r="C241" s="55">
        <v>90302314</v>
      </c>
      <c r="D241" s="48" t="s">
        <v>2620</v>
      </c>
      <c r="E241" s="47">
        <v>3001496</v>
      </c>
    </row>
    <row r="242" spans="1:5" ht="14.5" customHeight="1" x14ac:dyDescent="0.35">
      <c r="A242" s="48" t="s">
        <v>56</v>
      </c>
      <c r="B242" s="48" t="s">
        <v>2675</v>
      </c>
      <c r="C242" s="55">
        <v>90302315</v>
      </c>
      <c r="D242" s="48" t="s">
        <v>2620</v>
      </c>
      <c r="E242" s="47">
        <v>3001496</v>
      </c>
    </row>
    <row r="243" spans="1:5" ht="14.5" customHeight="1" x14ac:dyDescent="0.35">
      <c r="A243" s="48" t="s">
        <v>56</v>
      </c>
      <c r="B243" s="48" t="s">
        <v>2676</v>
      </c>
      <c r="C243" s="55">
        <v>90302315</v>
      </c>
      <c r="D243" s="48" t="s">
        <v>2620</v>
      </c>
      <c r="E243" s="47">
        <v>3001496</v>
      </c>
    </row>
    <row r="244" spans="1:5" ht="14.5" customHeight="1" x14ac:dyDescent="0.35">
      <c r="A244" s="48" t="s">
        <v>56</v>
      </c>
      <c r="B244" s="48" t="s">
        <v>2677</v>
      </c>
      <c r="C244" s="55">
        <v>90302315</v>
      </c>
      <c r="D244" s="48" t="s">
        <v>2620</v>
      </c>
      <c r="E244" s="47">
        <v>3001496</v>
      </c>
    </row>
    <row r="245" spans="1:5" ht="14.5" customHeight="1" x14ac:dyDescent="0.35">
      <c r="A245" s="48" t="s">
        <v>56</v>
      </c>
      <c r="B245" s="48" t="s">
        <v>2678</v>
      </c>
      <c r="C245" s="55">
        <v>90302315</v>
      </c>
      <c r="D245" s="48" t="s">
        <v>2620</v>
      </c>
      <c r="E245" s="47">
        <v>3001496</v>
      </c>
    </row>
    <row r="246" spans="1:5" ht="14.5" customHeight="1" x14ac:dyDescent="0.35">
      <c r="A246" s="48" t="s">
        <v>56</v>
      </c>
      <c r="B246" s="48" t="s">
        <v>2679</v>
      </c>
      <c r="C246" s="55">
        <v>90302315</v>
      </c>
      <c r="D246" s="48" t="s">
        <v>2620</v>
      </c>
      <c r="E246" s="47">
        <v>3001496</v>
      </c>
    </row>
    <row r="247" spans="1:5" ht="14.5" customHeight="1" x14ac:dyDescent="0.35">
      <c r="A247" s="48" t="s">
        <v>56</v>
      </c>
      <c r="B247" s="48" t="s">
        <v>2680</v>
      </c>
      <c r="C247" s="55">
        <v>90302315</v>
      </c>
      <c r="D247" s="48" t="s">
        <v>2620</v>
      </c>
      <c r="E247" s="47">
        <v>3001496</v>
      </c>
    </row>
    <row r="248" spans="1:5" ht="14.5" customHeight="1" x14ac:dyDescent="0.35">
      <c r="A248" s="48" t="s">
        <v>56</v>
      </c>
      <c r="B248" s="48" t="s">
        <v>2681</v>
      </c>
      <c r="C248" s="55">
        <v>90302315</v>
      </c>
      <c r="D248" s="48" t="s">
        <v>2620</v>
      </c>
      <c r="E248" s="47">
        <v>3001496</v>
      </c>
    </row>
    <row r="249" spans="1:5" ht="14.5" customHeight="1" x14ac:dyDescent="0.35">
      <c r="A249" s="48" t="s">
        <v>56</v>
      </c>
      <c r="B249" s="48" t="s">
        <v>2682</v>
      </c>
      <c r="C249" s="55">
        <v>90302315</v>
      </c>
      <c r="D249" s="48" t="s">
        <v>2620</v>
      </c>
      <c r="E249" s="47">
        <v>3001496</v>
      </c>
    </row>
    <row r="250" spans="1:5" ht="14.5" customHeight="1" x14ac:dyDescent="0.35">
      <c r="A250" s="48" t="s">
        <v>56</v>
      </c>
      <c r="B250" s="48" t="s">
        <v>2683</v>
      </c>
      <c r="C250" s="55">
        <v>90302315</v>
      </c>
      <c r="D250" s="48" t="s">
        <v>2620</v>
      </c>
      <c r="E250" s="47">
        <v>3001496</v>
      </c>
    </row>
    <row r="251" spans="1:5" ht="14.5" customHeight="1" x14ac:dyDescent="0.35">
      <c r="A251" s="48" t="s">
        <v>56</v>
      </c>
      <c r="B251" s="48" t="s">
        <v>2684</v>
      </c>
      <c r="C251" s="55">
        <v>90302315</v>
      </c>
      <c r="D251" s="48" t="s">
        <v>2620</v>
      </c>
      <c r="E251" s="47">
        <v>3001496</v>
      </c>
    </row>
    <row r="252" spans="1:5" ht="14.5" customHeight="1" x14ac:dyDescent="0.35">
      <c r="A252" s="48" t="s">
        <v>56</v>
      </c>
      <c r="B252" s="48" t="s">
        <v>2685</v>
      </c>
      <c r="C252" s="55">
        <v>90302315</v>
      </c>
      <c r="D252" s="48" t="s">
        <v>2620</v>
      </c>
      <c r="E252" s="47">
        <v>3001496</v>
      </c>
    </row>
    <row r="253" spans="1:5" ht="14.5" customHeight="1" x14ac:dyDescent="0.35">
      <c r="A253" s="48" t="s">
        <v>56</v>
      </c>
      <c r="B253" s="48" t="s">
        <v>2686</v>
      </c>
      <c r="C253" s="55">
        <v>90302315</v>
      </c>
      <c r="D253" s="48" t="s">
        <v>2620</v>
      </c>
      <c r="E253" s="47">
        <v>3001496</v>
      </c>
    </row>
    <row r="254" spans="1:5" ht="14.5" customHeight="1" x14ac:dyDescent="0.35">
      <c r="A254" s="48" t="s">
        <v>56</v>
      </c>
      <c r="B254" s="48" t="s">
        <v>2687</v>
      </c>
      <c r="C254" s="55">
        <v>90302315</v>
      </c>
      <c r="D254" s="48" t="s">
        <v>2620</v>
      </c>
      <c r="E254" s="47">
        <v>3001496</v>
      </c>
    </row>
    <row r="255" spans="1:5" ht="14.5" customHeight="1" x14ac:dyDescent="0.35">
      <c r="A255" s="48" t="s">
        <v>50</v>
      </c>
      <c r="B255" s="48" t="s">
        <v>2688</v>
      </c>
      <c r="C255" s="55">
        <v>90302316</v>
      </c>
      <c r="D255" s="48" t="s">
        <v>2444</v>
      </c>
      <c r="E255" s="47">
        <v>3001496</v>
      </c>
    </row>
    <row r="256" spans="1:5" ht="14.5" customHeight="1" x14ac:dyDescent="0.35">
      <c r="A256" s="48" t="s">
        <v>50</v>
      </c>
      <c r="B256" s="48" t="s">
        <v>2689</v>
      </c>
      <c r="C256" s="55">
        <v>90302316</v>
      </c>
      <c r="D256" s="48" t="s">
        <v>73</v>
      </c>
      <c r="E256" s="47">
        <v>3001496</v>
      </c>
    </row>
    <row r="257" spans="1:5" ht="14.5" customHeight="1" x14ac:dyDescent="0.35">
      <c r="A257" s="48" t="s">
        <v>50</v>
      </c>
      <c r="B257" s="48" t="s">
        <v>2690</v>
      </c>
      <c r="C257" s="55">
        <v>90302316</v>
      </c>
      <c r="D257" s="48" t="s">
        <v>73</v>
      </c>
      <c r="E257" s="47">
        <v>3001496</v>
      </c>
    </row>
    <row r="258" spans="1:5" ht="14.5" customHeight="1" x14ac:dyDescent="0.35">
      <c r="A258" s="48" t="s">
        <v>50</v>
      </c>
      <c r="B258" s="48" t="s">
        <v>2691</v>
      </c>
      <c r="C258" s="55">
        <v>90302316</v>
      </c>
      <c r="D258" s="48" t="s">
        <v>111</v>
      </c>
      <c r="E258" s="47">
        <v>3001496</v>
      </c>
    </row>
    <row r="259" spans="1:5" ht="14.5" customHeight="1" x14ac:dyDescent="0.35">
      <c r="A259" s="48" t="s">
        <v>50</v>
      </c>
      <c r="B259" s="48" t="s">
        <v>120</v>
      </c>
      <c r="C259" s="55">
        <v>90302316</v>
      </c>
      <c r="D259" s="48" t="s">
        <v>111</v>
      </c>
      <c r="E259" s="47">
        <v>3001496</v>
      </c>
    </row>
    <row r="260" spans="1:5" ht="14.5" customHeight="1" x14ac:dyDescent="0.35">
      <c r="A260" s="48" t="s">
        <v>50</v>
      </c>
      <c r="B260" s="48" t="s">
        <v>71</v>
      </c>
      <c r="C260" s="55">
        <v>90302316</v>
      </c>
      <c r="D260" s="48" t="s">
        <v>111</v>
      </c>
      <c r="E260" s="47">
        <v>3001496</v>
      </c>
    </row>
    <row r="261" spans="1:5" ht="14.5" customHeight="1" x14ac:dyDescent="0.35">
      <c r="A261" s="48" t="s">
        <v>50</v>
      </c>
      <c r="B261" s="48" t="s">
        <v>2692</v>
      </c>
      <c r="C261" s="55">
        <v>90302316</v>
      </c>
      <c r="D261" s="48" t="s">
        <v>111</v>
      </c>
      <c r="E261" s="47">
        <v>3001496</v>
      </c>
    </row>
    <row r="262" spans="1:5" ht="14.5" customHeight="1" x14ac:dyDescent="0.35">
      <c r="A262" s="48" t="s">
        <v>50</v>
      </c>
      <c r="B262" s="48" t="s">
        <v>2693</v>
      </c>
      <c r="C262" s="55">
        <v>90302316</v>
      </c>
      <c r="D262" s="48" t="s">
        <v>113</v>
      </c>
      <c r="E262" s="47">
        <v>3001496</v>
      </c>
    </row>
    <row r="263" spans="1:5" ht="14.5" customHeight="1" x14ac:dyDescent="0.35">
      <c r="A263" s="48" t="s">
        <v>50</v>
      </c>
      <c r="B263" s="48" t="s">
        <v>2694</v>
      </c>
      <c r="C263" s="55">
        <v>90302316</v>
      </c>
      <c r="D263" s="48" t="s">
        <v>113</v>
      </c>
      <c r="E263" s="47">
        <v>3001496</v>
      </c>
    </row>
    <row r="264" spans="1:5" ht="14.5" customHeight="1" x14ac:dyDescent="0.35">
      <c r="A264" s="48" t="s">
        <v>50</v>
      </c>
      <c r="B264" s="48" t="s">
        <v>2695</v>
      </c>
      <c r="C264" s="55">
        <v>90302316</v>
      </c>
      <c r="D264" s="48" t="s">
        <v>113</v>
      </c>
      <c r="E264" s="47">
        <v>3001496</v>
      </c>
    </row>
    <row r="265" spans="1:5" ht="14.5" customHeight="1" x14ac:dyDescent="0.35">
      <c r="A265" s="48" t="s">
        <v>50</v>
      </c>
      <c r="B265" s="48" t="s">
        <v>2696</v>
      </c>
      <c r="C265" s="55">
        <v>90302316</v>
      </c>
      <c r="D265" s="48" t="s">
        <v>112</v>
      </c>
      <c r="E265" s="47">
        <v>3001496</v>
      </c>
    </row>
    <row r="266" spans="1:5" ht="14.5" customHeight="1" x14ac:dyDescent="0.35">
      <c r="A266" s="48" t="s">
        <v>50</v>
      </c>
      <c r="B266" s="48" t="s">
        <v>117</v>
      </c>
      <c r="C266" s="55">
        <v>90302316</v>
      </c>
      <c r="D266" s="48" t="s">
        <v>112</v>
      </c>
      <c r="E266" s="47">
        <v>3001496</v>
      </c>
    </row>
    <row r="267" spans="1:5" ht="14.5" customHeight="1" x14ac:dyDescent="0.35">
      <c r="A267" s="48" t="s">
        <v>50</v>
      </c>
      <c r="B267" s="48" t="s">
        <v>118</v>
      </c>
      <c r="C267" s="55">
        <v>90302316</v>
      </c>
      <c r="D267" s="48" t="s">
        <v>112</v>
      </c>
      <c r="E267" s="47">
        <v>3001496</v>
      </c>
    </row>
    <row r="268" spans="1:5" ht="14.5" customHeight="1" x14ac:dyDescent="0.35">
      <c r="A268" s="48" t="s">
        <v>50</v>
      </c>
      <c r="B268" s="48" t="s">
        <v>2697</v>
      </c>
      <c r="C268" s="55">
        <v>90302316</v>
      </c>
      <c r="D268" s="48" t="s">
        <v>112</v>
      </c>
      <c r="E268" s="47">
        <v>3001496</v>
      </c>
    </row>
    <row r="269" spans="1:5" ht="14.5" customHeight="1" x14ac:dyDescent="0.35">
      <c r="A269" s="48" t="s">
        <v>50</v>
      </c>
      <c r="B269" s="48" t="s">
        <v>2698</v>
      </c>
      <c r="C269" s="55">
        <v>90302316</v>
      </c>
      <c r="D269" s="48" t="s">
        <v>112</v>
      </c>
      <c r="E269" s="47">
        <v>3001496</v>
      </c>
    </row>
    <row r="270" spans="1:5" ht="14.5" customHeight="1" x14ac:dyDescent="0.35">
      <c r="A270" s="48" t="s">
        <v>50</v>
      </c>
      <c r="B270" s="48" t="s">
        <v>2699</v>
      </c>
      <c r="C270" s="55">
        <v>90302316</v>
      </c>
      <c r="D270" s="48" t="s">
        <v>112</v>
      </c>
      <c r="E270" s="47">
        <v>3001496</v>
      </c>
    </row>
    <row r="271" spans="1:5" ht="14.5" customHeight="1" x14ac:dyDescent="0.35">
      <c r="A271" s="48" t="s">
        <v>50</v>
      </c>
      <c r="B271" s="48" t="s">
        <v>2700</v>
      </c>
      <c r="C271" s="55">
        <v>90302316</v>
      </c>
      <c r="D271" s="48" t="s">
        <v>112</v>
      </c>
      <c r="E271" s="47">
        <v>3001496</v>
      </c>
    </row>
    <row r="272" spans="1:5" ht="14.5" customHeight="1" x14ac:dyDescent="0.35">
      <c r="A272" s="48" t="s">
        <v>50</v>
      </c>
      <c r="B272" s="48" t="s">
        <v>2701</v>
      </c>
      <c r="C272" s="55">
        <v>90302316</v>
      </c>
      <c r="D272" s="48" t="s">
        <v>112</v>
      </c>
      <c r="E272" s="47">
        <v>3001496</v>
      </c>
    </row>
    <row r="273" spans="1:5" ht="14.5" customHeight="1" x14ac:dyDescent="0.35">
      <c r="A273" s="48" t="s">
        <v>50</v>
      </c>
      <c r="B273" s="48" t="s">
        <v>2702</v>
      </c>
      <c r="C273" s="55">
        <v>90302316</v>
      </c>
      <c r="D273" s="48" t="s">
        <v>112</v>
      </c>
      <c r="E273" s="47">
        <v>3001496</v>
      </c>
    </row>
    <row r="274" spans="1:5" ht="14.5" customHeight="1" x14ac:dyDescent="0.35">
      <c r="A274" s="48" t="s">
        <v>50</v>
      </c>
      <c r="B274" s="48" t="s">
        <v>2703</v>
      </c>
      <c r="C274" s="55">
        <v>90302316</v>
      </c>
      <c r="D274" s="48" t="s">
        <v>112</v>
      </c>
      <c r="E274" s="47">
        <v>3001496</v>
      </c>
    </row>
    <row r="275" spans="1:5" ht="14.5" customHeight="1" x14ac:dyDescent="0.35">
      <c r="A275" s="48" t="s">
        <v>50</v>
      </c>
      <c r="B275" s="48" t="s">
        <v>2704</v>
      </c>
      <c r="C275" s="55">
        <v>90302316</v>
      </c>
      <c r="D275" s="48" t="s">
        <v>112</v>
      </c>
      <c r="E275" s="47">
        <v>3001496</v>
      </c>
    </row>
    <row r="276" spans="1:5" ht="14.5" customHeight="1" x14ac:dyDescent="0.35">
      <c r="A276" s="48" t="s">
        <v>50</v>
      </c>
      <c r="B276" s="48" t="s">
        <v>2905</v>
      </c>
      <c r="C276" s="55">
        <v>90302316</v>
      </c>
      <c r="D276" s="48" t="s">
        <v>111</v>
      </c>
      <c r="E276" s="47">
        <v>3001496</v>
      </c>
    </row>
    <row r="277" spans="1:5" ht="14.5" customHeight="1" x14ac:dyDescent="0.35">
      <c r="A277" s="48" t="s">
        <v>50</v>
      </c>
      <c r="B277" s="48" t="s">
        <v>2705</v>
      </c>
      <c r="C277" s="55">
        <v>90302316</v>
      </c>
      <c r="D277" s="48" t="s">
        <v>112</v>
      </c>
      <c r="E277" s="47">
        <v>3001496</v>
      </c>
    </row>
    <row r="278" spans="1:5" ht="14.5" customHeight="1" x14ac:dyDescent="0.35">
      <c r="A278" s="48" t="s">
        <v>50</v>
      </c>
      <c r="B278" s="48" t="s">
        <v>2706</v>
      </c>
      <c r="C278" s="55">
        <v>90302316</v>
      </c>
      <c r="D278" s="48" t="s">
        <v>112</v>
      </c>
      <c r="E278" s="47">
        <v>3001496</v>
      </c>
    </row>
    <row r="279" spans="1:5" ht="14.5" customHeight="1" x14ac:dyDescent="0.35">
      <c r="A279" s="48" t="s">
        <v>50</v>
      </c>
      <c r="B279" s="48" t="s">
        <v>2707</v>
      </c>
      <c r="C279" s="55">
        <v>90302316</v>
      </c>
      <c r="D279" s="48" t="s">
        <v>112</v>
      </c>
      <c r="E279" s="47">
        <v>3001496</v>
      </c>
    </row>
    <row r="280" spans="1:5" ht="14.5" customHeight="1" x14ac:dyDescent="0.35">
      <c r="A280" s="48" t="s">
        <v>50</v>
      </c>
      <c r="B280" s="48" t="s">
        <v>2708</v>
      </c>
      <c r="C280" s="55">
        <v>90302316</v>
      </c>
      <c r="D280" s="48" t="s">
        <v>112</v>
      </c>
      <c r="E280" s="47">
        <v>3001496</v>
      </c>
    </row>
    <row r="281" spans="1:5" ht="14.5" customHeight="1" x14ac:dyDescent="0.35">
      <c r="A281" s="48" t="s">
        <v>50</v>
      </c>
      <c r="B281" s="48" t="s">
        <v>2906</v>
      </c>
      <c r="C281" s="55">
        <v>90302316</v>
      </c>
      <c r="D281" s="48" t="s">
        <v>112</v>
      </c>
      <c r="E281" s="47">
        <v>3001496</v>
      </c>
    </row>
    <row r="282" spans="1:5" ht="14.5" customHeight="1" x14ac:dyDescent="0.35">
      <c r="A282" s="48" t="s">
        <v>50</v>
      </c>
      <c r="B282" s="48" t="s">
        <v>2907</v>
      </c>
      <c r="C282" s="55">
        <v>90302316</v>
      </c>
      <c r="D282" s="48" t="s">
        <v>112</v>
      </c>
      <c r="E282" s="47">
        <v>3001496</v>
      </c>
    </row>
    <row r="283" spans="1:5" ht="14.5" customHeight="1" x14ac:dyDescent="0.35">
      <c r="A283" s="48" t="s">
        <v>50</v>
      </c>
      <c r="B283" s="48" t="s">
        <v>2908</v>
      </c>
      <c r="C283" s="55">
        <v>90302316</v>
      </c>
      <c r="D283" s="48" t="s">
        <v>112</v>
      </c>
      <c r="E283" s="47">
        <v>3001496</v>
      </c>
    </row>
    <row r="284" spans="1:5" ht="14.5" customHeight="1" x14ac:dyDescent="0.35">
      <c r="A284" s="48" t="s">
        <v>50</v>
      </c>
      <c r="B284" s="48" t="s">
        <v>2909</v>
      </c>
      <c r="C284" s="55">
        <v>90302316</v>
      </c>
      <c r="D284" s="48" t="s">
        <v>111</v>
      </c>
      <c r="E284" s="47">
        <v>3001496</v>
      </c>
    </row>
    <row r="285" spans="1:5" ht="14.5" customHeight="1" x14ac:dyDescent="0.35">
      <c r="A285" s="48" t="s">
        <v>50</v>
      </c>
      <c r="B285" s="48" t="s">
        <v>2709</v>
      </c>
      <c r="C285" s="55">
        <v>90302317</v>
      </c>
      <c r="D285" s="48" t="s">
        <v>2444</v>
      </c>
      <c r="E285" s="47">
        <v>3001496</v>
      </c>
    </row>
    <row r="286" spans="1:5" ht="14.5" customHeight="1" x14ac:dyDescent="0.35">
      <c r="A286" s="48" t="s">
        <v>50</v>
      </c>
      <c r="B286" s="48" t="s">
        <v>2710</v>
      </c>
      <c r="C286" s="55">
        <v>90302317</v>
      </c>
      <c r="D286" s="48" t="s">
        <v>73</v>
      </c>
      <c r="E286" s="47">
        <v>3001496</v>
      </c>
    </row>
    <row r="287" spans="1:5" ht="14.5" customHeight="1" x14ac:dyDescent="0.35">
      <c r="A287" s="48" t="s">
        <v>50</v>
      </c>
      <c r="B287" s="48" t="s">
        <v>2711</v>
      </c>
      <c r="C287" s="55">
        <v>90302317</v>
      </c>
      <c r="D287" s="48" t="s">
        <v>73</v>
      </c>
      <c r="E287" s="47">
        <v>3001496</v>
      </c>
    </row>
    <row r="288" spans="1:5" ht="14.5" customHeight="1" x14ac:dyDescent="0.35">
      <c r="A288" s="48" t="s">
        <v>50</v>
      </c>
      <c r="B288" s="48" t="s">
        <v>2712</v>
      </c>
      <c r="C288" s="55">
        <v>90302317</v>
      </c>
      <c r="D288" s="48" t="s">
        <v>111</v>
      </c>
      <c r="E288" s="47">
        <v>3001496</v>
      </c>
    </row>
    <row r="289" spans="1:5" ht="14.5" customHeight="1" x14ac:dyDescent="0.35">
      <c r="A289" s="48" t="s">
        <v>50</v>
      </c>
      <c r="B289" s="48" t="s">
        <v>72</v>
      </c>
      <c r="C289" s="55">
        <v>90302317</v>
      </c>
      <c r="D289" s="48" t="s">
        <v>111</v>
      </c>
      <c r="E289" s="47">
        <v>3001496</v>
      </c>
    </row>
    <row r="290" spans="1:5" ht="14.5" customHeight="1" x14ac:dyDescent="0.35">
      <c r="A290" s="48" t="s">
        <v>50</v>
      </c>
      <c r="B290" s="48" t="s">
        <v>119</v>
      </c>
      <c r="C290" s="55">
        <v>90302317</v>
      </c>
      <c r="D290" s="48" t="s">
        <v>111</v>
      </c>
      <c r="E290" s="47">
        <v>3001496</v>
      </c>
    </row>
    <row r="291" spans="1:5" ht="14.5" customHeight="1" x14ac:dyDescent="0.35">
      <c r="A291" s="48" t="s">
        <v>50</v>
      </c>
      <c r="B291" s="48" t="s">
        <v>2713</v>
      </c>
      <c r="C291" s="55">
        <v>90302317</v>
      </c>
      <c r="D291" s="48" t="s">
        <v>111</v>
      </c>
      <c r="E291" s="47">
        <v>3001496</v>
      </c>
    </row>
    <row r="292" spans="1:5" ht="14.5" customHeight="1" x14ac:dyDescent="0.35">
      <c r="A292" s="48" t="s">
        <v>50</v>
      </c>
      <c r="B292" s="48" t="s">
        <v>2714</v>
      </c>
      <c r="C292" s="55">
        <v>90302317</v>
      </c>
      <c r="D292" s="48" t="s">
        <v>113</v>
      </c>
      <c r="E292" s="47">
        <v>3001496</v>
      </c>
    </row>
    <row r="293" spans="1:5" ht="14.5" customHeight="1" x14ac:dyDescent="0.35">
      <c r="A293" s="48" t="s">
        <v>50</v>
      </c>
      <c r="B293" s="48" t="s">
        <v>2715</v>
      </c>
      <c r="C293" s="55">
        <v>90302317</v>
      </c>
      <c r="D293" s="48" t="s">
        <v>113</v>
      </c>
      <c r="E293" s="47">
        <v>3001496</v>
      </c>
    </row>
    <row r="294" spans="1:5" ht="14.5" customHeight="1" x14ac:dyDescent="0.35">
      <c r="A294" s="48" t="s">
        <v>50</v>
      </c>
      <c r="B294" s="48" t="s">
        <v>2716</v>
      </c>
      <c r="C294" s="55">
        <v>90302317</v>
      </c>
      <c r="D294" s="48" t="s">
        <v>113</v>
      </c>
      <c r="E294" s="47">
        <v>3001496</v>
      </c>
    </row>
    <row r="295" spans="1:5" ht="14.5" customHeight="1" x14ac:dyDescent="0.35">
      <c r="A295" s="48" t="s">
        <v>50</v>
      </c>
      <c r="B295" s="48" t="s">
        <v>2717</v>
      </c>
      <c r="C295" s="55">
        <v>90302317</v>
      </c>
      <c r="D295" s="48" t="s">
        <v>112</v>
      </c>
      <c r="E295" s="47">
        <v>3001496</v>
      </c>
    </row>
    <row r="296" spans="1:5" ht="14.5" customHeight="1" x14ac:dyDescent="0.35">
      <c r="A296" s="48" t="s">
        <v>50</v>
      </c>
      <c r="B296" s="48" t="s">
        <v>2718</v>
      </c>
      <c r="C296" s="55">
        <v>90302317</v>
      </c>
      <c r="D296" s="48" t="s">
        <v>112</v>
      </c>
      <c r="E296" s="47">
        <v>3001496</v>
      </c>
    </row>
    <row r="297" spans="1:5" ht="14.5" customHeight="1" x14ac:dyDescent="0.35">
      <c r="A297" s="48" t="s">
        <v>50</v>
      </c>
      <c r="B297" s="48" t="s">
        <v>2719</v>
      </c>
      <c r="C297" s="55">
        <v>90302317</v>
      </c>
      <c r="D297" s="48" t="s">
        <v>112</v>
      </c>
      <c r="E297" s="47">
        <v>3001496</v>
      </c>
    </row>
    <row r="298" spans="1:5" ht="14.5" customHeight="1" x14ac:dyDescent="0.35">
      <c r="A298" s="48" t="s">
        <v>50</v>
      </c>
      <c r="B298" s="48" t="s">
        <v>2720</v>
      </c>
      <c r="C298" s="55">
        <v>90302317</v>
      </c>
      <c r="D298" s="48" t="s">
        <v>112</v>
      </c>
      <c r="E298" s="47">
        <v>3001496</v>
      </c>
    </row>
    <row r="299" spans="1:5" ht="14.5" customHeight="1" x14ac:dyDescent="0.35">
      <c r="A299" s="48" t="s">
        <v>50</v>
      </c>
      <c r="B299" s="48" t="s">
        <v>2721</v>
      </c>
      <c r="C299" s="55">
        <v>90302317</v>
      </c>
      <c r="D299" s="48" t="s">
        <v>112</v>
      </c>
      <c r="E299" s="47">
        <v>3001496</v>
      </c>
    </row>
    <row r="300" spans="1:5" ht="14.5" customHeight="1" x14ac:dyDescent="0.35">
      <c r="A300" s="48" t="s">
        <v>50</v>
      </c>
      <c r="B300" s="48" t="s">
        <v>2722</v>
      </c>
      <c r="C300" s="55">
        <v>90302317</v>
      </c>
      <c r="D300" s="48" t="s">
        <v>112</v>
      </c>
      <c r="E300" s="47">
        <v>3001496</v>
      </c>
    </row>
    <row r="301" spans="1:5" ht="14.5" customHeight="1" x14ac:dyDescent="0.35">
      <c r="A301" s="48" t="s">
        <v>50</v>
      </c>
      <c r="B301" s="48" t="s">
        <v>2723</v>
      </c>
      <c r="C301" s="55">
        <v>90302317</v>
      </c>
      <c r="D301" s="48" t="s">
        <v>112</v>
      </c>
      <c r="E301" s="47">
        <v>3001496</v>
      </c>
    </row>
    <row r="302" spans="1:5" ht="14.5" customHeight="1" x14ac:dyDescent="0.35">
      <c r="A302" s="48" t="s">
        <v>50</v>
      </c>
      <c r="B302" s="48" t="s">
        <v>122</v>
      </c>
      <c r="C302" s="55">
        <v>90302317</v>
      </c>
      <c r="D302" s="48" t="s">
        <v>112</v>
      </c>
      <c r="E302" s="47">
        <v>3001496</v>
      </c>
    </row>
    <row r="303" spans="1:5" ht="14.5" customHeight="1" x14ac:dyDescent="0.35">
      <c r="A303" s="48" t="s">
        <v>50</v>
      </c>
      <c r="B303" s="48" t="s">
        <v>2724</v>
      </c>
      <c r="C303" s="55">
        <v>90302317</v>
      </c>
      <c r="D303" s="48" t="s">
        <v>112</v>
      </c>
      <c r="E303" s="47">
        <v>3001496</v>
      </c>
    </row>
    <row r="304" spans="1:5" ht="14.5" customHeight="1" x14ac:dyDescent="0.35">
      <c r="A304" s="48" t="s">
        <v>50</v>
      </c>
      <c r="B304" s="48" t="s">
        <v>2725</v>
      </c>
      <c r="C304" s="55">
        <v>90302317</v>
      </c>
      <c r="D304" s="48" t="s">
        <v>112</v>
      </c>
      <c r="E304" s="47">
        <v>3001496</v>
      </c>
    </row>
    <row r="305" spans="1:5" ht="14.5" customHeight="1" x14ac:dyDescent="0.35">
      <c r="A305" s="48" t="s">
        <v>50</v>
      </c>
      <c r="B305" s="48" t="s">
        <v>2726</v>
      </c>
      <c r="C305" s="55">
        <v>90302317</v>
      </c>
      <c r="D305" s="48" t="s">
        <v>112</v>
      </c>
      <c r="E305" s="47">
        <v>3001496</v>
      </c>
    </row>
    <row r="306" spans="1:5" ht="14.5" customHeight="1" x14ac:dyDescent="0.35">
      <c r="A306" s="48" t="s">
        <v>50</v>
      </c>
      <c r="B306" s="48" t="s">
        <v>2727</v>
      </c>
      <c r="C306" s="55">
        <v>90302317</v>
      </c>
      <c r="D306" s="48" t="s">
        <v>112</v>
      </c>
      <c r="E306" s="47">
        <v>3001496</v>
      </c>
    </row>
    <row r="307" spans="1:5" ht="14.5" customHeight="1" x14ac:dyDescent="0.35">
      <c r="A307" s="48" t="s">
        <v>50</v>
      </c>
      <c r="B307" s="48" t="s">
        <v>121</v>
      </c>
      <c r="C307" s="55">
        <v>90302317</v>
      </c>
      <c r="D307" s="48" t="s">
        <v>112</v>
      </c>
      <c r="E307" s="47">
        <v>3001496</v>
      </c>
    </row>
    <row r="308" spans="1:5" ht="14.5" customHeight="1" x14ac:dyDescent="0.35">
      <c r="A308" s="48" t="s">
        <v>50</v>
      </c>
      <c r="B308" s="48" t="s">
        <v>2728</v>
      </c>
      <c r="C308" s="55">
        <v>90302317</v>
      </c>
      <c r="D308" s="48" t="s">
        <v>112</v>
      </c>
      <c r="E308" s="47">
        <v>3001496</v>
      </c>
    </row>
    <row r="309" spans="1:5" ht="14.5" customHeight="1" x14ac:dyDescent="0.35">
      <c r="A309" s="48" t="s">
        <v>50</v>
      </c>
      <c r="B309" s="48" t="s">
        <v>123</v>
      </c>
      <c r="C309" s="55">
        <v>90302317</v>
      </c>
      <c r="D309" s="48" t="s">
        <v>112</v>
      </c>
      <c r="E309" s="47">
        <v>3001496</v>
      </c>
    </row>
    <row r="310" spans="1:5" ht="14.5" customHeight="1" x14ac:dyDescent="0.35">
      <c r="A310" s="48" t="s">
        <v>50</v>
      </c>
      <c r="B310" s="48" t="s">
        <v>2910</v>
      </c>
      <c r="C310" s="55">
        <v>90302317</v>
      </c>
      <c r="D310" s="48" t="s">
        <v>113</v>
      </c>
      <c r="E310" s="47">
        <v>3001496</v>
      </c>
    </row>
    <row r="311" spans="1:5" ht="14.5" customHeight="1" x14ac:dyDescent="0.35">
      <c r="A311" s="48" t="s">
        <v>50</v>
      </c>
      <c r="B311" s="48" t="s">
        <v>2911</v>
      </c>
      <c r="C311" s="55">
        <v>90302317</v>
      </c>
      <c r="D311" s="48" t="s">
        <v>112</v>
      </c>
      <c r="E311" s="47">
        <v>3001496</v>
      </c>
    </row>
    <row r="312" spans="1:5" ht="14.5" customHeight="1" x14ac:dyDescent="0.35">
      <c r="A312" s="48" t="s">
        <v>50</v>
      </c>
      <c r="B312" s="48" t="s">
        <v>2729</v>
      </c>
      <c r="C312" s="55">
        <v>90302317</v>
      </c>
      <c r="D312" s="48" t="s">
        <v>112</v>
      </c>
      <c r="E312" s="47">
        <v>3001496</v>
      </c>
    </row>
    <row r="313" spans="1:5" ht="14.5" customHeight="1" x14ac:dyDescent="0.35">
      <c r="A313" s="48" t="s">
        <v>50</v>
      </c>
      <c r="B313" s="48" t="s">
        <v>2730</v>
      </c>
      <c r="C313" s="55">
        <v>90302317</v>
      </c>
      <c r="D313" s="48" t="s">
        <v>2621</v>
      </c>
      <c r="E313" s="47">
        <v>3001496</v>
      </c>
    </row>
    <row r="314" spans="1:5" ht="14.5" customHeight="1" x14ac:dyDescent="0.35">
      <c r="A314" s="48" t="s">
        <v>2731</v>
      </c>
      <c r="B314" s="48" t="s">
        <v>2732</v>
      </c>
      <c r="C314" s="55">
        <v>90302318</v>
      </c>
      <c r="D314" s="48" t="s">
        <v>2570</v>
      </c>
      <c r="E314" s="47">
        <v>3001496</v>
      </c>
    </row>
    <row r="315" spans="1:5" ht="14.5" customHeight="1" x14ac:dyDescent="0.35">
      <c r="A315" s="48" t="s">
        <v>2731</v>
      </c>
      <c r="B315" s="48" t="s">
        <v>2733</v>
      </c>
      <c r="C315" s="55">
        <v>90302318</v>
      </c>
      <c r="D315" s="48" t="s">
        <v>2570</v>
      </c>
      <c r="E315" s="47">
        <v>3001496</v>
      </c>
    </row>
    <row r="316" spans="1:5" ht="14.5" customHeight="1" x14ac:dyDescent="0.35">
      <c r="A316" s="48" t="s">
        <v>2731</v>
      </c>
      <c r="B316" s="48" t="s">
        <v>2734</v>
      </c>
      <c r="C316" s="55">
        <v>90302319</v>
      </c>
      <c r="D316" s="48" t="s">
        <v>2570</v>
      </c>
      <c r="E316" s="47">
        <v>3001496</v>
      </c>
    </row>
    <row r="317" spans="1:5" ht="14.5" customHeight="1" x14ac:dyDescent="0.35">
      <c r="A317" s="48" t="s">
        <v>2731</v>
      </c>
      <c r="B317" s="48" t="s">
        <v>2735</v>
      </c>
      <c r="C317" s="55">
        <v>90302319</v>
      </c>
      <c r="D317" s="48" t="s">
        <v>2570</v>
      </c>
      <c r="E317" s="47">
        <v>3001496</v>
      </c>
    </row>
    <row r="318" spans="1:5" ht="14.5" customHeight="1" x14ac:dyDescent="0.35">
      <c r="A318" s="48" t="s">
        <v>48</v>
      </c>
      <c r="B318" s="48" t="s">
        <v>2895</v>
      </c>
      <c r="C318" s="55">
        <v>90302292</v>
      </c>
      <c r="D318" s="48" t="s">
        <v>73</v>
      </c>
      <c r="E318" s="47">
        <v>3001496</v>
      </c>
    </row>
    <row r="319" spans="1:5" ht="14.5" customHeight="1" x14ac:dyDescent="0.35">
      <c r="A319" s="48" t="s">
        <v>48</v>
      </c>
      <c r="B319" s="48" t="s">
        <v>2896</v>
      </c>
      <c r="C319" s="55">
        <v>90302292</v>
      </c>
      <c r="D319" s="48" t="s">
        <v>73</v>
      </c>
      <c r="E319" s="47">
        <v>3001496</v>
      </c>
    </row>
    <row r="320" spans="1:5" ht="14.5" customHeight="1" x14ac:dyDescent="0.35">
      <c r="A320" s="48" t="s">
        <v>48</v>
      </c>
      <c r="B320" s="48" t="s">
        <v>2903</v>
      </c>
      <c r="C320" s="55">
        <v>90302293</v>
      </c>
      <c r="D320" s="48" t="s">
        <v>2889</v>
      </c>
      <c r="E320" s="47">
        <v>3001496</v>
      </c>
    </row>
    <row r="321" spans="1:5" ht="14.5" customHeight="1" x14ac:dyDescent="0.35">
      <c r="A321" s="48" t="s">
        <v>2741</v>
      </c>
      <c r="B321" s="48" t="s">
        <v>2612</v>
      </c>
      <c r="C321" s="29">
        <v>90303174</v>
      </c>
      <c r="D321" s="48" t="s">
        <v>2494</v>
      </c>
      <c r="E321" s="47">
        <v>3001496</v>
      </c>
    </row>
    <row r="322" spans="1:5" ht="14.5" customHeight="1" x14ac:dyDescent="0.35">
      <c r="A322" s="48" t="s">
        <v>2741</v>
      </c>
      <c r="B322" s="48" t="s">
        <v>2613</v>
      </c>
      <c r="C322" s="29">
        <v>90303174</v>
      </c>
      <c r="D322" s="48" t="s">
        <v>2494</v>
      </c>
      <c r="E322" s="47">
        <v>3001496</v>
      </c>
    </row>
    <row r="323" spans="1:5" ht="14.5" customHeight="1" x14ac:dyDescent="0.35">
      <c r="A323" s="48" t="s">
        <v>2741</v>
      </c>
      <c r="B323" s="48" t="s">
        <v>2614</v>
      </c>
      <c r="C323" s="29">
        <v>90303175</v>
      </c>
      <c r="D323" s="48" t="s">
        <v>2494</v>
      </c>
      <c r="E323" s="47">
        <v>3001496</v>
      </c>
    </row>
    <row r="324" spans="1:5" ht="14.5" customHeight="1" x14ac:dyDescent="0.35">
      <c r="A324" s="48" t="s">
        <v>2741</v>
      </c>
      <c r="B324" s="48" t="s">
        <v>2615</v>
      </c>
      <c r="C324" s="29">
        <v>90303175</v>
      </c>
      <c r="D324" s="48" t="s">
        <v>2494</v>
      </c>
      <c r="E324" s="47">
        <v>3001496</v>
      </c>
    </row>
    <row r="325" spans="1:5" ht="14.5" customHeight="1" x14ac:dyDescent="0.35">
      <c r="A325" s="48" t="s">
        <v>2437</v>
      </c>
      <c r="B325" s="48" t="s">
        <v>2916</v>
      </c>
      <c r="C325" s="29">
        <v>90302832</v>
      </c>
      <c r="D325" s="48" t="s">
        <v>114</v>
      </c>
      <c r="E325" s="47">
        <v>3001496</v>
      </c>
    </row>
    <row r="326" spans="1:5" ht="14.5" customHeight="1" x14ac:dyDescent="0.35">
      <c r="A326" s="48" t="s">
        <v>2437</v>
      </c>
      <c r="B326" s="48" t="s">
        <v>2917</v>
      </c>
      <c r="C326" s="29">
        <v>90301944</v>
      </c>
      <c r="D326" s="48" t="s">
        <v>114</v>
      </c>
      <c r="E326" s="47">
        <v>3001496</v>
      </c>
    </row>
    <row r="327" spans="1:5" ht="14.5" customHeight="1" x14ac:dyDescent="0.35">
      <c r="A327" s="48" t="s">
        <v>2437</v>
      </c>
      <c r="B327" s="48" t="s">
        <v>2918</v>
      </c>
      <c r="C327" s="29">
        <v>90302833</v>
      </c>
      <c r="D327" s="48" t="s">
        <v>114</v>
      </c>
      <c r="E327" s="47">
        <v>3001496</v>
      </c>
    </row>
    <row r="328" spans="1:5" ht="14.5" customHeight="1" x14ac:dyDescent="0.35">
      <c r="A328" s="48" t="s">
        <v>2437</v>
      </c>
      <c r="B328" s="48" t="s">
        <v>2919</v>
      </c>
      <c r="C328" s="29">
        <v>90302834</v>
      </c>
      <c r="D328" s="48" t="s">
        <v>114</v>
      </c>
      <c r="E328" s="47">
        <v>3001496</v>
      </c>
    </row>
    <row r="329" spans="1:5" ht="14.5" customHeight="1" x14ac:dyDescent="0.35">
      <c r="A329" s="48" t="s">
        <v>2437</v>
      </c>
      <c r="B329" s="48" t="s">
        <v>2920</v>
      </c>
      <c r="C329" s="29">
        <v>90300076</v>
      </c>
      <c r="D329" s="48" t="s">
        <v>114</v>
      </c>
      <c r="E329" s="47">
        <v>3001496</v>
      </c>
    </row>
    <row r="330" spans="1:5" ht="14.5" customHeight="1" x14ac:dyDescent="0.35">
      <c r="A330" s="48" t="s">
        <v>2437</v>
      </c>
      <c r="B330" s="48" t="s">
        <v>2921</v>
      </c>
      <c r="C330" s="29">
        <v>90302835</v>
      </c>
      <c r="D330" s="48" t="s">
        <v>114</v>
      </c>
      <c r="E330" s="47">
        <v>3001496</v>
      </c>
    </row>
  </sheetData>
  <autoFilter ref="A1:M320" xr:uid="{00000000-0001-0000-0300-000000000000}"/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"/>
  <sheetViews>
    <sheetView zoomScaleNormal="100" workbookViewId="0">
      <selection activeCell="H20" sqref="H20"/>
    </sheetView>
  </sheetViews>
  <sheetFormatPr defaultRowHeight="14.5" customHeight="1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</sheetPr>
  <dimension ref="A1:H2064"/>
  <sheetViews>
    <sheetView topLeftCell="A1832" zoomScaleNormal="100" workbookViewId="0">
      <selection activeCell="C2062" sqref="C2062"/>
    </sheetView>
  </sheetViews>
  <sheetFormatPr defaultColWidth="18.453125" defaultRowHeight="14.5" customHeight="1" x14ac:dyDescent="0.35"/>
  <cols>
    <col min="1" max="1" width="18.7265625" customWidth="1"/>
    <col min="2" max="2" width="18" customWidth="1"/>
    <col min="3" max="3" width="53.81640625" customWidth="1"/>
    <col min="4" max="4" width="40.7265625" customWidth="1"/>
    <col min="5" max="5" width="16.7265625" customWidth="1"/>
  </cols>
  <sheetData>
    <row r="1" spans="1:6" x14ac:dyDescent="0.35">
      <c r="A1" s="46" t="s">
        <v>76</v>
      </c>
      <c r="B1" s="46" t="s">
        <v>14</v>
      </c>
      <c r="C1" s="46" t="s">
        <v>77</v>
      </c>
      <c r="D1" s="46" t="s">
        <v>78</v>
      </c>
      <c r="E1" s="46" t="s">
        <v>79</v>
      </c>
      <c r="F1" s="46" t="s">
        <v>42</v>
      </c>
    </row>
    <row r="2" spans="1:6" ht="14.5" hidden="1" customHeight="1" x14ac:dyDescent="0.35">
      <c r="A2" s="33" t="s">
        <v>2742</v>
      </c>
      <c r="B2" s="33" t="s">
        <v>80</v>
      </c>
      <c r="C2" s="33" t="s">
        <v>2757</v>
      </c>
      <c r="D2" s="33" t="s">
        <v>1403</v>
      </c>
      <c r="E2" s="33" t="s">
        <v>2837</v>
      </c>
      <c r="F2" s="38" t="s">
        <v>742</v>
      </c>
    </row>
    <row r="3" spans="1:6" ht="14.5" hidden="1" customHeight="1" x14ac:dyDescent="0.35">
      <c r="A3" s="33" t="s">
        <v>2742</v>
      </c>
      <c r="B3" s="33" t="s">
        <v>82</v>
      </c>
      <c r="C3" s="33" t="s">
        <v>2757</v>
      </c>
      <c r="D3" s="33" t="s">
        <v>1404</v>
      </c>
      <c r="E3" s="33" t="s">
        <v>2837</v>
      </c>
      <c r="F3" s="38" t="s">
        <v>742</v>
      </c>
    </row>
    <row r="4" spans="1:6" ht="14.5" hidden="1" customHeight="1" x14ac:dyDescent="0.35">
      <c r="A4" s="33" t="s">
        <v>2742</v>
      </c>
      <c r="B4" s="33" t="s">
        <v>83</v>
      </c>
      <c r="C4" s="33" t="s">
        <v>2757</v>
      </c>
      <c r="D4" s="33" t="s">
        <v>1405</v>
      </c>
      <c r="E4" s="33" t="s">
        <v>2837</v>
      </c>
      <c r="F4" s="38" t="s">
        <v>742</v>
      </c>
    </row>
    <row r="5" spans="1:6" ht="14.5" hidden="1" customHeight="1" x14ac:dyDescent="0.35">
      <c r="A5" s="33" t="s">
        <v>2742</v>
      </c>
      <c r="B5" s="33" t="s">
        <v>19</v>
      </c>
      <c r="C5" s="33" t="s">
        <v>2757</v>
      </c>
      <c r="D5" s="33" t="s">
        <v>1406</v>
      </c>
      <c r="E5" s="33" t="s">
        <v>2837</v>
      </c>
      <c r="F5" s="38" t="s">
        <v>742</v>
      </c>
    </row>
    <row r="6" spans="1:6" ht="14.5" hidden="1" customHeight="1" x14ac:dyDescent="0.35">
      <c r="A6" s="33" t="s">
        <v>2743</v>
      </c>
      <c r="B6" s="33" t="s">
        <v>80</v>
      </c>
      <c r="C6" s="33" t="s">
        <v>2758</v>
      </c>
      <c r="D6" s="33" t="s">
        <v>2771</v>
      </c>
      <c r="E6" s="33" t="s">
        <v>2837</v>
      </c>
      <c r="F6" s="38" t="s">
        <v>742</v>
      </c>
    </row>
    <row r="7" spans="1:6" ht="14.5" customHeight="1" x14ac:dyDescent="0.35">
      <c r="A7" s="33" t="s">
        <v>2743</v>
      </c>
      <c r="B7" s="33" t="s">
        <v>82</v>
      </c>
      <c r="C7" s="33" t="s">
        <v>2758</v>
      </c>
      <c r="D7" s="33" t="s">
        <v>2772</v>
      </c>
      <c r="E7" s="33" t="s">
        <v>2879</v>
      </c>
      <c r="F7" s="38" t="s">
        <v>1687</v>
      </c>
    </row>
    <row r="8" spans="1:6" ht="14.5" hidden="1" customHeight="1" x14ac:dyDescent="0.35">
      <c r="A8" s="33" t="s">
        <v>2743</v>
      </c>
      <c r="B8" s="33" t="s">
        <v>19</v>
      </c>
      <c r="C8" s="33" t="s">
        <v>2758</v>
      </c>
      <c r="D8" s="33" t="s">
        <v>2773</v>
      </c>
      <c r="E8" s="33" t="s">
        <v>2838</v>
      </c>
      <c r="F8" s="38" t="s">
        <v>48</v>
      </c>
    </row>
    <row r="9" spans="1:6" ht="14.5" hidden="1" customHeight="1" x14ac:dyDescent="0.35">
      <c r="A9" s="33" t="s">
        <v>2743</v>
      </c>
      <c r="B9" s="33" t="s">
        <v>174</v>
      </c>
      <c r="C9" s="33" t="s">
        <v>2758</v>
      </c>
      <c r="D9" s="33" t="s">
        <v>2773</v>
      </c>
      <c r="E9" s="33" t="s">
        <v>2839</v>
      </c>
      <c r="F9" s="38" t="s">
        <v>48</v>
      </c>
    </row>
    <row r="10" spans="1:6" ht="14.5" hidden="1" customHeight="1" x14ac:dyDescent="0.35">
      <c r="A10" s="33" t="s">
        <v>2743</v>
      </c>
      <c r="B10" s="33" t="s">
        <v>84</v>
      </c>
      <c r="C10" s="33" t="s">
        <v>2758</v>
      </c>
      <c r="D10" s="33" t="s">
        <v>2774</v>
      </c>
      <c r="E10" s="33" t="s">
        <v>2837</v>
      </c>
      <c r="F10" s="38" t="s">
        <v>742</v>
      </c>
    </row>
    <row r="11" spans="1:6" ht="14.5" hidden="1" customHeight="1" x14ac:dyDescent="0.35">
      <c r="A11" s="33" t="s">
        <v>2744</v>
      </c>
      <c r="B11" s="33" t="s">
        <v>80</v>
      </c>
      <c r="C11" s="33" t="s">
        <v>2759</v>
      </c>
      <c r="D11" s="33" t="s">
        <v>2775</v>
      </c>
      <c r="E11" s="33" t="s">
        <v>2843</v>
      </c>
      <c r="F11" s="38" t="s">
        <v>56</v>
      </c>
    </row>
    <row r="12" spans="1:6" ht="14.5" hidden="1" customHeight="1" x14ac:dyDescent="0.35">
      <c r="A12" s="33" t="s">
        <v>2744</v>
      </c>
      <c r="B12" s="33" t="s">
        <v>83</v>
      </c>
      <c r="C12" s="33" t="s">
        <v>2759</v>
      </c>
      <c r="D12" s="33" t="s">
        <v>2776</v>
      </c>
      <c r="E12" s="33" t="s">
        <v>2844</v>
      </c>
      <c r="F12" s="38" t="s">
        <v>48</v>
      </c>
    </row>
    <row r="13" spans="1:6" hidden="1" x14ac:dyDescent="0.35">
      <c r="A13" s="33" t="s">
        <v>2744</v>
      </c>
      <c r="B13" s="33" t="s">
        <v>84</v>
      </c>
      <c r="C13" s="33" t="s">
        <v>2759</v>
      </c>
      <c r="D13" s="33" t="s">
        <v>2775</v>
      </c>
      <c r="E13" s="33" t="s">
        <v>2843</v>
      </c>
      <c r="F13" s="38" t="s">
        <v>56</v>
      </c>
    </row>
    <row r="14" spans="1:6" hidden="1" x14ac:dyDescent="0.35">
      <c r="A14" s="33" t="s">
        <v>2745</v>
      </c>
      <c r="B14" s="33" t="s">
        <v>82</v>
      </c>
      <c r="C14" s="33" t="s">
        <v>2760</v>
      </c>
      <c r="D14" s="33" t="s">
        <v>2777</v>
      </c>
      <c r="E14" s="33" t="s">
        <v>2845</v>
      </c>
      <c r="F14" s="38" t="s">
        <v>50</v>
      </c>
    </row>
    <row r="15" spans="1:6" hidden="1" x14ac:dyDescent="0.35">
      <c r="A15" s="33" t="s">
        <v>2746</v>
      </c>
      <c r="B15" s="33" t="s">
        <v>81</v>
      </c>
      <c r="C15" s="33" t="s">
        <v>2761</v>
      </c>
      <c r="D15" s="33" t="s">
        <v>2778</v>
      </c>
      <c r="E15" s="33" t="s">
        <v>2846</v>
      </c>
      <c r="F15" s="38" t="s">
        <v>56</v>
      </c>
    </row>
    <row r="16" spans="1:6" hidden="1" x14ac:dyDescent="0.35">
      <c r="A16" s="33" t="s">
        <v>2746</v>
      </c>
      <c r="B16" s="33" t="s">
        <v>80</v>
      </c>
      <c r="C16" s="33" t="s">
        <v>2761</v>
      </c>
      <c r="D16" s="33" t="s">
        <v>2779</v>
      </c>
      <c r="E16" s="33" t="s">
        <v>2847</v>
      </c>
      <c r="F16" s="38" t="s">
        <v>2886</v>
      </c>
    </row>
    <row r="17" spans="1:6" hidden="1" x14ac:dyDescent="0.35">
      <c r="A17" s="33" t="s">
        <v>2746</v>
      </c>
      <c r="B17" s="33" t="s">
        <v>82</v>
      </c>
      <c r="C17" s="33" t="s">
        <v>2761</v>
      </c>
      <c r="D17" s="33" t="s">
        <v>2780</v>
      </c>
      <c r="E17" s="33" t="s">
        <v>2848</v>
      </c>
      <c r="F17" s="38" t="s">
        <v>2912</v>
      </c>
    </row>
    <row r="18" spans="1:6" hidden="1" x14ac:dyDescent="0.35">
      <c r="A18" s="33" t="s">
        <v>2746</v>
      </c>
      <c r="B18" s="33" t="s">
        <v>83</v>
      </c>
      <c r="C18" s="33" t="s">
        <v>2761</v>
      </c>
      <c r="D18" s="33" t="s">
        <v>2781</v>
      </c>
      <c r="E18" s="33" t="s">
        <v>2849</v>
      </c>
      <c r="F18" s="38" t="s">
        <v>48</v>
      </c>
    </row>
    <row r="19" spans="1:6" hidden="1" x14ac:dyDescent="0.35">
      <c r="A19" s="33" t="s">
        <v>2746</v>
      </c>
      <c r="B19" s="33" t="s">
        <v>19</v>
      </c>
      <c r="C19" s="33" t="s">
        <v>2761</v>
      </c>
      <c r="D19" s="33" t="s">
        <v>2782</v>
      </c>
      <c r="E19" s="33" t="s">
        <v>2847</v>
      </c>
      <c r="F19" s="38" t="s">
        <v>2468</v>
      </c>
    </row>
    <row r="20" spans="1:6" hidden="1" x14ac:dyDescent="0.35">
      <c r="A20" s="33" t="s">
        <v>2746</v>
      </c>
      <c r="B20" s="33" t="s">
        <v>84</v>
      </c>
      <c r="C20" s="33" t="s">
        <v>2761</v>
      </c>
      <c r="D20" s="33" t="s">
        <v>2782</v>
      </c>
      <c r="E20" s="33" t="s">
        <v>2847</v>
      </c>
      <c r="F20" s="38" t="s">
        <v>2468</v>
      </c>
    </row>
    <row r="21" spans="1:6" hidden="1" x14ac:dyDescent="0.35">
      <c r="A21" s="33" t="s">
        <v>2746</v>
      </c>
      <c r="B21" s="33" t="s">
        <v>86</v>
      </c>
      <c r="C21" s="33" t="s">
        <v>2761</v>
      </c>
      <c r="D21" s="33" t="s">
        <v>2783</v>
      </c>
      <c r="E21" s="33" t="s">
        <v>2850</v>
      </c>
      <c r="F21" s="38" t="s">
        <v>2739</v>
      </c>
    </row>
    <row r="22" spans="1:6" hidden="1" x14ac:dyDescent="0.35">
      <c r="A22" s="33" t="s">
        <v>2746</v>
      </c>
      <c r="B22" s="33" t="s">
        <v>89</v>
      </c>
      <c r="C22" s="33" t="s">
        <v>2761</v>
      </c>
      <c r="D22" s="33" t="s">
        <v>2783</v>
      </c>
      <c r="E22" s="33" t="s">
        <v>2850</v>
      </c>
      <c r="F22" s="38" t="s">
        <v>2739</v>
      </c>
    </row>
    <row r="23" spans="1:6" hidden="1" x14ac:dyDescent="0.35">
      <c r="A23" s="33" t="s">
        <v>2746</v>
      </c>
      <c r="B23" s="33" t="s">
        <v>87</v>
      </c>
      <c r="C23" s="33" t="s">
        <v>2761</v>
      </c>
      <c r="D23" s="33" t="s">
        <v>2784</v>
      </c>
      <c r="E23" s="33" t="s">
        <v>2851</v>
      </c>
      <c r="F23" s="38" t="s">
        <v>2740</v>
      </c>
    </row>
    <row r="24" spans="1:6" hidden="1" x14ac:dyDescent="0.35">
      <c r="A24" s="33" t="s">
        <v>2746</v>
      </c>
      <c r="B24" s="33" t="s">
        <v>88</v>
      </c>
      <c r="C24" s="33" t="s">
        <v>2761</v>
      </c>
      <c r="D24" s="33" t="s">
        <v>2784</v>
      </c>
      <c r="E24" s="33" t="s">
        <v>2851</v>
      </c>
      <c r="F24" s="38" t="s">
        <v>2740</v>
      </c>
    </row>
    <row r="25" spans="1:6" hidden="1" x14ac:dyDescent="0.35">
      <c r="A25" s="33" t="s">
        <v>2746</v>
      </c>
      <c r="B25" s="33" t="s">
        <v>90</v>
      </c>
      <c r="C25" s="33" t="s">
        <v>2761</v>
      </c>
      <c r="D25" s="33" t="s">
        <v>2785</v>
      </c>
      <c r="E25" s="33" t="s">
        <v>2847</v>
      </c>
      <c r="F25" s="38" t="s">
        <v>2554</v>
      </c>
    </row>
    <row r="26" spans="1:6" hidden="1" x14ac:dyDescent="0.35">
      <c r="A26" s="33" t="s">
        <v>2746</v>
      </c>
      <c r="B26" s="33" t="s">
        <v>869</v>
      </c>
      <c r="C26" s="33" t="s">
        <v>2761</v>
      </c>
      <c r="D26" s="33" t="s">
        <v>2786</v>
      </c>
      <c r="E26" s="33" t="s">
        <v>2852</v>
      </c>
      <c r="F26" s="38" t="s">
        <v>2569</v>
      </c>
    </row>
    <row r="27" spans="1:6" hidden="1" x14ac:dyDescent="0.35">
      <c r="A27" s="33" t="s">
        <v>2746</v>
      </c>
      <c r="B27" s="33" t="s">
        <v>2756</v>
      </c>
      <c r="C27" s="33" t="s">
        <v>2761</v>
      </c>
      <c r="D27" s="33" t="s">
        <v>2787</v>
      </c>
      <c r="E27" s="33" t="s">
        <v>2853</v>
      </c>
      <c r="F27" s="38" t="s">
        <v>54</v>
      </c>
    </row>
    <row r="28" spans="1:6" hidden="1" x14ac:dyDescent="0.35">
      <c r="A28" s="33" t="s">
        <v>2746</v>
      </c>
      <c r="B28" s="33" t="s">
        <v>93</v>
      </c>
      <c r="C28" s="33" t="s">
        <v>2761</v>
      </c>
      <c r="D28" s="33" t="s">
        <v>2788</v>
      </c>
      <c r="E28" s="33" t="s">
        <v>2843</v>
      </c>
      <c r="F28" s="38" t="s">
        <v>56</v>
      </c>
    </row>
    <row r="29" spans="1:6" hidden="1" x14ac:dyDescent="0.35">
      <c r="A29" s="33" t="s">
        <v>2746</v>
      </c>
      <c r="B29" s="33" t="s">
        <v>95</v>
      </c>
      <c r="C29" s="33" t="s">
        <v>2761</v>
      </c>
      <c r="D29" s="33" t="s">
        <v>2789</v>
      </c>
      <c r="E29" s="33" t="s">
        <v>2842</v>
      </c>
      <c r="F29" s="38" t="s">
        <v>56</v>
      </c>
    </row>
    <row r="30" spans="1:6" hidden="1" x14ac:dyDescent="0.35">
      <c r="A30" s="33" t="s">
        <v>2746</v>
      </c>
      <c r="B30" s="33" t="s">
        <v>110</v>
      </c>
      <c r="C30" s="33" t="s">
        <v>2761</v>
      </c>
      <c r="D30" s="33" t="s">
        <v>2778</v>
      </c>
      <c r="E30" s="33" t="s">
        <v>2846</v>
      </c>
      <c r="F30" s="38" t="s">
        <v>56</v>
      </c>
    </row>
    <row r="31" spans="1:6" hidden="1" x14ac:dyDescent="0.35">
      <c r="A31" s="33" t="s">
        <v>2746</v>
      </c>
      <c r="B31" s="33" t="s">
        <v>96</v>
      </c>
      <c r="C31" s="33" t="s">
        <v>2761</v>
      </c>
      <c r="D31" s="33" t="s">
        <v>2790</v>
      </c>
      <c r="E31" s="33" t="s">
        <v>2854</v>
      </c>
      <c r="F31" s="38" t="s">
        <v>50</v>
      </c>
    </row>
    <row r="32" spans="1:6" hidden="1" x14ac:dyDescent="0.35">
      <c r="A32" s="33" t="s">
        <v>2746</v>
      </c>
      <c r="B32" s="33" t="s">
        <v>97</v>
      </c>
      <c r="C32" s="33" t="s">
        <v>2761</v>
      </c>
      <c r="D32" s="33" t="s">
        <v>2791</v>
      </c>
      <c r="E32" s="33" t="s">
        <v>2854</v>
      </c>
      <c r="F32" s="38" t="s">
        <v>50</v>
      </c>
    </row>
    <row r="33" spans="1:6" hidden="1" x14ac:dyDescent="0.35">
      <c r="A33" s="33" t="s">
        <v>2747</v>
      </c>
      <c r="B33" s="33" t="s">
        <v>80</v>
      </c>
      <c r="C33" s="33" t="s">
        <v>2762</v>
      </c>
      <c r="D33" s="33" t="s">
        <v>2779</v>
      </c>
      <c r="E33" s="33" t="s">
        <v>2847</v>
      </c>
      <c r="F33" s="38" t="s">
        <v>281</v>
      </c>
    </row>
    <row r="34" spans="1:6" hidden="1" x14ac:dyDescent="0.35">
      <c r="A34" s="33" t="s">
        <v>2747</v>
      </c>
      <c r="B34" s="33" t="s">
        <v>82</v>
      </c>
      <c r="C34" s="33" t="s">
        <v>2762</v>
      </c>
      <c r="D34" s="33" t="s">
        <v>2780</v>
      </c>
      <c r="E34" s="33" t="s">
        <v>2848</v>
      </c>
      <c r="F34" s="38" t="s">
        <v>2912</v>
      </c>
    </row>
    <row r="35" spans="1:6" hidden="1" x14ac:dyDescent="0.35">
      <c r="A35" s="33" t="s">
        <v>2747</v>
      </c>
      <c r="B35" s="33" t="s">
        <v>83</v>
      </c>
      <c r="C35" s="33" t="s">
        <v>2762</v>
      </c>
      <c r="D35" s="33" t="s">
        <v>2781</v>
      </c>
      <c r="E35" s="33" t="s">
        <v>2849</v>
      </c>
      <c r="F35" s="38" t="s">
        <v>48</v>
      </c>
    </row>
    <row r="36" spans="1:6" hidden="1" x14ac:dyDescent="0.35">
      <c r="A36" s="33" t="s">
        <v>2747</v>
      </c>
      <c r="B36" s="33" t="s">
        <v>19</v>
      </c>
      <c r="C36" s="33" t="s">
        <v>2762</v>
      </c>
      <c r="D36" s="33" t="s">
        <v>2782</v>
      </c>
      <c r="E36" s="33" t="s">
        <v>2847</v>
      </c>
      <c r="F36" s="38" t="s">
        <v>2468</v>
      </c>
    </row>
    <row r="37" spans="1:6" hidden="1" x14ac:dyDescent="0.35">
      <c r="A37" s="33" t="s">
        <v>2747</v>
      </c>
      <c r="B37" s="33" t="s">
        <v>84</v>
      </c>
      <c r="C37" s="33" t="s">
        <v>2762</v>
      </c>
      <c r="D37" s="33" t="s">
        <v>2782</v>
      </c>
      <c r="E37" s="33" t="s">
        <v>2847</v>
      </c>
      <c r="F37" s="38" t="s">
        <v>2468</v>
      </c>
    </row>
    <row r="38" spans="1:6" hidden="1" x14ac:dyDescent="0.35">
      <c r="A38" s="33" t="s">
        <v>2747</v>
      </c>
      <c r="B38" s="33" t="s">
        <v>86</v>
      </c>
      <c r="C38" s="33" t="s">
        <v>2762</v>
      </c>
      <c r="D38" s="33" t="s">
        <v>2783</v>
      </c>
      <c r="E38" s="33" t="s">
        <v>2850</v>
      </c>
      <c r="F38" s="38" t="s">
        <v>2739</v>
      </c>
    </row>
    <row r="39" spans="1:6" hidden="1" x14ac:dyDescent="0.35">
      <c r="A39" s="33" t="s">
        <v>2747</v>
      </c>
      <c r="B39" s="33" t="s">
        <v>89</v>
      </c>
      <c r="C39" s="33" t="s">
        <v>2762</v>
      </c>
      <c r="D39" s="33" t="s">
        <v>2783</v>
      </c>
      <c r="E39" s="33" t="s">
        <v>2850</v>
      </c>
      <c r="F39" s="38" t="s">
        <v>2739</v>
      </c>
    </row>
    <row r="40" spans="1:6" hidden="1" x14ac:dyDescent="0.35">
      <c r="A40" s="33" t="s">
        <v>2747</v>
      </c>
      <c r="B40" s="33" t="s">
        <v>87</v>
      </c>
      <c r="C40" s="33" t="s">
        <v>2762</v>
      </c>
      <c r="D40" s="33" t="s">
        <v>2784</v>
      </c>
      <c r="E40" s="33" t="s">
        <v>2851</v>
      </c>
      <c r="F40" s="38" t="s">
        <v>2740</v>
      </c>
    </row>
    <row r="41" spans="1:6" hidden="1" x14ac:dyDescent="0.35">
      <c r="A41" s="33" t="s">
        <v>2747</v>
      </c>
      <c r="B41" s="33" t="s">
        <v>88</v>
      </c>
      <c r="C41" s="33" t="s">
        <v>2762</v>
      </c>
      <c r="D41" s="33" t="s">
        <v>2784</v>
      </c>
      <c r="E41" s="33" t="s">
        <v>2851</v>
      </c>
      <c r="F41" s="38" t="s">
        <v>2740</v>
      </c>
    </row>
    <row r="42" spans="1:6" hidden="1" x14ac:dyDescent="0.35">
      <c r="A42" s="33" t="s">
        <v>2747</v>
      </c>
      <c r="B42" s="33" t="s">
        <v>90</v>
      </c>
      <c r="C42" s="33" t="s">
        <v>2762</v>
      </c>
      <c r="D42" s="33" t="s">
        <v>2785</v>
      </c>
      <c r="E42" s="33" t="s">
        <v>2847</v>
      </c>
      <c r="F42" s="38" t="s">
        <v>2554</v>
      </c>
    </row>
    <row r="43" spans="1:6" hidden="1" x14ac:dyDescent="0.35">
      <c r="A43" s="33" t="s">
        <v>2747</v>
      </c>
      <c r="B43" s="33" t="s">
        <v>869</v>
      </c>
      <c r="C43" s="33" t="s">
        <v>2762</v>
      </c>
      <c r="D43" s="33" t="s">
        <v>2786</v>
      </c>
      <c r="E43" s="33" t="s">
        <v>2852</v>
      </c>
      <c r="F43" s="38" t="s">
        <v>2569</v>
      </c>
    </row>
    <row r="44" spans="1:6" hidden="1" x14ac:dyDescent="0.35">
      <c r="A44" s="33" t="s">
        <v>2747</v>
      </c>
      <c r="B44" s="33" t="s">
        <v>2756</v>
      </c>
      <c r="C44" s="33" t="s">
        <v>2762</v>
      </c>
      <c r="D44" s="33" t="s">
        <v>2787</v>
      </c>
      <c r="E44" s="33" t="s">
        <v>2853</v>
      </c>
      <c r="F44" s="38" t="s">
        <v>54</v>
      </c>
    </row>
    <row r="45" spans="1:6" hidden="1" x14ac:dyDescent="0.35">
      <c r="A45" s="33" t="s">
        <v>2747</v>
      </c>
      <c r="B45" s="33" t="s">
        <v>93</v>
      </c>
      <c r="C45" s="33" t="s">
        <v>2762</v>
      </c>
      <c r="D45" s="33" t="s">
        <v>2788</v>
      </c>
      <c r="E45" s="33" t="s">
        <v>2843</v>
      </c>
      <c r="F45" s="38" t="s">
        <v>56</v>
      </c>
    </row>
    <row r="46" spans="1:6" hidden="1" x14ac:dyDescent="0.35">
      <c r="A46" s="33" t="s">
        <v>2747</v>
      </c>
      <c r="B46" s="33" t="s">
        <v>95</v>
      </c>
      <c r="C46" s="33" t="s">
        <v>2762</v>
      </c>
      <c r="D46" s="33" t="s">
        <v>2789</v>
      </c>
      <c r="E46" s="33" t="s">
        <v>2842</v>
      </c>
      <c r="F46" s="38" t="s">
        <v>56</v>
      </c>
    </row>
    <row r="47" spans="1:6" hidden="1" x14ac:dyDescent="0.35">
      <c r="A47" s="33" t="s">
        <v>2747</v>
      </c>
      <c r="B47" s="33" t="s">
        <v>110</v>
      </c>
      <c r="C47" s="33" t="s">
        <v>2762</v>
      </c>
      <c r="D47" s="33" t="s">
        <v>2778</v>
      </c>
      <c r="E47" s="33" t="s">
        <v>2842</v>
      </c>
      <c r="F47" s="38" t="s">
        <v>56</v>
      </c>
    </row>
    <row r="48" spans="1:6" hidden="1" x14ac:dyDescent="0.35">
      <c r="A48" s="33" t="s">
        <v>2747</v>
      </c>
      <c r="B48" s="33" t="s">
        <v>96</v>
      </c>
      <c r="C48" s="33" t="s">
        <v>2762</v>
      </c>
      <c r="D48" s="33" t="s">
        <v>2790</v>
      </c>
      <c r="E48" s="33" t="s">
        <v>2854</v>
      </c>
      <c r="F48" s="38" t="s">
        <v>50</v>
      </c>
    </row>
    <row r="49" spans="1:6" hidden="1" x14ac:dyDescent="0.35">
      <c r="A49" s="33" t="s">
        <v>2747</v>
      </c>
      <c r="B49" s="33" t="s">
        <v>97</v>
      </c>
      <c r="C49" s="33" t="s">
        <v>2762</v>
      </c>
      <c r="D49" s="33" t="s">
        <v>2791</v>
      </c>
      <c r="E49" s="33" t="s">
        <v>2854</v>
      </c>
      <c r="F49" s="38" t="s">
        <v>50</v>
      </c>
    </row>
    <row r="50" spans="1:6" hidden="1" x14ac:dyDescent="0.35">
      <c r="A50" s="33" t="s">
        <v>2748</v>
      </c>
      <c r="B50" s="33" t="s">
        <v>80</v>
      </c>
      <c r="C50" s="33" t="s">
        <v>2763</v>
      </c>
      <c r="D50" s="33" t="s">
        <v>2792</v>
      </c>
      <c r="E50" s="33" t="s">
        <v>2845</v>
      </c>
      <c r="F50" s="38" t="s">
        <v>50</v>
      </c>
    </row>
    <row r="51" spans="1:6" hidden="1" x14ac:dyDescent="0.35">
      <c r="A51" s="33" t="s">
        <v>2748</v>
      </c>
      <c r="B51" s="33" t="s">
        <v>83</v>
      </c>
      <c r="C51" s="33" t="s">
        <v>2763</v>
      </c>
      <c r="D51" s="33" t="s">
        <v>2793</v>
      </c>
      <c r="E51" s="33" t="s">
        <v>2838</v>
      </c>
      <c r="F51" s="38" t="s">
        <v>48</v>
      </c>
    </row>
    <row r="52" spans="1:6" hidden="1" x14ac:dyDescent="0.35">
      <c r="A52" s="33" t="s">
        <v>2749</v>
      </c>
      <c r="B52" s="33" t="s">
        <v>82</v>
      </c>
      <c r="C52" s="33" t="s">
        <v>2764</v>
      </c>
      <c r="D52" s="33" t="s">
        <v>2764</v>
      </c>
      <c r="E52" s="33" t="s">
        <v>2855</v>
      </c>
      <c r="F52" s="38" t="s">
        <v>54</v>
      </c>
    </row>
    <row r="53" spans="1:6" hidden="1" x14ac:dyDescent="0.35">
      <c r="A53" s="33" t="s">
        <v>2750</v>
      </c>
      <c r="B53" s="33" t="s">
        <v>80</v>
      </c>
      <c r="C53" s="33" t="s">
        <v>2765</v>
      </c>
      <c r="D53" s="33" t="s">
        <v>2794</v>
      </c>
      <c r="E53" s="33" t="s">
        <v>2842</v>
      </c>
      <c r="F53" s="38" t="s">
        <v>56</v>
      </c>
    </row>
    <row r="54" spans="1:6" hidden="1" x14ac:dyDescent="0.35">
      <c r="A54" s="33" t="s">
        <v>2750</v>
      </c>
      <c r="B54" s="33" t="s">
        <v>82</v>
      </c>
      <c r="C54" s="33" t="s">
        <v>2765</v>
      </c>
      <c r="D54" s="33" t="s">
        <v>2795</v>
      </c>
      <c r="E54" s="33" t="s">
        <v>2856</v>
      </c>
      <c r="F54" s="38" t="s">
        <v>56</v>
      </c>
    </row>
    <row r="55" spans="1:6" hidden="1" x14ac:dyDescent="0.35">
      <c r="A55" s="33" t="s">
        <v>2750</v>
      </c>
      <c r="B55" s="33" t="s">
        <v>83</v>
      </c>
      <c r="C55" s="33" t="s">
        <v>2765</v>
      </c>
      <c r="D55" s="33" t="s">
        <v>2796</v>
      </c>
      <c r="E55" s="33" t="s">
        <v>2838</v>
      </c>
      <c r="F55" s="38" t="s">
        <v>48</v>
      </c>
    </row>
    <row r="56" spans="1:6" hidden="1" x14ac:dyDescent="0.35">
      <c r="A56" s="33" t="s">
        <v>2751</v>
      </c>
      <c r="B56" s="33" t="s">
        <v>85</v>
      </c>
      <c r="C56" s="33" t="s">
        <v>2766</v>
      </c>
      <c r="D56" s="33" t="s">
        <v>2797</v>
      </c>
      <c r="E56" s="33" t="s">
        <v>2846</v>
      </c>
      <c r="F56" s="38" t="s">
        <v>56</v>
      </c>
    </row>
    <row r="57" spans="1:6" hidden="1" x14ac:dyDescent="0.35">
      <c r="A57" s="33" t="s">
        <v>2751</v>
      </c>
      <c r="B57" s="33" t="s">
        <v>86</v>
      </c>
      <c r="C57" s="33" t="s">
        <v>2766</v>
      </c>
      <c r="D57" s="33" t="s">
        <v>2798</v>
      </c>
      <c r="E57" s="33" t="s">
        <v>2842</v>
      </c>
      <c r="F57" s="38" t="s">
        <v>56</v>
      </c>
    </row>
    <row r="58" spans="1:6" hidden="1" x14ac:dyDescent="0.35">
      <c r="A58" s="33" t="s">
        <v>2751</v>
      </c>
      <c r="B58" s="33" t="s">
        <v>89</v>
      </c>
      <c r="C58" s="33" t="s">
        <v>2766</v>
      </c>
      <c r="D58" s="33" t="s">
        <v>2799</v>
      </c>
      <c r="E58" s="33" t="s">
        <v>2843</v>
      </c>
      <c r="F58" s="38" t="s">
        <v>56</v>
      </c>
    </row>
    <row r="59" spans="1:6" hidden="1" x14ac:dyDescent="0.35">
      <c r="A59" s="33" t="s">
        <v>2751</v>
      </c>
      <c r="B59" s="33" t="s">
        <v>87</v>
      </c>
      <c r="C59" s="33" t="s">
        <v>2766</v>
      </c>
      <c r="D59" s="33" t="s">
        <v>2800</v>
      </c>
      <c r="E59" s="33" t="s">
        <v>2859</v>
      </c>
      <c r="F59" s="38" t="s">
        <v>56</v>
      </c>
    </row>
    <row r="60" spans="1:6" hidden="1" x14ac:dyDescent="0.35">
      <c r="A60" s="33" t="s">
        <v>2751</v>
      </c>
      <c r="B60" s="33" t="s">
        <v>91</v>
      </c>
      <c r="C60" s="33" t="s">
        <v>2766</v>
      </c>
      <c r="D60" s="33" t="s">
        <v>2801</v>
      </c>
      <c r="E60" s="33" t="s">
        <v>2854</v>
      </c>
      <c r="F60" s="38" t="s">
        <v>50</v>
      </c>
    </row>
    <row r="61" spans="1:6" hidden="1" x14ac:dyDescent="0.35">
      <c r="A61" s="33" t="s">
        <v>2751</v>
      </c>
      <c r="B61" s="33" t="s">
        <v>92</v>
      </c>
      <c r="C61" s="33" t="s">
        <v>2766</v>
      </c>
      <c r="D61" s="33" t="s">
        <v>2802</v>
      </c>
      <c r="E61" s="33" t="s">
        <v>2845</v>
      </c>
      <c r="F61" s="38" t="s">
        <v>50</v>
      </c>
    </row>
    <row r="62" spans="1:6" hidden="1" x14ac:dyDescent="0.35">
      <c r="A62" s="33" t="s">
        <v>2751</v>
      </c>
      <c r="B62" s="33" t="s">
        <v>93</v>
      </c>
      <c r="C62" s="33" t="s">
        <v>2766</v>
      </c>
      <c r="D62" s="33" t="s">
        <v>2803</v>
      </c>
      <c r="E62" s="33" t="s">
        <v>2860</v>
      </c>
      <c r="F62" s="38" t="s">
        <v>50</v>
      </c>
    </row>
    <row r="63" spans="1:6" hidden="1" x14ac:dyDescent="0.35">
      <c r="A63" s="33" t="s">
        <v>2751</v>
      </c>
      <c r="B63" s="33" t="s">
        <v>94</v>
      </c>
      <c r="C63" s="33" t="s">
        <v>2766</v>
      </c>
      <c r="D63" s="33" t="s">
        <v>2804</v>
      </c>
      <c r="E63" s="33" t="s">
        <v>2852</v>
      </c>
      <c r="F63" s="38" t="s">
        <v>2569</v>
      </c>
    </row>
    <row r="64" spans="1:6" hidden="1" x14ac:dyDescent="0.35">
      <c r="A64" s="33" t="s">
        <v>2751</v>
      </c>
      <c r="B64" s="33" t="s">
        <v>95</v>
      </c>
      <c r="C64" s="33" t="s">
        <v>2766</v>
      </c>
      <c r="D64" s="33" t="s">
        <v>2805</v>
      </c>
      <c r="E64" s="33" t="s">
        <v>2841</v>
      </c>
      <c r="F64" s="38" t="s">
        <v>2569</v>
      </c>
    </row>
    <row r="65" spans="1:6" hidden="1" x14ac:dyDescent="0.35">
      <c r="A65" s="33" t="s">
        <v>2751</v>
      </c>
      <c r="B65" s="33" t="s">
        <v>96</v>
      </c>
      <c r="C65" s="33" t="s">
        <v>2766</v>
      </c>
      <c r="D65" s="33" t="s">
        <v>2806</v>
      </c>
      <c r="E65" s="33" t="s">
        <v>2851</v>
      </c>
      <c r="F65" s="38" t="s">
        <v>2740</v>
      </c>
    </row>
    <row r="66" spans="1:6" hidden="1" x14ac:dyDescent="0.35">
      <c r="A66" s="33" t="s">
        <v>2751</v>
      </c>
      <c r="B66" s="33" t="s">
        <v>97</v>
      </c>
      <c r="C66" s="33" t="s">
        <v>2766</v>
      </c>
      <c r="D66" s="33" t="s">
        <v>2807</v>
      </c>
      <c r="E66" s="33" t="s">
        <v>2861</v>
      </c>
      <c r="F66" s="38" t="s">
        <v>2740</v>
      </c>
    </row>
    <row r="67" spans="1:6" hidden="1" x14ac:dyDescent="0.35">
      <c r="A67" s="33" t="s">
        <v>2751</v>
      </c>
      <c r="B67" s="33" t="s">
        <v>98</v>
      </c>
      <c r="C67" s="33" t="s">
        <v>2766</v>
      </c>
      <c r="D67" s="33" t="s">
        <v>2808</v>
      </c>
      <c r="E67" s="33" t="s">
        <v>2862</v>
      </c>
      <c r="F67" s="38" t="s">
        <v>2738</v>
      </c>
    </row>
    <row r="68" spans="1:6" hidden="1" x14ac:dyDescent="0.35">
      <c r="A68" s="33" t="s">
        <v>2751</v>
      </c>
      <c r="B68" s="33" t="s">
        <v>99</v>
      </c>
      <c r="C68" s="33" t="s">
        <v>2766</v>
      </c>
      <c r="D68" s="33" t="s">
        <v>2809</v>
      </c>
      <c r="E68" s="33" t="s">
        <v>2849</v>
      </c>
      <c r="F68" s="38" t="s">
        <v>48</v>
      </c>
    </row>
    <row r="69" spans="1:6" hidden="1" x14ac:dyDescent="0.35">
      <c r="A69" s="33" t="s">
        <v>2751</v>
      </c>
      <c r="B69" s="33" t="s">
        <v>100</v>
      </c>
      <c r="C69" s="33" t="s">
        <v>2766</v>
      </c>
      <c r="D69" s="33" t="s">
        <v>2810</v>
      </c>
      <c r="E69" s="33" t="s">
        <v>2844</v>
      </c>
      <c r="F69" s="38" t="s">
        <v>48</v>
      </c>
    </row>
    <row r="70" spans="1:6" hidden="1" x14ac:dyDescent="0.35">
      <c r="A70" s="33" t="s">
        <v>2751</v>
      </c>
      <c r="B70" s="33" t="s">
        <v>101</v>
      </c>
      <c r="C70" s="33" t="s">
        <v>2766</v>
      </c>
      <c r="D70" s="33" t="s">
        <v>2811</v>
      </c>
      <c r="E70" s="33" t="s">
        <v>2839</v>
      </c>
      <c r="F70" s="38" t="s">
        <v>48</v>
      </c>
    </row>
    <row r="71" spans="1:6" hidden="1" x14ac:dyDescent="0.35">
      <c r="A71" s="33" t="s">
        <v>2751</v>
      </c>
      <c r="B71" s="33" t="s">
        <v>102</v>
      </c>
      <c r="C71" s="33" t="s">
        <v>2766</v>
      </c>
      <c r="D71" s="33" t="s">
        <v>2812</v>
      </c>
      <c r="E71" s="33" t="s">
        <v>2863</v>
      </c>
      <c r="F71" s="38" t="s">
        <v>54</v>
      </c>
    </row>
    <row r="72" spans="1:6" hidden="1" x14ac:dyDescent="0.35">
      <c r="A72" s="33" t="s">
        <v>2751</v>
      </c>
      <c r="B72" s="33" t="s">
        <v>103</v>
      </c>
      <c r="C72" s="33" t="s">
        <v>2766</v>
      </c>
      <c r="D72" s="33" t="s">
        <v>2813</v>
      </c>
      <c r="E72" s="33" t="s">
        <v>2864</v>
      </c>
      <c r="F72" s="38" t="s">
        <v>54</v>
      </c>
    </row>
    <row r="73" spans="1:6" hidden="1" x14ac:dyDescent="0.35">
      <c r="A73" s="33" t="s">
        <v>2751</v>
      </c>
      <c r="B73" s="33" t="s">
        <v>104</v>
      </c>
      <c r="C73" s="33" t="s">
        <v>2766</v>
      </c>
      <c r="D73" s="33" t="s">
        <v>2814</v>
      </c>
      <c r="E73" s="33" t="s">
        <v>2865</v>
      </c>
      <c r="F73" s="38" t="s">
        <v>54</v>
      </c>
    </row>
    <row r="74" spans="1:6" hidden="1" x14ac:dyDescent="0.35">
      <c r="A74" s="33" t="s">
        <v>2751</v>
      </c>
      <c r="B74" s="33" t="s">
        <v>105</v>
      </c>
      <c r="C74" s="33" t="s">
        <v>2766</v>
      </c>
      <c r="D74" s="33" t="s">
        <v>2815</v>
      </c>
      <c r="E74" s="33" t="s">
        <v>2866</v>
      </c>
      <c r="F74" s="38" t="s">
        <v>54</v>
      </c>
    </row>
    <row r="75" spans="1:6" hidden="1" x14ac:dyDescent="0.35">
      <c r="A75" s="33" t="s">
        <v>2751</v>
      </c>
      <c r="B75" s="33" t="s">
        <v>106</v>
      </c>
      <c r="C75" s="33" t="s">
        <v>2766</v>
      </c>
      <c r="D75" s="33" t="s">
        <v>2813</v>
      </c>
      <c r="E75" s="33" t="s">
        <v>2855</v>
      </c>
      <c r="F75" s="38" t="s">
        <v>54</v>
      </c>
    </row>
    <row r="76" spans="1:6" hidden="1" x14ac:dyDescent="0.35">
      <c r="A76" s="33" t="s">
        <v>2751</v>
      </c>
      <c r="B76" s="33" t="s">
        <v>147</v>
      </c>
      <c r="C76" s="33" t="s">
        <v>2766</v>
      </c>
      <c r="D76" s="33" t="s">
        <v>2812</v>
      </c>
      <c r="E76" s="33" t="s">
        <v>2853</v>
      </c>
      <c r="F76" s="38" t="s">
        <v>54</v>
      </c>
    </row>
    <row r="77" spans="1:6" hidden="1" x14ac:dyDescent="0.35">
      <c r="A77" s="33" t="s">
        <v>2752</v>
      </c>
      <c r="B77" s="33" t="s">
        <v>80</v>
      </c>
      <c r="C77" s="33" t="s">
        <v>2767</v>
      </c>
      <c r="D77" s="33" t="s">
        <v>2816</v>
      </c>
      <c r="E77" s="33" t="s">
        <v>2851</v>
      </c>
      <c r="F77" s="38" t="s">
        <v>2740</v>
      </c>
    </row>
    <row r="78" spans="1:6" hidden="1" x14ac:dyDescent="0.35">
      <c r="A78" s="33" t="s">
        <v>2752</v>
      </c>
      <c r="B78" s="33" t="s">
        <v>19</v>
      </c>
      <c r="C78" s="33" t="s">
        <v>2767</v>
      </c>
      <c r="D78" s="33" t="s">
        <v>2817</v>
      </c>
      <c r="E78" s="33" t="s">
        <v>2853</v>
      </c>
      <c r="F78" s="38" t="s">
        <v>54</v>
      </c>
    </row>
    <row r="79" spans="1:6" hidden="1" x14ac:dyDescent="0.35">
      <c r="A79" s="33" t="s">
        <v>2752</v>
      </c>
      <c r="B79" s="33" t="s">
        <v>87</v>
      </c>
      <c r="C79" s="33" t="s">
        <v>2767</v>
      </c>
      <c r="D79" s="33" t="s">
        <v>2818</v>
      </c>
      <c r="E79" s="33" t="s">
        <v>2849</v>
      </c>
      <c r="F79" s="38" t="s">
        <v>48</v>
      </c>
    </row>
    <row r="80" spans="1:6" hidden="1" x14ac:dyDescent="0.35">
      <c r="A80" s="33" t="s">
        <v>2752</v>
      </c>
      <c r="B80" s="33" t="s">
        <v>88</v>
      </c>
      <c r="C80" s="33" t="s">
        <v>2767</v>
      </c>
      <c r="D80" s="33" t="s">
        <v>2819</v>
      </c>
      <c r="E80" s="33" t="s">
        <v>2846</v>
      </c>
      <c r="F80" s="38" t="s">
        <v>56</v>
      </c>
    </row>
    <row r="81" spans="1:6" hidden="1" x14ac:dyDescent="0.35">
      <c r="A81" s="33" t="s">
        <v>2752</v>
      </c>
      <c r="B81" s="33" t="s">
        <v>90</v>
      </c>
      <c r="C81" s="33" t="s">
        <v>2767</v>
      </c>
      <c r="D81" s="33" t="s">
        <v>2820</v>
      </c>
      <c r="E81" s="33" t="s">
        <v>2868</v>
      </c>
      <c r="F81" s="38" t="s">
        <v>2554</v>
      </c>
    </row>
    <row r="82" spans="1:6" hidden="1" x14ac:dyDescent="0.35">
      <c r="A82" s="33" t="s">
        <v>2752</v>
      </c>
      <c r="B82" s="33" t="s">
        <v>92</v>
      </c>
      <c r="C82" s="33" t="s">
        <v>2767</v>
      </c>
      <c r="D82" s="33" t="s">
        <v>2821</v>
      </c>
      <c r="E82" s="33" t="s">
        <v>2854</v>
      </c>
      <c r="F82" s="38" t="s">
        <v>50</v>
      </c>
    </row>
    <row r="83" spans="1:6" hidden="1" x14ac:dyDescent="0.35">
      <c r="A83" s="33" t="s">
        <v>2752</v>
      </c>
      <c r="B83" s="33" t="s">
        <v>93</v>
      </c>
      <c r="C83" s="33" t="s">
        <v>2767</v>
      </c>
      <c r="D83" s="33" t="s">
        <v>2822</v>
      </c>
      <c r="E83" s="33" t="s">
        <v>2837</v>
      </c>
      <c r="F83" s="38" t="s">
        <v>742</v>
      </c>
    </row>
    <row r="84" spans="1:6" hidden="1" x14ac:dyDescent="0.35">
      <c r="A84" s="33" t="s">
        <v>2753</v>
      </c>
      <c r="B84" s="33" t="s">
        <v>80</v>
      </c>
      <c r="C84" s="33" t="s">
        <v>2768</v>
      </c>
      <c r="D84" s="33" t="s">
        <v>2823</v>
      </c>
      <c r="E84" s="33" t="s">
        <v>2855</v>
      </c>
      <c r="F84" s="38" t="s">
        <v>54</v>
      </c>
    </row>
    <row r="85" spans="1:6" hidden="1" x14ac:dyDescent="0.35">
      <c r="A85" s="33" t="s">
        <v>2753</v>
      </c>
      <c r="B85" s="33" t="s">
        <v>83</v>
      </c>
      <c r="C85" s="33" t="s">
        <v>2768</v>
      </c>
      <c r="D85" s="33" t="s">
        <v>2824</v>
      </c>
      <c r="E85" s="33" t="s">
        <v>2838</v>
      </c>
      <c r="F85" s="38" t="s">
        <v>48</v>
      </c>
    </row>
    <row r="86" spans="1:6" hidden="1" x14ac:dyDescent="0.35">
      <c r="A86" s="33" t="s">
        <v>2344</v>
      </c>
      <c r="B86" s="33" t="s">
        <v>80</v>
      </c>
      <c r="C86" s="33" t="s">
        <v>2345</v>
      </c>
      <c r="D86" s="33" t="s">
        <v>2346</v>
      </c>
      <c r="E86" s="33" t="s">
        <v>2845</v>
      </c>
      <c r="F86" s="38" t="s">
        <v>50</v>
      </c>
    </row>
    <row r="87" spans="1:6" hidden="1" x14ac:dyDescent="0.35">
      <c r="A87" s="33" t="s">
        <v>2344</v>
      </c>
      <c r="B87" s="33" t="s">
        <v>82</v>
      </c>
      <c r="C87" s="33" t="s">
        <v>2345</v>
      </c>
      <c r="D87" s="33" t="s">
        <v>2347</v>
      </c>
      <c r="E87" s="33" t="s">
        <v>2843</v>
      </c>
      <c r="F87" s="38" t="s">
        <v>56</v>
      </c>
    </row>
    <row r="88" spans="1:6" hidden="1" x14ac:dyDescent="0.35">
      <c r="A88" s="33" t="s">
        <v>2344</v>
      </c>
      <c r="B88" s="33" t="s">
        <v>83</v>
      </c>
      <c r="C88" s="33" t="s">
        <v>2345</v>
      </c>
      <c r="D88" s="33" t="s">
        <v>2348</v>
      </c>
      <c r="E88" s="33" t="s">
        <v>2845</v>
      </c>
      <c r="F88" s="38" t="s">
        <v>50</v>
      </c>
    </row>
    <row r="89" spans="1:6" hidden="1" x14ac:dyDescent="0.35">
      <c r="A89" s="33" t="s">
        <v>2344</v>
      </c>
      <c r="B89" s="33" t="s">
        <v>84</v>
      </c>
      <c r="C89" s="33" t="s">
        <v>2345</v>
      </c>
      <c r="D89" s="33" t="s">
        <v>2349</v>
      </c>
      <c r="E89" s="33" t="s">
        <v>2838</v>
      </c>
      <c r="F89" s="38" t="s">
        <v>48</v>
      </c>
    </row>
    <row r="90" spans="1:6" hidden="1" x14ac:dyDescent="0.35">
      <c r="A90" s="33" t="s">
        <v>2344</v>
      </c>
      <c r="B90" s="33" t="s">
        <v>85</v>
      </c>
      <c r="C90" s="33" t="s">
        <v>2345</v>
      </c>
      <c r="D90" s="33" t="s">
        <v>2350</v>
      </c>
      <c r="E90" s="33" t="s">
        <v>2839</v>
      </c>
      <c r="F90" s="38" t="s">
        <v>48</v>
      </c>
    </row>
    <row r="91" spans="1:6" hidden="1" x14ac:dyDescent="0.35">
      <c r="A91" s="33" t="s">
        <v>2344</v>
      </c>
      <c r="B91" s="33" t="s">
        <v>86</v>
      </c>
      <c r="C91" s="33" t="s">
        <v>2345</v>
      </c>
      <c r="D91" s="33" t="s">
        <v>2351</v>
      </c>
      <c r="E91" s="33" t="s">
        <v>2843</v>
      </c>
      <c r="F91" s="38" t="s">
        <v>56</v>
      </c>
    </row>
    <row r="92" spans="1:6" hidden="1" x14ac:dyDescent="0.35">
      <c r="A92" s="33" t="s">
        <v>2754</v>
      </c>
      <c r="B92" s="33" t="s">
        <v>82</v>
      </c>
      <c r="C92" s="33" t="s">
        <v>2769</v>
      </c>
      <c r="D92" s="33" t="s">
        <v>2825</v>
      </c>
      <c r="E92" s="33" t="s">
        <v>2843</v>
      </c>
      <c r="F92" s="38" t="s">
        <v>56</v>
      </c>
    </row>
    <row r="93" spans="1:6" hidden="1" x14ac:dyDescent="0.35">
      <c r="A93" s="33" t="s">
        <v>2754</v>
      </c>
      <c r="B93" s="33" t="s">
        <v>83</v>
      </c>
      <c r="C93" s="33" t="s">
        <v>2769</v>
      </c>
      <c r="D93" s="33" t="s">
        <v>2826</v>
      </c>
      <c r="E93" s="33" t="s">
        <v>2861</v>
      </c>
      <c r="F93" s="38" t="s">
        <v>2740</v>
      </c>
    </row>
    <row r="94" spans="1:6" x14ac:dyDescent="0.35">
      <c r="A94" s="33" t="s">
        <v>2754</v>
      </c>
      <c r="B94" s="33" t="s">
        <v>19</v>
      </c>
      <c r="C94" s="33" t="s">
        <v>2769</v>
      </c>
      <c r="D94" s="33" t="s">
        <v>2827</v>
      </c>
      <c r="E94" s="33" t="s">
        <v>2879</v>
      </c>
      <c r="F94" s="38" t="s">
        <v>1687</v>
      </c>
    </row>
    <row r="95" spans="1:6" hidden="1" x14ac:dyDescent="0.35">
      <c r="A95" s="33" t="s">
        <v>2414</v>
      </c>
      <c r="B95" s="33" t="s">
        <v>80</v>
      </c>
      <c r="C95" s="33" t="s">
        <v>2415</v>
      </c>
      <c r="D95" s="33" t="s">
        <v>2416</v>
      </c>
      <c r="E95" s="33" t="s">
        <v>2860</v>
      </c>
      <c r="F95" s="38" t="s">
        <v>50</v>
      </c>
    </row>
    <row r="96" spans="1:6" hidden="1" x14ac:dyDescent="0.35">
      <c r="A96" s="33" t="s">
        <v>2414</v>
      </c>
      <c r="B96" s="33" t="s">
        <v>108</v>
      </c>
      <c r="C96" s="33" t="s">
        <v>2415</v>
      </c>
      <c r="D96" s="33" t="s">
        <v>2417</v>
      </c>
      <c r="E96" s="33" t="s">
        <v>2870</v>
      </c>
      <c r="F96" s="38" t="s">
        <v>56</v>
      </c>
    </row>
    <row r="97" spans="1:6" hidden="1" x14ac:dyDescent="0.35">
      <c r="A97" s="33" t="s">
        <v>2414</v>
      </c>
      <c r="B97" s="33" t="s">
        <v>83</v>
      </c>
      <c r="C97" s="33" t="s">
        <v>2415</v>
      </c>
      <c r="D97" s="33" t="s">
        <v>2415</v>
      </c>
      <c r="E97" s="33" t="s">
        <v>2860</v>
      </c>
      <c r="F97" s="38" t="s">
        <v>50</v>
      </c>
    </row>
    <row r="98" spans="1:6" hidden="1" x14ac:dyDescent="0.35">
      <c r="A98" s="33" t="s">
        <v>2414</v>
      </c>
      <c r="B98" s="33" t="s">
        <v>215</v>
      </c>
      <c r="C98" s="33" t="s">
        <v>2415</v>
      </c>
      <c r="D98" s="33" t="s">
        <v>2418</v>
      </c>
      <c r="E98" s="33" t="s">
        <v>2861</v>
      </c>
      <c r="F98" s="38" t="s">
        <v>2740</v>
      </c>
    </row>
    <row r="99" spans="1:6" hidden="1" x14ac:dyDescent="0.35">
      <c r="A99" s="33" t="s">
        <v>2414</v>
      </c>
      <c r="B99" s="33" t="s">
        <v>84</v>
      </c>
      <c r="C99" s="33" t="s">
        <v>2415</v>
      </c>
      <c r="D99" s="33" t="s">
        <v>2419</v>
      </c>
      <c r="E99" s="33" t="s">
        <v>2859</v>
      </c>
      <c r="F99" s="38" t="s">
        <v>56</v>
      </c>
    </row>
    <row r="100" spans="1:6" hidden="1" x14ac:dyDescent="0.35">
      <c r="A100" s="33" t="s">
        <v>2420</v>
      </c>
      <c r="B100" s="33" t="s">
        <v>80</v>
      </c>
      <c r="C100" s="33" t="s">
        <v>2421</v>
      </c>
      <c r="D100" s="33" t="s">
        <v>2421</v>
      </c>
      <c r="E100" s="33" t="s">
        <v>2862</v>
      </c>
      <c r="F100" s="38" t="s">
        <v>2738</v>
      </c>
    </row>
    <row r="101" spans="1:6" hidden="1" x14ac:dyDescent="0.35">
      <c r="A101" s="33" t="s">
        <v>2422</v>
      </c>
      <c r="B101" s="33" t="s">
        <v>80</v>
      </c>
      <c r="C101" s="33" t="s">
        <v>2423</v>
      </c>
      <c r="D101" s="33" t="s">
        <v>2423</v>
      </c>
      <c r="E101" s="33" t="s">
        <v>2871</v>
      </c>
      <c r="F101" s="38" t="s">
        <v>54</v>
      </c>
    </row>
    <row r="102" spans="1:6" hidden="1" x14ac:dyDescent="0.35">
      <c r="A102" s="33" t="s">
        <v>2424</v>
      </c>
      <c r="B102" s="33" t="s">
        <v>80</v>
      </c>
      <c r="C102" s="33" t="s">
        <v>2425</v>
      </c>
      <c r="D102" s="33" t="s">
        <v>2425</v>
      </c>
      <c r="E102" s="33" t="s">
        <v>2871</v>
      </c>
      <c r="F102" s="38" t="s">
        <v>54</v>
      </c>
    </row>
    <row r="103" spans="1:6" hidden="1" x14ac:dyDescent="0.35">
      <c r="A103" s="33" t="s">
        <v>2426</v>
      </c>
      <c r="B103" s="33" t="s">
        <v>80</v>
      </c>
      <c r="C103" s="33" t="s">
        <v>2427</v>
      </c>
      <c r="D103" s="33" t="s">
        <v>2427</v>
      </c>
      <c r="E103" s="33" t="s">
        <v>2871</v>
      </c>
      <c r="F103" s="38" t="s">
        <v>54</v>
      </c>
    </row>
    <row r="104" spans="1:6" hidden="1" x14ac:dyDescent="0.35">
      <c r="A104" s="33" t="s">
        <v>2428</v>
      </c>
      <c r="B104" s="33" t="s">
        <v>80</v>
      </c>
      <c r="C104" s="33" t="s">
        <v>2429</v>
      </c>
      <c r="D104" s="33" t="s">
        <v>2429</v>
      </c>
      <c r="E104" s="33" t="s">
        <v>2871</v>
      </c>
      <c r="F104" s="38" t="s">
        <v>54</v>
      </c>
    </row>
    <row r="105" spans="1:6" hidden="1" x14ac:dyDescent="0.35">
      <c r="A105" s="33" t="s">
        <v>749</v>
      </c>
      <c r="B105" s="33" t="s">
        <v>80</v>
      </c>
      <c r="C105" s="33" t="s">
        <v>750</v>
      </c>
      <c r="D105" s="33" t="s">
        <v>750</v>
      </c>
      <c r="E105" s="33" t="s">
        <v>2862</v>
      </c>
      <c r="F105" s="38" t="s">
        <v>281</v>
      </c>
    </row>
    <row r="106" spans="1:6" hidden="1" x14ac:dyDescent="0.35">
      <c r="A106" s="33" t="s">
        <v>130</v>
      </c>
      <c r="B106" s="33" t="s">
        <v>83</v>
      </c>
      <c r="C106" s="33" t="s">
        <v>131</v>
      </c>
      <c r="D106" s="33" t="s">
        <v>133</v>
      </c>
      <c r="E106" s="33" t="s">
        <v>2859</v>
      </c>
      <c r="F106" s="38" t="s">
        <v>56</v>
      </c>
    </row>
    <row r="107" spans="1:6" hidden="1" x14ac:dyDescent="0.35">
      <c r="A107" s="33" t="s">
        <v>178</v>
      </c>
      <c r="B107" s="33" t="s">
        <v>180</v>
      </c>
      <c r="C107" s="33" t="s">
        <v>179</v>
      </c>
      <c r="D107" s="33" t="s">
        <v>181</v>
      </c>
      <c r="E107" s="33" t="s">
        <v>2838</v>
      </c>
      <c r="F107" s="38" t="s">
        <v>48</v>
      </c>
    </row>
    <row r="108" spans="1:6" hidden="1" x14ac:dyDescent="0.35">
      <c r="A108" s="33" t="s">
        <v>178</v>
      </c>
      <c r="B108" s="33" t="s">
        <v>182</v>
      </c>
      <c r="C108" s="33" t="s">
        <v>179</v>
      </c>
      <c r="D108" s="33" t="s">
        <v>183</v>
      </c>
      <c r="E108" s="33" t="s">
        <v>2872</v>
      </c>
      <c r="F108" s="38" t="s">
        <v>281</v>
      </c>
    </row>
    <row r="109" spans="1:6" hidden="1" x14ac:dyDescent="0.35">
      <c r="A109" s="33" t="s">
        <v>178</v>
      </c>
      <c r="B109" s="33" t="s">
        <v>80</v>
      </c>
      <c r="C109" s="33" t="s">
        <v>179</v>
      </c>
      <c r="D109" s="33" t="s">
        <v>184</v>
      </c>
      <c r="E109" s="33" t="s">
        <v>2845</v>
      </c>
      <c r="F109" s="38" t="s">
        <v>50</v>
      </c>
    </row>
    <row r="110" spans="1:6" hidden="1" x14ac:dyDescent="0.35">
      <c r="A110" s="33" t="s">
        <v>178</v>
      </c>
      <c r="B110" s="33" t="s">
        <v>86</v>
      </c>
      <c r="C110" s="33" t="s">
        <v>179</v>
      </c>
      <c r="D110" s="33" t="s">
        <v>185</v>
      </c>
      <c r="E110" s="33" t="s">
        <v>2843</v>
      </c>
      <c r="F110" s="38" t="s">
        <v>56</v>
      </c>
    </row>
    <row r="111" spans="1:6" hidden="1" x14ac:dyDescent="0.35">
      <c r="A111" s="33" t="s">
        <v>178</v>
      </c>
      <c r="B111" s="33" t="s">
        <v>89</v>
      </c>
      <c r="C111" s="33" t="s">
        <v>179</v>
      </c>
      <c r="D111" s="33" t="s">
        <v>186</v>
      </c>
      <c r="E111" s="33" t="s">
        <v>2845</v>
      </c>
      <c r="F111" s="38" t="s">
        <v>50</v>
      </c>
    </row>
    <row r="112" spans="1:6" hidden="1" x14ac:dyDescent="0.35">
      <c r="A112" s="33" t="s">
        <v>178</v>
      </c>
      <c r="B112" s="33" t="s">
        <v>87</v>
      </c>
      <c r="C112" s="33" t="s">
        <v>179</v>
      </c>
      <c r="D112" s="33" t="s">
        <v>187</v>
      </c>
      <c r="E112" s="33" t="s">
        <v>2845</v>
      </c>
      <c r="F112" s="38" t="s">
        <v>50</v>
      </c>
    </row>
    <row r="113" spans="1:6" hidden="1" x14ac:dyDescent="0.35">
      <c r="A113" s="33" t="s">
        <v>178</v>
      </c>
      <c r="B113" s="33" t="s">
        <v>88</v>
      </c>
      <c r="C113" s="33" t="s">
        <v>179</v>
      </c>
      <c r="D113" s="33" t="s">
        <v>188</v>
      </c>
      <c r="E113" s="33" t="s">
        <v>2845</v>
      </c>
      <c r="F113" s="38" t="s">
        <v>50</v>
      </c>
    </row>
    <row r="114" spans="1:6" hidden="1" x14ac:dyDescent="0.35">
      <c r="A114" s="33" t="s">
        <v>178</v>
      </c>
      <c r="B114" s="33" t="s">
        <v>90</v>
      </c>
      <c r="C114" s="33" t="s">
        <v>179</v>
      </c>
      <c r="D114" s="33" t="s">
        <v>189</v>
      </c>
      <c r="E114" s="33" t="s">
        <v>2845</v>
      </c>
      <c r="F114" s="38" t="s">
        <v>50</v>
      </c>
    </row>
    <row r="115" spans="1:6" hidden="1" x14ac:dyDescent="0.35">
      <c r="A115" s="33" t="s">
        <v>178</v>
      </c>
      <c r="B115" s="33" t="s">
        <v>92</v>
      </c>
      <c r="C115" s="33" t="s">
        <v>179</v>
      </c>
      <c r="D115" s="33" t="s">
        <v>190</v>
      </c>
      <c r="E115" s="33" t="s">
        <v>2845</v>
      </c>
      <c r="F115" s="38" t="s">
        <v>50</v>
      </c>
    </row>
    <row r="116" spans="1:6" hidden="1" x14ac:dyDescent="0.35">
      <c r="A116" s="33" t="s">
        <v>178</v>
      </c>
      <c r="B116" s="33" t="s">
        <v>94</v>
      </c>
      <c r="C116" s="33" t="s">
        <v>179</v>
      </c>
      <c r="D116" s="33" t="s">
        <v>191</v>
      </c>
      <c r="E116" s="33" t="s">
        <v>2845</v>
      </c>
      <c r="F116" s="38" t="s">
        <v>50</v>
      </c>
    </row>
    <row r="117" spans="1:6" hidden="1" x14ac:dyDescent="0.35">
      <c r="A117" s="33" t="s">
        <v>178</v>
      </c>
      <c r="B117" s="33" t="s">
        <v>96</v>
      </c>
      <c r="C117" s="33" t="s">
        <v>179</v>
      </c>
      <c r="D117" s="33" t="s">
        <v>192</v>
      </c>
      <c r="E117" s="33" t="s">
        <v>2843</v>
      </c>
      <c r="F117" s="38" t="s">
        <v>56</v>
      </c>
    </row>
    <row r="118" spans="1:6" hidden="1" x14ac:dyDescent="0.35">
      <c r="A118" s="33" t="s">
        <v>178</v>
      </c>
      <c r="B118" s="33" t="s">
        <v>97</v>
      </c>
      <c r="C118" s="33" t="s">
        <v>179</v>
      </c>
      <c r="D118" s="33" t="s">
        <v>193</v>
      </c>
      <c r="E118" s="33" t="s">
        <v>2859</v>
      </c>
      <c r="F118" s="38" t="s">
        <v>56</v>
      </c>
    </row>
    <row r="119" spans="1:6" hidden="1" x14ac:dyDescent="0.35">
      <c r="A119" s="33" t="s">
        <v>178</v>
      </c>
      <c r="B119" s="33" t="s">
        <v>99</v>
      </c>
      <c r="C119" s="33" t="s">
        <v>179</v>
      </c>
      <c r="D119" s="33" t="s">
        <v>194</v>
      </c>
      <c r="E119" s="33" t="s">
        <v>2839</v>
      </c>
      <c r="F119" s="38" t="s">
        <v>48</v>
      </c>
    </row>
    <row r="120" spans="1:6" hidden="1" x14ac:dyDescent="0.35">
      <c r="A120" s="33" t="s">
        <v>178</v>
      </c>
      <c r="B120" s="33" t="s">
        <v>100</v>
      </c>
      <c r="C120" s="33" t="s">
        <v>179</v>
      </c>
      <c r="D120" s="33" t="s">
        <v>195</v>
      </c>
      <c r="E120" s="33" t="s">
        <v>2844</v>
      </c>
      <c r="F120" s="38" t="s">
        <v>48</v>
      </c>
    </row>
    <row r="121" spans="1:6" hidden="1" x14ac:dyDescent="0.35">
      <c r="A121" s="33" t="s">
        <v>196</v>
      </c>
      <c r="B121" s="33" t="s">
        <v>82</v>
      </c>
      <c r="C121" s="33" t="s">
        <v>197</v>
      </c>
      <c r="D121" s="33" t="s">
        <v>198</v>
      </c>
      <c r="E121" s="33" t="s">
        <v>2873</v>
      </c>
      <c r="F121" s="38"/>
    </row>
    <row r="122" spans="1:6" hidden="1" x14ac:dyDescent="0.35">
      <c r="A122" s="33" t="s">
        <v>196</v>
      </c>
      <c r="B122" s="33" t="s">
        <v>83</v>
      </c>
      <c r="C122" s="33" t="s">
        <v>197</v>
      </c>
      <c r="D122" s="33" t="s">
        <v>199</v>
      </c>
      <c r="E122" s="33" t="s">
        <v>2856</v>
      </c>
      <c r="F122" s="38" t="s">
        <v>56</v>
      </c>
    </row>
    <row r="123" spans="1:6" hidden="1" x14ac:dyDescent="0.35">
      <c r="A123" s="33" t="s">
        <v>196</v>
      </c>
      <c r="B123" s="33" t="s">
        <v>19</v>
      </c>
      <c r="C123" s="33" t="s">
        <v>197</v>
      </c>
      <c r="D123" s="33" t="s">
        <v>200</v>
      </c>
      <c r="E123" s="33" t="s">
        <v>2845</v>
      </c>
      <c r="F123" s="38" t="s">
        <v>50</v>
      </c>
    </row>
    <row r="124" spans="1:6" hidden="1" x14ac:dyDescent="0.35">
      <c r="A124" s="33" t="s">
        <v>196</v>
      </c>
      <c r="B124" s="33" t="s">
        <v>84</v>
      </c>
      <c r="C124" s="33" t="s">
        <v>197</v>
      </c>
      <c r="D124" s="33" t="s">
        <v>201</v>
      </c>
      <c r="E124" s="33" t="s">
        <v>2845</v>
      </c>
      <c r="F124" s="38" t="s">
        <v>50</v>
      </c>
    </row>
    <row r="125" spans="1:6" hidden="1" x14ac:dyDescent="0.35">
      <c r="A125" s="33" t="s">
        <v>196</v>
      </c>
      <c r="B125" s="33" t="s">
        <v>86</v>
      </c>
      <c r="C125" s="33" t="s">
        <v>197</v>
      </c>
      <c r="D125" s="33" t="s">
        <v>202</v>
      </c>
      <c r="E125" s="33" t="s">
        <v>2845</v>
      </c>
      <c r="F125" s="38" t="s">
        <v>50</v>
      </c>
    </row>
    <row r="126" spans="1:6" hidden="1" x14ac:dyDescent="0.35">
      <c r="A126" s="33" t="s">
        <v>196</v>
      </c>
      <c r="B126" s="33" t="s">
        <v>89</v>
      </c>
      <c r="C126" s="33" t="s">
        <v>197</v>
      </c>
      <c r="D126" s="33" t="s">
        <v>203</v>
      </c>
      <c r="E126" s="33" t="s">
        <v>2845</v>
      </c>
      <c r="F126" s="38" t="s">
        <v>50</v>
      </c>
    </row>
    <row r="127" spans="1:6" hidden="1" x14ac:dyDescent="0.35">
      <c r="A127" s="33" t="s">
        <v>196</v>
      </c>
      <c r="B127" s="33" t="s">
        <v>88</v>
      </c>
      <c r="C127" s="33" t="s">
        <v>197</v>
      </c>
      <c r="D127" s="33" t="s">
        <v>204</v>
      </c>
      <c r="E127" s="33" t="s">
        <v>2856</v>
      </c>
      <c r="F127" s="38" t="s">
        <v>56</v>
      </c>
    </row>
    <row r="128" spans="1:6" hidden="1" x14ac:dyDescent="0.35">
      <c r="A128" s="33" t="s">
        <v>196</v>
      </c>
      <c r="B128" s="33" t="s">
        <v>90</v>
      </c>
      <c r="C128" s="33" t="s">
        <v>197</v>
      </c>
      <c r="D128" s="33" t="s">
        <v>205</v>
      </c>
      <c r="E128" s="33" t="s">
        <v>2837</v>
      </c>
      <c r="F128" s="38" t="s">
        <v>742</v>
      </c>
    </row>
    <row r="129" spans="1:6" hidden="1" x14ac:dyDescent="0.35">
      <c r="A129" s="33" t="s">
        <v>206</v>
      </c>
      <c r="B129" s="33" t="s">
        <v>82</v>
      </c>
      <c r="C129" s="33" t="s">
        <v>207</v>
      </c>
      <c r="D129" s="33" t="s">
        <v>208</v>
      </c>
      <c r="E129" s="33" t="s">
        <v>2873</v>
      </c>
      <c r="F129" s="38" t="s">
        <v>132</v>
      </c>
    </row>
    <row r="130" spans="1:6" hidden="1" x14ac:dyDescent="0.35">
      <c r="A130" s="33" t="s">
        <v>209</v>
      </c>
      <c r="B130" s="33" t="s">
        <v>80</v>
      </c>
      <c r="C130" s="33" t="s">
        <v>210</v>
      </c>
      <c r="D130" s="33" t="s">
        <v>211</v>
      </c>
      <c r="E130" s="33" t="s">
        <v>2845</v>
      </c>
      <c r="F130" s="38" t="s">
        <v>50</v>
      </c>
    </row>
    <row r="131" spans="1:6" hidden="1" x14ac:dyDescent="0.35">
      <c r="A131" s="33" t="s">
        <v>209</v>
      </c>
      <c r="B131" s="33" t="s">
        <v>82</v>
      </c>
      <c r="C131" s="33" t="s">
        <v>210</v>
      </c>
      <c r="D131" s="33" t="s">
        <v>212</v>
      </c>
      <c r="E131" s="33" t="s">
        <v>2845</v>
      </c>
      <c r="F131" s="38" t="s">
        <v>50</v>
      </c>
    </row>
    <row r="132" spans="1:6" hidden="1" x14ac:dyDescent="0.35">
      <c r="A132" s="33" t="s">
        <v>209</v>
      </c>
      <c r="B132" s="33" t="s">
        <v>83</v>
      </c>
      <c r="C132" s="33" t="s">
        <v>210</v>
      </c>
      <c r="D132" s="33" t="s">
        <v>213</v>
      </c>
      <c r="E132" s="33" t="s">
        <v>2860</v>
      </c>
      <c r="F132" s="38" t="s">
        <v>50</v>
      </c>
    </row>
    <row r="133" spans="1:6" hidden="1" x14ac:dyDescent="0.35">
      <c r="A133" s="33" t="s">
        <v>209</v>
      </c>
      <c r="B133" s="33" t="s">
        <v>19</v>
      </c>
      <c r="C133" s="33" t="s">
        <v>210</v>
      </c>
      <c r="D133" s="33" t="s">
        <v>214</v>
      </c>
      <c r="E133" s="33" t="s">
        <v>2845</v>
      </c>
      <c r="F133" s="38" t="s">
        <v>50</v>
      </c>
    </row>
    <row r="134" spans="1:6" hidden="1" x14ac:dyDescent="0.35">
      <c r="A134" s="33" t="s">
        <v>219</v>
      </c>
      <c r="B134" s="33" t="s">
        <v>82</v>
      </c>
      <c r="C134" s="33" t="s">
        <v>220</v>
      </c>
      <c r="D134" s="33" t="s">
        <v>221</v>
      </c>
      <c r="E134" s="33" t="s">
        <v>2870</v>
      </c>
      <c r="F134" s="38" t="s">
        <v>56</v>
      </c>
    </row>
    <row r="135" spans="1:6" hidden="1" x14ac:dyDescent="0.35">
      <c r="A135" s="33" t="s">
        <v>219</v>
      </c>
      <c r="B135" s="33" t="s">
        <v>84</v>
      </c>
      <c r="C135" s="33" t="s">
        <v>220</v>
      </c>
      <c r="D135" s="33" t="s">
        <v>222</v>
      </c>
      <c r="E135" s="33" t="s">
        <v>2859</v>
      </c>
      <c r="F135" s="38" t="s">
        <v>56</v>
      </c>
    </row>
    <row r="136" spans="1:6" hidden="1" x14ac:dyDescent="0.35">
      <c r="A136" s="33" t="s">
        <v>246</v>
      </c>
      <c r="B136" s="33" t="s">
        <v>108</v>
      </c>
      <c r="C136" s="33" t="s">
        <v>247</v>
      </c>
      <c r="D136" s="33" t="s">
        <v>248</v>
      </c>
      <c r="E136" s="33" t="s">
        <v>2856</v>
      </c>
      <c r="F136" s="38" t="s">
        <v>56</v>
      </c>
    </row>
    <row r="137" spans="1:6" hidden="1" x14ac:dyDescent="0.35">
      <c r="A137" s="33" t="s">
        <v>246</v>
      </c>
      <c r="B137" s="33" t="s">
        <v>83</v>
      </c>
      <c r="C137" s="33" t="s">
        <v>247</v>
      </c>
      <c r="D137" s="33" t="s">
        <v>249</v>
      </c>
      <c r="E137" s="33" t="s">
        <v>2856</v>
      </c>
      <c r="F137" s="38" t="s">
        <v>56</v>
      </c>
    </row>
    <row r="138" spans="1:6" hidden="1" x14ac:dyDescent="0.35">
      <c r="A138" s="33" t="s">
        <v>246</v>
      </c>
      <c r="B138" s="33" t="s">
        <v>19</v>
      </c>
      <c r="C138" s="33" t="s">
        <v>247</v>
      </c>
      <c r="D138" s="33" t="s">
        <v>247</v>
      </c>
      <c r="E138" s="33" t="s">
        <v>2861</v>
      </c>
      <c r="F138" s="38" t="s">
        <v>2740</v>
      </c>
    </row>
    <row r="139" spans="1:6" hidden="1" x14ac:dyDescent="0.35">
      <c r="A139" s="33" t="s">
        <v>246</v>
      </c>
      <c r="B139" s="33" t="s">
        <v>84</v>
      </c>
      <c r="C139" s="33" t="s">
        <v>247</v>
      </c>
      <c r="D139" s="33" t="s">
        <v>250</v>
      </c>
      <c r="E139" s="33" t="s">
        <v>2859</v>
      </c>
      <c r="F139" s="38" t="s">
        <v>56</v>
      </c>
    </row>
    <row r="140" spans="1:6" hidden="1" x14ac:dyDescent="0.35">
      <c r="A140" s="33" t="s">
        <v>246</v>
      </c>
      <c r="B140" s="33" t="s">
        <v>86</v>
      </c>
      <c r="C140" s="33" t="s">
        <v>247</v>
      </c>
      <c r="D140" s="33" t="s">
        <v>251</v>
      </c>
      <c r="E140" s="33" t="s">
        <v>2844</v>
      </c>
      <c r="F140" s="38" t="s">
        <v>48</v>
      </c>
    </row>
    <row r="141" spans="1:6" hidden="1" x14ac:dyDescent="0.35">
      <c r="A141" s="33" t="s">
        <v>246</v>
      </c>
      <c r="B141" s="33" t="s">
        <v>89</v>
      </c>
      <c r="C141" s="33" t="s">
        <v>247</v>
      </c>
      <c r="D141" s="33" t="s">
        <v>252</v>
      </c>
      <c r="E141" s="33" t="s">
        <v>2839</v>
      </c>
      <c r="F141" s="38" t="s">
        <v>48</v>
      </c>
    </row>
    <row r="142" spans="1:6" hidden="1" x14ac:dyDescent="0.35">
      <c r="A142" s="33" t="s">
        <v>246</v>
      </c>
      <c r="B142" s="33" t="s">
        <v>87</v>
      </c>
      <c r="C142" s="33" t="s">
        <v>247</v>
      </c>
      <c r="D142" s="33" t="s">
        <v>253</v>
      </c>
      <c r="E142" s="33" t="s">
        <v>2856</v>
      </c>
      <c r="F142" s="38" t="s">
        <v>56</v>
      </c>
    </row>
    <row r="143" spans="1:6" hidden="1" x14ac:dyDescent="0.35">
      <c r="A143" s="33" t="s">
        <v>256</v>
      </c>
      <c r="B143" s="33" t="s">
        <v>80</v>
      </c>
      <c r="C143" s="33" t="s">
        <v>257</v>
      </c>
      <c r="D143" s="33" t="s">
        <v>258</v>
      </c>
      <c r="E143" s="33" t="s">
        <v>2865</v>
      </c>
      <c r="F143" s="38" t="s">
        <v>54</v>
      </c>
    </row>
    <row r="144" spans="1:6" hidden="1" x14ac:dyDescent="0.35">
      <c r="A144" s="33" t="s">
        <v>256</v>
      </c>
      <c r="B144" s="33" t="s">
        <v>83</v>
      </c>
      <c r="C144" s="33" t="s">
        <v>257</v>
      </c>
      <c r="D144" s="33" t="s">
        <v>259</v>
      </c>
      <c r="E144" s="33" t="s">
        <v>2838</v>
      </c>
      <c r="F144" s="38" t="s">
        <v>48</v>
      </c>
    </row>
    <row r="145" spans="1:6" hidden="1" x14ac:dyDescent="0.35">
      <c r="A145" s="33" t="s">
        <v>256</v>
      </c>
      <c r="B145" s="33" t="s">
        <v>19</v>
      </c>
      <c r="C145" s="33" t="s">
        <v>257</v>
      </c>
      <c r="D145" s="33" t="s">
        <v>260</v>
      </c>
      <c r="E145" s="33" t="s">
        <v>2839</v>
      </c>
      <c r="F145" s="38" t="s">
        <v>48</v>
      </c>
    </row>
    <row r="146" spans="1:6" hidden="1" x14ac:dyDescent="0.35">
      <c r="A146" s="33" t="s">
        <v>261</v>
      </c>
      <c r="B146" s="33" t="s">
        <v>83</v>
      </c>
      <c r="C146" s="33" t="s">
        <v>262</v>
      </c>
      <c r="D146" s="33" t="s">
        <v>262</v>
      </c>
      <c r="E146" s="33" t="s">
        <v>2837</v>
      </c>
      <c r="F146" s="38" t="s">
        <v>742</v>
      </c>
    </row>
    <row r="147" spans="1:6" hidden="1" x14ac:dyDescent="0.35">
      <c r="A147" s="33" t="s">
        <v>304</v>
      </c>
      <c r="B147" s="33" t="s">
        <v>80</v>
      </c>
      <c r="C147" s="33" t="s">
        <v>305</v>
      </c>
      <c r="D147" s="33" t="s">
        <v>305</v>
      </c>
      <c r="E147" s="33" t="s">
        <v>2840</v>
      </c>
      <c r="F147" s="38" t="s">
        <v>132</v>
      </c>
    </row>
    <row r="148" spans="1:6" hidden="1" x14ac:dyDescent="0.35">
      <c r="A148" s="33" t="s">
        <v>325</v>
      </c>
      <c r="B148" s="33" t="s">
        <v>80</v>
      </c>
      <c r="C148" s="33" t="s">
        <v>326</v>
      </c>
      <c r="D148" s="33" t="s">
        <v>327</v>
      </c>
      <c r="E148" s="33" t="s">
        <v>2856</v>
      </c>
      <c r="F148" s="38" t="s">
        <v>56</v>
      </c>
    </row>
    <row r="149" spans="1:6" hidden="1" x14ac:dyDescent="0.35">
      <c r="A149" s="33" t="s">
        <v>325</v>
      </c>
      <c r="B149" s="33" t="s">
        <v>82</v>
      </c>
      <c r="C149" s="33" t="s">
        <v>326</v>
      </c>
      <c r="D149" s="33" t="s">
        <v>328</v>
      </c>
      <c r="E149" s="33" t="s">
        <v>2845</v>
      </c>
      <c r="F149" s="38" t="s">
        <v>50</v>
      </c>
    </row>
    <row r="150" spans="1:6" hidden="1" x14ac:dyDescent="0.35">
      <c r="A150" s="33" t="s">
        <v>325</v>
      </c>
      <c r="B150" s="33" t="s">
        <v>331</v>
      </c>
      <c r="C150" s="33" t="s">
        <v>326</v>
      </c>
      <c r="D150" s="33" t="s">
        <v>332</v>
      </c>
      <c r="E150" s="33" t="s">
        <v>2839</v>
      </c>
      <c r="F150" s="38" t="s">
        <v>48</v>
      </c>
    </row>
    <row r="151" spans="1:6" hidden="1" x14ac:dyDescent="0.35">
      <c r="A151" s="33" t="s">
        <v>325</v>
      </c>
      <c r="B151" s="33" t="s">
        <v>83</v>
      </c>
      <c r="C151" s="33" t="s">
        <v>326</v>
      </c>
      <c r="D151" s="33" t="s">
        <v>327</v>
      </c>
      <c r="E151" s="33" t="s">
        <v>2856</v>
      </c>
      <c r="F151" s="38" t="s">
        <v>56</v>
      </c>
    </row>
    <row r="152" spans="1:6" x14ac:dyDescent="0.35">
      <c r="A152" s="33" t="s">
        <v>333</v>
      </c>
      <c r="B152" s="33" t="s">
        <v>80</v>
      </c>
      <c r="C152" s="33" t="s">
        <v>334</v>
      </c>
      <c r="D152" s="33" t="s">
        <v>335</v>
      </c>
      <c r="E152" s="33" t="s">
        <v>2879</v>
      </c>
      <c r="F152" s="38" t="s">
        <v>1687</v>
      </c>
    </row>
    <row r="153" spans="1:6" hidden="1" x14ac:dyDescent="0.35">
      <c r="A153" s="33" t="s">
        <v>333</v>
      </c>
      <c r="B153" s="33" t="s">
        <v>83</v>
      </c>
      <c r="C153" s="33" t="s">
        <v>334</v>
      </c>
      <c r="D153" s="33" t="s">
        <v>336</v>
      </c>
      <c r="E153" s="33" t="s">
        <v>2837</v>
      </c>
      <c r="F153" s="38" t="s">
        <v>742</v>
      </c>
    </row>
    <row r="154" spans="1:6" hidden="1" x14ac:dyDescent="0.35">
      <c r="A154" s="33" t="s">
        <v>333</v>
      </c>
      <c r="B154" s="33" t="s">
        <v>337</v>
      </c>
      <c r="C154" s="33" t="s">
        <v>334</v>
      </c>
      <c r="D154" s="33" t="s">
        <v>338</v>
      </c>
      <c r="E154" s="33" t="s">
        <v>2869</v>
      </c>
      <c r="F154" s="38" t="s">
        <v>132</v>
      </c>
    </row>
    <row r="155" spans="1:6" x14ac:dyDescent="0.35">
      <c r="A155" s="33" t="s">
        <v>333</v>
      </c>
      <c r="B155" s="33" t="s">
        <v>19</v>
      </c>
      <c r="C155" s="33" t="s">
        <v>334</v>
      </c>
      <c r="D155" s="33" t="s">
        <v>339</v>
      </c>
      <c r="E155" s="33" t="s">
        <v>2879</v>
      </c>
      <c r="F155" s="38" t="s">
        <v>1687</v>
      </c>
    </row>
    <row r="156" spans="1:6" hidden="1" x14ac:dyDescent="0.35">
      <c r="A156" s="33" t="s">
        <v>333</v>
      </c>
      <c r="B156" s="33" t="s">
        <v>85</v>
      </c>
      <c r="C156" s="33" t="s">
        <v>334</v>
      </c>
      <c r="D156" s="33" t="s">
        <v>340</v>
      </c>
      <c r="E156" s="33" t="s">
        <v>2844</v>
      </c>
      <c r="F156" s="38" t="s">
        <v>48</v>
      </c>
    </row>
    <row r="157" spans="1:6" hidden="1" x14ac:dyDescent="0.35">
      <c r="A157" s="33" t="s">
        <v>333</v>
      </c>
      <c r="B157" s="33" t="s">
        <v>86</v>
      </c>
      <c r="C157" s="33" t="s">
        <v>334</v>
      </c>
      <c r="D157" s="33" t="s">
        <v>341</v>
      </c>
      <c r="E157" s="33" t="s">
        <v>2839</v>
      </c>
      <c r="F157" s="38" t="s">
        <v>48</v>
      </c>
    </row>
    <row r="158" spans="1:6" hidden="1" x14ac:dyDescent="0.35">
      <c r="A158" s="33" t="s">
        <v>333</v>
      </c>
      <c r="B158" s="33" t="s">
        <v>89</v>
      </c>
      <c r="C158" s="33" t="s">
        <v>334</v>
      </c>
      <c r="D158" s="33" t="s">
        <v>342</v>
      </c>
      <c r="E158" s="33" t="s">
        <v>2837</v>
      </c>
      <c r="F158" s="38" t="s">
        <v>742</v>
      </c>
    </row>
    <row r="159" spans="1:6" hidden="1" x14ac:dyDescent="0.35">
      <c r="A159" s="33" t="s">
        <v>333</v>
      </c>
      <c r="B159" s="33" t="s">
        <v>87</v>
      </c>
      <c r="C159" s="33" t="s">
        <v>334</v>
      </c>
      <c r="D159" s="33" t="s">
        <v>343</v>
      </c>
      <c r="E159" s="33" t="s">
        <v>2869</v>
      </c>
      <c r="F159" s="38" t="s">
        <v>50</v>
      </c>
    </row>
    <row r="160" spans="1:6" hidden="1" x14ac:dyDescent="0.35">
      <c r="A160" s="33" t="s">
        <v>333</v>
      </c>
      <c r="B160" s="33" t="s">
        <v>88</v>
      </c>
      <c r="C160" s="33" t="s">
        <v>334</v>
      </c>
      <c r="D160" s="33" t="s">
        <v>344</v>
      </c>
      <c r="E160" s="33" t="s">
        <v>2869</v>
      </c>
      <c r="F160" s="38" t="s">
        <v>50</v>
      </c>
    </row>
    <row r="161" spans="1:6" hidden="1" x14ac:dyDescent="0.35">
      <c r="A161" s="33" t="s">
        <v>333</v>
      </c>
      <c r="B161" s="33" t="s">
        <v>90</v>
      </c>
      <c r="C161" s="33" t="s">
        <v>334</v>
      </c>
      <c r="D161" s="33" t="s">
        <v>345</v>
      </c>
      <c r="E161" s="33" t="s">
        <v>2869</v>
      </c>
      <c r="F161" s="38" t="s">
        <v>50</v>
      </c>
    </row>
    <row r="162" spans="1:6" hidden="1" x14ac:dyDescent="0.35">
      <c r="A162" s="33" t="s">
        <v>353</v>
      </c>
      <c r="B162" s="33" t="s">
        <v>80</v>
      </c>
      <c r="C162" s="33" t="s">
        <v>354</v>
      </c>
      <c r="D162" s="33" t="s">
        <v>354</v>
      </c>
      <c r="E162" s="33" t="s">
        <v>2873</v>
      </c>
      <c r="F162" s="38" t="s">
        <v>132</v>
      </c>
    </row>
    <row r="163" spans="1:6" hidden="1" x14ac:dyDescent="0.35">
      <c r="A163" s="33" t="s">
        <v>364</v>
      </c>
      <c r="B163" s="33" t="s">
        <v>80</v>
      </c>
      <c r="C163" s="33" t="s">
        <v>365</v>
      </c>
      <c r="D163" s="33" t="s">
        <v>366</v>
      </c>
      <c r="E163" s="33" t="s">
        <v>2874</v>
      </c>
      <c r="F163" s="38" t="s">
        <v>2739</v>
      </c>
    </row>
    <row r="164" spans="1:6" hidden="1" x14ac:dyDescent="0.35">
      <c r="A164" s="33" t="s">
        <v>364</v>
      </c>
      <c r="B164" s="33" t="s">
        <v>331</v>
      </c>
      <c r="C164" s="33" t="s">
        <v>365</v>
      </c>
      <c r="D164" s="33" t="s">
        <v>367</v>
      </c>
      <c r="E164" s="33" t="s">
        <v>2874</v>
      </c>
      <c r="F164" s="38" t="s">
        <v>2739</v>
      </c>
    </row>
    <row r="165" spans="1:6" hidden="1" x14ac:dyDescent="0.35">
      <c r="A165" s="33" t="s">
        <v>364</v>
      </c>
      <c r="B165" s="33" t="s">
        <v>83</v>
      </c>
      <c r="C165" s="33" t="s">
        <v>365</v>
      </c>
      <c r="D165" s="33" t="s">
        <v>368</v>
      </c>
      <c r="E165" s="33" t="s">
        <v>2874</v>
      </c>
      <c r="F165" s="38" t="s">
        <v>2739</v>
      </c>
    </row>
    <row r="166" spans="1:6" hidden="1" x14ac:dyDescent="0.35">
      <c r="A166" s="33" t="s">
        <v>364</v>
      </c>
      <c r="B166" s="33" t="s">
        <v>19</v>
      </c>
      <c r="C166" s="33" t="s">
        <v>365</v>
      </c>
      <c r="D166" s="33" t="s">
        <v>369</v>
      </c>
      <c r="E166" s="33" t="s">
        <v>2844</v>
      </c>
      <c r="F166" s="38" t="s">
        <v>48</v>
      </c>
    </row>
    <row r="167" spans="1:6" hidden="1" x14ac:dyDescent="0.35">
      <c r="A167" s="33" t="s">
        <v>364</v>
      </c>
      <c r="B167" s="33" t="s">
        <v>85</v>
      </c>
      <c r="C167" s="33" t="s">
        <v>365</v>
      </c>
      <c r="D167" s="33" t="s">
        <v>370</v>
      </c>
      <c r="E167" s="33" t="s">
        <v>2839</v>
      </c>
      <c r="F167" s="38" t="s">
        <v>48</v>
      </c>
    </row>
    <row r="168" spans="1:6" hidden="1" x14ac:dyDescent="0.35">
      <c r="A168" s="33" t="s">
        <v>420</v>
      </c>
      <c r="B168" s="33" t="s">
        <v>80</v>
      </c>
      <c r="C168" s="33" t="s">
        <v>421</v>
      </c>
      <c r="D168" s="33" t="s">
        <v>422</v>
      </c>
      <c r="E168" s="33" t="s">
        <v>2856</v>
      </c>
      <c r="F168" s="38" t="s">
        <v>56</v>
      </c>
    </row>
    <row r="169" spans="1:6" hidden="1" x14ac:dyDescent="0.35">
      <c r="A169" s="33" t="s">
        <v>420</v>
      </c>
      <c r="B169" s="33" t="s">
        <v>83</v>
      </c>
      <c r="C169" s="33" t="s">
        <v>421</v>
      </c>
      <c r="D169" s="33" t="s">
        <v>423</v>
      </c>
      <c r="E169" s="33" t="s">
        <v>2873</v>
      </c>
      <c r="F169" s="38" t="s">
        <v>132</v>
      </c>
    </row>
    <row r="170" spans="1:6" hidden="1" x14ac:dyDescent="0.35">
      <c r="A170" s="33" t="s">
        <v>420</v>
      </c>
      <c r="B170" s="33" t="s">
        <v>19</v>
      </c>
      <c r="C170" s="33" t="s">
        <v>421</v>
      </c>
      <c r="D170" s="33" t="s">
        <v>424</v>
      </c>
      <c r="E170" s="33" t="s">
        <v>2873</v>
      </c>
      <c r="F170" s="38" t="s">
        <v>132</v>
      </c>
    </row>
    <row r="171" spans="1:6" hidden="1" x14ac:dyDescent="0.35">
      <c r="A171" s="33" t="s">
        <v>420</v>
      </c>
      <c r="B171" s="33" t="s">
        <v>85</v>
      </c>
      <c r="C171" s="33" t="s">
        <v>421</v>
      </c>
      <c r="D171" s="33" t="s">
        <v>425</v>
      </c>
      <c r="E171" s="33" t="s">
        <v>2856</v>
      </c>
      <c r="F171" s="38" t="s">
        <v>56</v>
      </c>
    </row>
    <row r="172" spans="1:6" hidden="1" x14ac:dyDescent="0.35">
      <c r="A172" s="33" t="s">
        <v>426</v>
      </c>
      <c r="B172" s="33" t="s">
        <v>81</v>
      </c>
      <c r="C172" s="33" t="s">
        <v>427</v>
      </c>
      <c r="D172" s="33" t="s">
        <v>428</v>
      </c>
      <c r="E172" s="33" t="s">
        <v>2843</v>
      </c>
      <c r="F172" s="38" t="s">
        <v>56</v>
      </c>
    </row>
    <row r="173" spans="1:6" hidden="1" x14ac:dyDescent="0.35">
      <c r="A173" s="33" t="s">
        <v>426</v>
      </c>
      <c r="B173" s="33" t="s">
        <v>80</v>
      </c>
      <c r="C173" s="33" t="s">
        <v>427</v>
      </c>
      <c r="D173" s="33" t="s">
        <v>429</v>
      </c>
      <c r="E173" s="33" t="s">
        <v>2873</v>
      </c>
      <c r="F173" s="38" t="s">
        <v>50</v>
      </c>
    </row>
    <row r="174" spans="1:6" hidden="1" x14ac:dyDescent="0.35">
      <c r="A174" s="33" t="s">
        <v>426</v>
      </c>
      <c r="B174" s="33" t="s">
        <v>19</v>
      </c>
      <c r="C174" s="33" t="s">
        <v>427</v>
      </c>
      <c r="D174" s="33" t="s">
        <v>430</v>
      </c>
      <c r="E174" s="33" t="s">
        <v>2845</v>
      </c>
      <c r="F174" s="38" t="s">
        <v>50</v>
      </c>
    </row>
    <row r="175" spans="1:6" hidden="1" x14ac:dyDescent="0.35">
      <c r="A175" s="33" t="s">
        <v>426</v>
      </c>
      <c r="B175" s="33" t="s">
        <v>174</v>
      </c>
      <c r="C175" s="33" t="s">
        <v>427</v>
      </c>
      <c r="D175" s="33" t="s">
        <v>431</v>
      </c>
      <c r="E175" s="33" t="s">
        <v>2843</v>
      </c>
      <c r="F175" s="38" t="s">
        <v>56</v>
      </c>
    </row>
    <row r="176" spans="1:6" hidden="1" x14ac:dyDescent="0.35">
      <c r="A176" s="33" t="s">
        <v>469</v>
      </c>
      <c r="B176" s="33" t="s">
        <v>80</v>
      </c>
      <c r="C176" s="33" t="s">
        <v>470</v>
      </c>
      <c r="D176" s="33" t="s">
        <v>470</v>
      </c>
      <c r="E176" s="33" t="s">
        <v>2860</v>
      </c>
      <c r="F176" s="38" t="s">
        <v>50</v>
      </c>
    </row>
    <row r="177" spans="1:6" hidden="1" x14ac:dyDescent="0.35">
      <c r="A177" s="33" t="s">
        <v>486</v>
      </c>
      <c r="B177" s="33" t="s">
        <v>80</v>
      </c>
      <c r="C177" s="33" t="s">
        <v>487</v>
      </c>
      <c r="D177" s="33" t="s">
        <v>488</v>
      </c>
      <c r="E177" s="33" t="s">
        <v>2875</v>
      </c>
      <c r="F177" s="38" t="s">
        <v>2912</v>
      </c>
    </row>
    <row r="178" spans="1:6" hidden="1" x14ac:dyDescent="0.35">
      <c r="A178" s="33" t="s">
        <v>486</v>
      </c>
      <c r="B178" s="33" t="s">
        <v>82</v>
      </c>
      <c r="C178" s="33" t="s">
        <v>487</v>
      </c>
      <c r="D178" s="33" t="s">
        <v>489</v>
      </c>
      <c r="E178" s="33" t="s">
        <v>2843</v>
      </c>
      <c r="F178" s="38" t="s">
        <v>56</v>
      </c>
    </row>
    <row r="179" spans="1:6" hidden="1" x14ac:dyDescent="0.35">
      <c r="A179" s="33" t="s">
        <v>486</v>
      </c>
      <c r="B179" s="33" t="s">
        <v>19</v>
      </c>
      <c r="C179" s="33" t="s">
        <v>487</v>
      </c>
      <c r="D179" s="33" t="s">
        <v>487</v>
      </c>
      <c r="E179" s="33" t="s">
        <v>2875</v>
      </c>
      <c r="F179" s="38" t="s">
        <v>2912</v>
      </c>
    </row>
    <row r="180" spans="1:6" hidden="1" x14ac:dyDescent="0.35">
      <c r="A180" s="33" t="s">
        <v>486</v>
      </c>
      <c r="B180" s="33" t="s">
        <v>174</v>
      </c>
      <c r="C180" s="33" t="s">
        <v>487</v>
      </c>
      <c r="D180" s="33" t="s">
        <v>490</v>
      </c>
      <c r="E180" s="33" t="s">
        <v>2843</v>
      </c>
      <c r="F180" s="38" t="s">
        <v>56</v>
      </c>
    </row>
    <row r="181" spans="1:6" hidden="1" x14ac:dyDescent="0.35">
      <c r="A181" s="33" t="s">
        <v>555</v>
      </c>
      <c r="B181" s="33" t="s">
        <v>80</v>
      </c>
      <c r="C181" s="33" t="s">
        <v>556</v>
      </c>
      <c r="D181" s="33" t="s">
        <v>556</v>
      </c>
      <c r="E181" s="33" t="s">
        <v>2845</v>
      </c>
      <c r="F181" s="38" t="s">
        <v>50</v>
      </c>
    </row>
    <row r="182" spans="1:6" hidden="1" x14ac:dyDescent="0.35">
      <c r="A182" s="33" t="s">
        <v>595</v>
      </c>
      <c r="B182" s="33" t="s">
        <v>82</v>
      </c>
      <c r="C182" s="33" t="s">
        <v>596</v>
      </c>
      <c r="D182" s="33" t="s">
        <v>597</v>
      </c>
      <c r="E182" s="33" t="s">
        <v>2856</v>
      </c>
      <c r="F182" s="38" t="s">
        <v>56</v>
      </c>
    </row>
    <row r="183" spans="1:6" hidden="1" x14ac:dyDescent="0.35">
      <c r="A183" s="33" t="s">
        <v>595</v>
      </c>
      <c r="B183" s="33" t="s">
        <v>83</v>
      </c>
      <c r="C183" s="33" t="s">
        <v>596</v>
      </c>
      <c r="D183" s="33" t="s">
        <v>598</v>
      </c>
      <c r="E183" s="33" t="s">
        <v>2845</v>
      </c>
      <c r="F183" s="38" t="s">
        <v>50</v>
      </c>
    </row>
    <row r="184" spans="1:6" hidden="1" x14ac:dyDescent="0.35">
      <c r="A184" s="33" t="s">
        <v>595</v>
      </c>
      <c r="B184" s="33" t="s">
        <v>174</v>
      </c>
      <c r="C184" s="33" t="s">
        <v>596</v>
      </c>
      <c r="D184" s="33" t="s">
        <v>599</v>
      </c>
      <c r="E184" s="33" t="s">
        <v>2838</v>
      </c>
      <c r="F184" s="38" t="s">
        <v>48</v>
      </c>
    </row>
    <row r="185" spans="1:6" hidden="1" x14ac:dyDescent="0.35">
      <c r="A185" s="33" t="s">
        <v>595</v>
      </c>
      <c r="B185" s="33" t="s">
        <v>85</v>
      </c>
      <c r="C185" s="33" t="s">
        <v>596</v>
      </c>
      <c r="D185" s="33" t="s">
        <v>600</v>
      </c>
      <c r="E185" s="33" t="s">
        <v>2856</v>
      </c>
      <c r="F185" s="38" t="s">
        <v>56</v>
      </c>
    </row>
    <row r="186" spans="1:6" hidden="1" x14ac:dyDescent="0.35">
      <c r="A186" s="33" t="s">
        <v>743</v>
      </c>
      <c r="B186" s="33" t="s">
        <v>80</v>
      </c>
      <c r="C186" s="33" t="s">
        <v>744</v>
      </c>
      <c r="D186" s="33" t="s">
        <v>744</v>
      </c>
      <c r="E186" s="33" t="s">
        <v>2845</v>
      </c>
      <c r="F186" s="38" t="s">
        <v>50</v>
      </c>
    </row>
    <row r="187" spans="1:6" ht="14.5" customHeight="1" x14ac:dyDescent="0.35">
      <c r="A187" s="33" t="s">
        <v>1240</v>
      </c>
      <c r="B187" s="33" t="s">
        <v>80</v>
      </c>
      <c r="C187" s="33" t="s">
        <v>1241</v>
      </c>
      <c r="D187" s="33" t="s">
        <v>1242</v>
      </c>
      <c r="E187" s="33" t="s">
        <v>2879</v>
      </c>
      <c r="F187" s="38" t="s">
        <v>1687</v>
      </c>
    </row>
    <row r="188" spans="1:6" ht="14.5" hidden="1" customHeight="1" x14ac:dyDescent="0.35">
      <c r="A188" s="33" t="s">
        <v>1321</v>
      </c>
      <c r="B188" s="33" t="s">
        <v>80</v>
      </c>
      <c r="C188" s="33" t="s">
        <v>1322</v>
      </c>
      <c r="D188" s="33" t="s">
        <v>1323</v>
      </c>
      <c r="E188" s="33" t="s">
        <v>2856</v>
      </c>
      <c r="F188" s="38" t="s">
        <v>56</v>
      </c>
    </row>
    <row r="189" spans="1:6" ht="14.5" hidden="1" customHeight="1" x14ac:dyDescent="0.35">
      <c r="A189" s="33" t="s">
        <v>1321</v>
      </c>
      <c r="B189" s="33" t="s">
        <v>83</v>
      </c>
      <c r="C189" s="33" t="s">
        <v>1322</v>
      </c>
      <c r="D189" s="33" t="s">
        <v>1324</v>
      </c>
      <c r="E189" s="33" t="s">
        <v>2845</v>
      </c>
      <c r="F189" s="38" t="s">
        <v>50</v>
      </c>
    </row>
    <row r="190" spans="1:6" ht="14.5" hidden="1" customHeight="1" x14ac:dyDescent="0.35">
      <c r="A190" s="33" t="s">
        <v>1321</v>
      </c>
      <c r="B190" s="33" t="s">
        <v>85</v>
      </c>
      <c r="C190" s="33" t="s">
        <v>1322</v>
      </c>
      <c r="D190" s="33" t="s">
        <v>1325</v>
      </c>
      <c r="E190" s="33" t="s">
        <v>2856</v>
      </c>
      <c r="F190" s="38" t="s">
        <v>56</v>
      </c>
    </row>
    <row r="191" spans="1:6" ht="14.5" hidden="1" customHeight="1" x14ac:dyDescent="0.35">
      <c r="A191" s="33" t="s">
        <v>1694</v>
      </c>
      <c r="B191" s="33" t="s">
        <v>80</v>
      </c>
      <c r="C191" s="33" t="s">
        <v>1695</v>
      </c>
      <c r="D191" s="33" t="s">
        <v>1696</v>
      </c>
      <c r="E191" s="33" t="s">
        <v>2843</v>
      </c>
      <c r="F191" s="38" t="s">
        <v>56</v>
      </c>
    </row>
    <row r="192" spans="1:6" ht="14.5" hidden="1" customHeight="1" x14ac:dyDescent="0.35">
      <c r="A192" s="33" t="s">
        <v>1694</v>
      </c>
      <c r="B192" s="33" t="s">
        <v>108</v>
      </c>
      <c r="C192" s="33" t="s">
        <v>1695</v>
      </c>
      <c r="D192" s="33" t="s">
        <v>1697</v>
      </c>
      <c r="E192" s="33" t="s">
        <v>2843</v>
      </c>
      <c r="F192" s="38" t="s">
        <v>56</v>
      </c>
    </row>
    <row r="193" spans="1:6" ht="14.5" hidden="1" customHeight="1" x14ac:dyDescent="0.35">
      <c r="A193" s="33" t="s">
        <v>1694</v>
      </c>
      <c r="B193" s="33" t="s">
        <v>83</v>
      </c>
      <c r="C193" s="33" t="s">
        <v>1695</v>
      </c>
      <c r="D193" s="33" t="s">
        <v>1698</v>
      </c>
      <c r="E193" s="33" t="s">
        <v>2861</v>
      </c>
      <c r="F193" s="38" t="s">
        <v>2740</v>
      </c>
    </row>
    <row r="194" spans="1:6" ht="14.5" hidden="1" customHeight="1" x14ac:dyDescent="0.35">
      <c r="A194" s="33" t="s">
        <v>1694</v>
      </c>
      <c r="B194" s="33" t="s">
        <v>19</v>
      </c>
      <c r="C194" s="33" t="s">
        <v>1695</v>
      </c>
      <c r="D194" s="33" t="s">
        <v>1699</v>
      </c>
      <c r="E194" s="33" t="s">
        <v>2847</v>
      </c>
      <c r="F194" s="38" t="s">
        <v>281</v>
      </c>
    </row>
    <row r="195" spans="1:6" ht="14.5" hidden="1" customHeight="1" x14ac:dyDescent="0.35">
      <c r="A195" s="33" t="s">
        <v>1694</v>
      </c>
      <c r="B195" s="33" t="s">
        <v>84</v>
      </c>
      <c r="C195" s="33" t="s">
        <v>1695</v>
      </c>
      <c r="D195" s="33" t="s">
        <v>1700</v>
      </c>
      <c r="E195" s="33" t="s">
        <v>2847</v>
      </c>
      <c r="F195" s="38" t="s">
        <v>2886</v>
      </c>
    </row>
    <row r="196" spans="1:6" ht="14.5" hidden="1" customHeight="1" x14ac:dyDescent="0.35">
      <c r="A196" s="33" t="s">
        <v>1694</v>
      </c>
      <c r="B196" s="33" t="s">
        <v>85</v>
      </c>
      <c r="C196" s="33" t="s">
        <v>1695</v>
      </c>
      <c r="D196" s="33" t="s">
        <v>1701</v>
      </c>
      <c r="E196" s="33" t="s">
        <v>2861</v>
      </c>
      <c r="F196" s="38" t="s">
        <v>2740</v>
      </c>
    </row>
    <row r="197" spans="1:6" ht="14.5" hidden="1" customHeight="1" x14ac:dyDescent="0.35">
      <c r="A197" s="33" t="s">
        <v>1694</v>
      </c>
      <c r="B197" s="33" t="s">
        <v>86</v>
      </c>
      <c r="C197" s="33" t="s">
        <v>1695</v>
      </c>
      <c r="D197" s="33" t="s">
        <v>1702</v>
      </c>
      <c r="E197" s="33" t="s">
        <v>2843</v>
      </c>
      <c r="F197" s="38" t="s">
        <v>56</v>
      </c>
    </row>
    <row r="198" spans="1:6" ht="14.5" hidden="1" customHeight="1" x14ac:dyDescent="0.35">
      <c r="A198" s="33" t="s">
        <v>1694</v>
      </c>
      <c r="B198" s="33" t="s">
        <v>89</v>
      </c>
      <c r="C198" s="33" t="s">
        <v>1695</v>
      </c>
      <c r="D198" s="33" t="s">
        <v>1703</v>
      </c>
      <c r="E198" s="33" t="s">
        <v>2859</v>
      </c>
      <c r="F198" s="38" t="s">
        <v>56</v>
      </c>
    </row>
    <row r="199" spans="1:6" ht="14.5" hidden="1" customHeight="1" x14ac:dyDescent="0.35">
      <c r="A199" s="33" t="s">
        <v>1694</v>
      </c>
      <c r="B199" s="33" t="s">
        <v>87</v>
      </c>
      <c r="C199" s="33" t="s">
        <v>1695</v>
      </c>
      <c r="D199" s="33" t="s">
        <v>1704</v>
      </c>
      <c r="E199" s="33" t="s">
        <v>2843</v>
      </c>
      <c r="F199" s="38" t="s">
        <v>56</v>
      </c>
    </row>
    <row r="200" spans="1:6" ht="14.5" hidden="1" customHeight="1" x14ac:dyDescent="0.35">
      <c r="A200" s="33" t="s">
        <v>1719</v>
      </c>
      <c r="B200" s="33" t="s">
        <v>80</v>
      </c>
      <c r="C200" s="33" t="s">
        <v>1720</v>
      </c>
      <c r="D200" s="33" t="s">
        <v>1720</v>
      </c>
      <c r="E200" s="33" t="s">
        <v>2845</v>
      </c>
      <c r="F200" s="38" t="s">
        <v>50</v>
      </c>
    </row>
    <row r="201" spans="1:6" ht="14.5" hidden="1" customHeight="1" x14ac:dyDescent="0.35">
      <c r="A201" s="33" t="s">
        <v>2212</v>
      </c>
      <c r="B201" s="33" t="s">
        <v>80</v>
      </c>
      <c r="C201" s="33" t="s">
        <v>2213</v>
      </c>
      <c r="D201" s="33" t="s">
        <v>2214</v>
      </c>
      <c r="E201" s="33" t="s">
        <v>2871</v>
      </c>
      <c r="F201" s="38" t="s">
        <v>54</v>
      </c>
    </row>
    <row r="202" spans="1:6" ht="14.5" hidden="1" customHeight="1" x14ac:dyDescent="0.35">
      <c r="A202" s="33" t="s">
        <v>2212</v>
      </c>
      <c r="B202" s="33" t="s">
        <v>82</v>
      </c>
      <c r="C202" s="33" t="s">
        <v>2213</v>
      </c>
      <c r="D202" s="33" t="s">
        <v>2214</v>
      </c>
      <c r="E202" s="33" t="s">
        <v>2866</v>
      </c>
      <c r="F202" s="38" t="s">
        <v>54</v>
      </c>
    </row>
    <row r="203" spans="1:6" ht="14.5" hidden="1" customHeight="1" x14ac:dyDescent="0.35">
      <c r="A203" s="33" t="s">
        <v>2230</v>
      </c>
      <c r="B203" s="33" t="s">
        <v>80</v>
      </c>
      <c r="C203" s="33" t="s">
        <v>2231</v>
      </c>
      <c r="D203" s="33" t="s">
        <v>2232</v>
      </c>
      <c r="E203" s="33" t="s">
        <v>2856</v>
      </c>
      <c r="F203" s="38" t="s">
        <v>56</v>
      </c>
    </row>
    <row r="204" spans="1:6" ht="14.5" hidden="1" customHeight="1" x14ac:dyDescent="0.35">
      <c r="A204" s="33" t="s">
        <v>2230</v>
      </c>
      <c r="B204" s="33" t="s">
        <v>90</v>
      </c>
      <c r="C204" s="33" t="s">
        <v>2231</v>
      </c>
      <c r="D204" s="33" t="s">
        <v>2233</v>
      </c>
      <c r="E204" s="33" t="s">
        <v>2856</v>
      </c>
      <c r="F204" s="38" t="s">
        <v>56</v>
      </c>
    </row>
    <row r="205" spans="1:6" ht="14.5" hidden="1" customHeight="1" x14ac:dyDescent="0.35">
      <c r="A205" s="33" t="s">
        <v>223</v>
      </c>
      <c r="B205" s="33" t="s">
        <v>81</v>
      </c>
      <c r="C205" s="33" t="s">
        <v>224</v>
      </c>
      <c r="D205" s="33" t="s">
        <v>225</v>
      </c>
      <c r="E205" s="33" t="s">
        <v>2843</v>
      </c>
      <c r="F205" s="38" t="s">
        <v>56</v>
      </c>
    </row>
    <row r="206" spans="1:6" ht="14.5" customHeight="1" x14ac:dyDescent="0.35">
      <c r="A206" s="33" t="s">
        <v>223</v>
      </c>
      <c r="B206" s="33" t="s">
        <v>82</v>
      </c>
      <c r="C206" s="33" t="s">
        <v>224</v>
      </c>
      <c r="D206" s="33" t="s">
        <v>227</v>
      </c>
      <c r="E206" s="33" t="s">
        <v>2879</v>
      </c>
      <c r="F206" s="38" t="s">
        <v>1687</v>
      </c>
    </row>
    <row r="207" spans="1:6" ht="14.5" customHeight="1" x14ac:dyDescent="0.35">
      <c r="A207" s="33" t="s">
        <v>223</v>
      </c>
      <c r="B207" s="33" t="s">
        <v>83</v>
      </c>
      <c r="C207" s="33" t="s">
        <v>224</v>
      </c>
      <c r="D207" s="33" t="s">
        <v>228</v>
      </c>
      <c r="E207" s="33" t="s">
        <v>2879</v>
      </c>
      <c r="F207" s="38" t="s">
        <v>1687</v>
      </c>
    </row>
    <row r="208" spans="1:6" ht="14.5" hidden="1" customHeight="1" x14ac:dyDescent="0.35">
      <c r="A208" s="33" t="s">
        <v>223</v>
      </c>
      <c r="B208" s="33" t="s">
        <v>84</v>
      </c>
      <c r="C208" s="33" t="s">
        <v>224</v>
      </c>
      <c r="D208" s="33" t="s">
        <v>229</v>
      </c>
      <c r="E208" s="33" t="s">
        <v>2843</v>
      </c>
      <c r="F208" s="38" t="s">
        <v>56</v>
      </c>
    </row>
    <row r="209" spans="1:6" ht="14.5" customHeight="1" x14ac:dyDescent="0.35">
      <c r="A209" s="33" t="s">
        <v>591</v>
      </c>
      <c r="B209" s="33" t="s">
        <v>83</v>
      </c>
      <c r="C209" s="33" t="s">
        <v>592</v>
      </c>
      <c r="D209" s="33" t="s">
        <v>593</v>
      </c>
      <c r="E209" s="33" t="s">
        <v>2879</v>
      </c>
      <c r="F209" s="38" t="s">
        <v>1687</v>
      </c>
    </row>
    <row r="210" spans="1:6" ht="14.5" customHeight="1" x14ac:dyDescent="0.35">
      <c r="A210" s="33" t="s">
        <v>591</v>
      </c>
      <c r="B210" s="33" t="s">
        <v>19</v>
      </c>
      <c r="C210" s="33" t="s">
        <v>592</v>
      </c>
      <c r="D210" s="33" t="s">
        <v>594</v>
      </c>
      <c r="E210" s="33" t="s">
        <v>2879</v>
      </c>
      <c r="F210" s="38" t="s">
        <v>1687</v>
      </c>
    </row>
    <row r="211" spans="1:6" ht="14.5" hidden="1" customHeight="1" x14ac:dyDescent="0.35">
      <c r="A211" s="33" t="s">
        <v>254</v>
      </c>
      <c r="B211" s="33" t="s">
        <v>80</v>
      </c>
      <c r="C211" s="33" t="s">
        <v>255</v>
      </c>
      <c r="D211" s="33" t="s">
        <v>255</v>
      </c>
      <c r="E211" s="33" t="s">
        <v>2845</v>
      </c>
      <c r="F211" s="38" t="s">
        <v>50</v>
      </c>
    </row>
    <row r="212" spans="1:6" ht="14.5" hidden="1" customHeight="1" x14ac:dyDescent="0.35">
      <c r="A212" s="33" t="s">
        <v>371</v>
      </c>
      <c r="B212" s="33" t="s">
        <v>80</v>
      </c>
      <c r="C212" s="33" t="s">
        <v>372</v>
      </c>
      <c r="D212" s="33" t="s">
        <v>373</v>
      </c>
      <c r="E212" s="33" t="s">
        <v>2843</v>
      </c>
      <c r="F212" s="38" t="s">
        <v>56</v>
      </c>
    </row>
    <row r="213" spans="1:6" ht="14.5" hidden="1" customHeight="1" x14ac:dyDescent="0.35">
      <c r="A213" s="33" t="s">
        <v>371</v>
      </c>
      <c r="B213" s="33" t="s">
        <v>82</v>
      </c>
      <c r="C213" s="33" t="s">
        <v>372</v>
      </c>
      <c r="D213" s="33" t="s">
        <v>374</v>
      </c>
      <c r="E213" s="33" t="s">
        <v>2847</v>
      </c>
      <c r="F213" s="38" t="s">
        <v>1914</v>
      </c>
    </row>
    <row r="214" spans="1:6" ht="14.5" hidden="1" customHeight="1" x14ac:dyDescent="0.35">
      <c r="A214" s="33" t="s">
        <v>371</v>
      </c>
      <c r="B214" s="33" t="s">
        <v>19</v>
      </c>
      <c r="C214" s="33" t="s">
        <v>372</v>
      </c>
      <c r="D214" s="33" t="s">
        <v>375</v>
      </c>
      <c r="E214" s="33" t="s">
        <v>2844</v>
      </c>
      <c r="F214" s="38" t="s">
        <v>48</v>
      </c>
    </row>
    <row r="215" spans="1:6" ht="14.5" hidden="1" customHeight="1" x14ac:dyDescent="0.35">
      <c r="A215" s="33" t="s">
        <v>371</v>
      </c>
      <c r="B215" s="33" t="s">
        <v>84</v>
      </c>
      <c r="C215" s="33" t="s">
        <v>372</v>
      </c>
      <c r="D215" s="33" t="s">
        <v>376</v>
      </c>
      <c r="E215" s="33" t="s">
        <v>2839</v>
      </c>
      <c r="F215" s="38" t="s">
        <v>48</v>
      </c>
    </row>
    <row r="216" spans="1:6" ht="14.5" hidden="1" customHeight="1" x14ac:dyDescent="0.35">
      <c r="A216" s="33" t="s">
        <v>371</v>
      </c>
      <c r="B216" s="33" t="s">
        <v>85</v>
      </c>
      <c r="C216" s="33" t="s">
        <v>372</v>
      </c>
      <c r="D216" s="33" t="s">
        <v>377</v>
      </c>
      <c r="E216" s="33" t="s">
        <v>2847</v>
      </c>
      <c r="F216" s="38" t="s">
        <v>1914</v>
      </c>
    </row>
    <row r="217" spans="1:6" ht="14.5" hidden="1" customHeight="1" x14ac:dyDescent="0.35">
      <c r="A217" s="33" t="s">
        <v>371</v>
      </c>
      <c r="B217" s="33" t="s">
        <v>89</v>
      </c>
      <c r="C217" s="33" t="s">
        <v>372</v>
      </c>
      <c r="D217" s="33" t="s">
        <v>379</v>
      </c>
      <c r="E217" s="33" t="s">
        <v>2844</v>
      </c>
      <c r="F217" s="38" t="s">
        <v>48</v>
      </c>
    </row>
    <row r="218" spans="1:6" ht="14.5" hidden="1" customHeight="1" x14ac:dyDescent="0.35">
      <c r="A218" s="33" t="s">
        <v>371</v>
      </c>
      <c r="B218" s="33" t="s">
        <v>87</v>
      </c>
      <c r="C218" s="33" t="s">
        <v>372</v>
      </c>
      <c r="D218" s="33" t="s">
        <v>380</v>
      </c>
      <c r="E218" s="33" t="s">
        <v>2839</v>
      </c>
      <c r="F218" s="38" t="s">
        <v>48</v>
      </c>
    </row>
    <row r="219" spans="1:6" ht="14.5" hidden="1" customHeight="1" x14ac:dyDescent="0.35">
      <c r="A219" s="33" t="s">
        <v>371</v>
      </c>
      <c r="B219" s="33" t="s">
        <v>90</v>
      </c>
      <c r="C219" s="33" t="s">
        <v>372</v>
      </c>
      <c r="D219" s="33" t="s">
        <v>381</v>
      </c>
      <c r="E219" s="33" t="s">
        <v>2843</v>
      </c>
      <c r="F219" s="38" t="s">
        <v>56</v>
      </c>
    </row>
    <row r="220" spans="1:6" ht="14.5" hidden="1" customHeight="1" x14ac:dyDescent="0.35">
      <c r="A220" s="33" t="s">
        <v>438</v>
      </c>
      <c r="B220" s="33" t="s">
        <v>80</v>
      </c>
      <c r="C220" s="33" t="s">
        <v>439</v>
      </c>
      <c r="D220" s="33" t="s">
        <v>440</v>
      </c>
      <c r="E220" s="33" t="s">
        <v>2845</v>
      </c>
      <c r="F220" s="38" t="s">
        <v>50</v>
      </c>
    </row>
    <row r="221" spans="1:6" ht="14.5" hidden="1" customHeight="1" x14ac:dyDescent="0.35">
      <c r="A221" s="33" t="s">
        <v>438</v>
      </c>
      <c r="B221" s="33" t="s">
        <v>331</v>
      </c>
      <c r="C221" s="33" t="s">
        <v>439</v>
      </c>
      <c r="D221" s="33" t="s">
        <v>441</v>
      </c>
      <c r="E221" s="33" t="s">
        <v>2845</v>
      </c>
      <c r="F221" s="38" t="s">
        <v>50</v>
      </c>
    </row>
    <row r="222" spans="1:6" ht="14.5" hidden="1" customHeight="1" x14ac:dyDescent="0.35">
      <c r="A222" s="33" t="s">
        <v>438</v>
      </c>
      <c r="B222" s="33" t="s">
        <v>83</v>
      </c>
      <c r="C222" s="33" t="s">
        <v>439</v>
      </c>
      <c r="D222" s="33" t="s">
        <v>442</v>
      </c>
      <c r="E222" s="33" t="s">
        <v>2876</v>
      </c>
      <c r="F222" s="38" t="s">
        <v>50</v>
      </c>
    </row>
    <row r="223" spans="1:6" ht="14.5" hidden="1" customHeight="1" x14ac:dyDescent="0.35">
      <c r="A223" s="33" t="s">
        <v>438</v>
      </c>
      <c r="B223" s="33" t="s">
        <v>443</v>
      </c>
      <c r="C223" s="33" t="s">
        <v>439</v>
      </c>
      <c r="D223" s="33" t="s">
        <v>444</v>
      </c>
      <c r="E223" s="33" t="s">
        <v>2843</v>
      </c>
      <c r="F223" s="38" t="s">
        <v>56</v>
      </c>
    </row>
    <row r="224" spans="1:6" ht="14.5" hidden="1" customHeight="1" x14ac:dyDescent="0.35">
      <c r="A224" s="33" t="s">
        <v>438</v>
      </c>
      <c r="B224" s="33" t="s">
        <v>174</v>
      </c>
      <c r="C224" s="33" t="s">
        <v>439</v>
      </c>
      <c r="D224" s="33" t="s">
        <v>445</v>
      </c>
      <c r="E224" s="33" t="s">
        <v>2870</v>
      </c>
      <c r="F224" s="38" t="s">
        <v>56</v>
      </c>
    </row>
    <row r="225" spans="1:6" ht="14.5" hidden="1" customHeight="1" x14ac:dyDescent="0.35">
      <c r="A225" s="33" t="s">
        <v>438</v>
      </c>
      <c r="B225" s="33" t="s">
        <v>446</v>
      </c>
      <c r="C225" s="33" t="s">
        <v>439</v>
      </c>
      <c r="D225" s="33" t="s">
        <v>447</v>
      </c>
      <c r="E225" s="33" t="s">
        <v>2861</v>
      </c>
      <c r="F225" s="38" t="s">
        <v>2740</v>
      </c>
    </row>
    <row r="226" spans="1:6" ht="14.5" hidden="1" customHeight="1" x14ac:dyDescent="0.35">
      <c r="A226" s="33" t="s">
        <v>438</v>
      </c>
      <c r="B226" s="33" t="s">
        <v>85</v>
      </c>
      <c r="C226" s="33" t="s">
        <v>439</v>
      </c>
      <c r="D226" s="33" t="s">
        <v>448</v>
      </c>
      <c r="E226" s="33" t="s">
        <v>2859</v>
      </c>
      <c r="F226" s="38" t="s">
        <v>56</v>
      </c>
    </row>
    <row r="227" spans="1:6" ht="14.5" hidden="1" customHeight="1" x14ac:dyDescent="0.35">
      <c r="A227" s="33" t="s">
        <v>438</v>
      </c>
      <c r="B227" s="33" t="s">
        <v>449</v>
      </c>
      <c r="C227" s="33" t="s">
        <v>439</v>
      </c>
      <c r="D227" s="33" t="s">
        <v>450</v>
      </c>
      <c r="E227" s="33" t="s">
        <v>2861</v>
      </c>
      <c r="F227" s="38" t="s">
        <v>2740</v>
      </c>
    </row>
    <row r="228" spans="1:6" ht="14.5" hidden="1" customHeight="1" x14ac:dyDescent="0.35">
      <c r="A228" s="33" t="s">
        <v>457</v>
      </c>
      <c r="B228" s="33" t="s">
        <v>80</v>
      </c>
      <c r="C228" s="33" t="s">
        <v>458</v>
      </c>
      <c r="D228" s="33" t="s">
        <v>456</v>
      </c>
      <c r="E228" s="33" t="s">
        <v>2873</v>
      </c>
      <c r="F228" s="38" t="s">
        <v>132</v>
      </c>
    </row>
    <row r="229" spans="1:6" ht="14.5" hidden="1" customHeight="1" x14ac:dyDescent="0.35">
      <c r="A229" s="33" t="s">
        <v>459</v>
      </c>
      <c r="B229" s="33" t="s">
        <v>80</v>
      </c>
      <c r="C229" s="33" t="s">
        <v>460</v>
      </c>
      <c r="D229" s="33" t="s">
        <v>435</v>
      </c>
      <c r="E229" s="33" t="s">
        <v>2873</v>
      </c>
      <c r="F229" s="38" t="s">
        <v>132</v>
      </c>
    </row>
    <row r="230" spans="1:6" ht="14.5" hidden="1" customHeight="1" x14ac:dyDescent="0.35">
      <c r="A230" s="33" t="s">
        <v>740</v>
      </c>
      <c r="B230" s="33" t="s">
        <v>80</v>
      </c>
      <c r="C230" s="33" t="s">
        <v>741</v>
      </c>
      <c r="D230" s="33" t="s">
        <v>741</v>
      </c>
      <c r="E230" s="33" t="s">
        <v>2845</v>
      </c>
      <c r="F230" s="38" t="s">
        <v>50</v>
      </c>
    </row>
    <row r="231" spans="1:6" ht="14.5" hidden="1" customHeight="1" x14ac:dyDescent="0.35">
      <c r="A231" s="33" t="s">
        <v>1478</v>
      </c>
      <c r="B231" s="33" t="s">
        <v>94</v>
      </c>
      <c r="C231" s="33" t="s">
        <v>1479</v>
      </c>
      <c r="D231" s="33" t="s">
        <v>1480</v>
      </c>
      <c r="E231" s="33" t="s">
        <v>2844</v>
      </c>
      <c r="F231" s="38" t="s">
        <v>48</v>
      </c>
    </row>
    <row r="232" spans="1:6" ht="14.5" hidden="1" customHeight="1" x14ac:dyDescent="0.35">
      <c r="A232" s="33" t="s">
        <v>1478</v>
      </c>
      <c r="B232" s="33" t="s">
        <v>97</v>
      </c>
      <c r="C232" s="33" t="s">
        <v>1479</v>
      </c>
      <c r="D232" s="33" t="s">
        <v>1481</v>
      </c>
      <c r="E232" s="33" t="s">
        <v>2870</v>
      </c>
      <c r="F232" s="38" t="s">
        <v>56</v>
      </c>
    </row>
    <row r="233" spans="1:6" ht="14.5" hidden="1" customHeight="1" x14ac:dyDescent="0.35">
      <c r="A233" s="33" t="s">
        <v>1478</v>
      </c>
      <c r="B233" s="33" t="s">
        <v>102</v>
      </c>
      <c r="C233" s="33" t="s">
        <v>1479</v>
      </c>
      <c r="D233" s="33" t="s">
        <v>1482</v>
      </c>
      <c r="E233" s="33" t="s">
        <v>2859</v>
      </c>
      <c r="F233" s="38" t="s">
        <v>56</v>
      </c>
    </row>
    <row r="234" spans="1:6" ht="14.5" customHeight="1" x14ac:dyDescent="0.35">
      <c r="A234" s="33" t="s">
        <v>1930</v>
      </c>
      <c r="B234" s="33" t="s">
        <v>80</v>
      </c>
      <c r="C234" s="33" t="s">
        <v>1931</v>
      </c>
      <c r="D234" s="33" t="s">
        <v>1932</v>
      </c>
      <c r="E234" s="33" t="s">
        <v>2879</v>
      </c>
      <c r="F234" s="38" t="s">
        <v>1687</v>
      </c>
    </row>
    <row r="235" spans="1:6" ht="14.5" hidden="1" customHeight="1" x14ac:dyDescent="0.35">
      <c r="A235" s="33" t="s">
        <v>1930</v>
      </c>
      <c r="B235" s="33" t="s">
        <v>82</v>
      </c>
      <c r="C235" s="33" t="s">
        <v>1931</v>
      </c>
      <c r="D235" s="33" t="s">
        <v>1933</v>
      </c>
      <c r="E235" s="33" t="s">
        <v>2861</v>
      </c>
      <c r="F235" s="38" t="s">
        <v>2740</v>
      </c>
    </row>
    <row r="236" spans="1:6" ht="14.5" customHeight="1" x14ac:dyDescent="0.35">
      <c r="A236" s="33" t="s">
        <v>1930</v>
      </c>
      <c r="B236" s="33" t="s">
        <v>83</v>
      </c>
      <c r="C236" s="33" t="s">
        <v>1931</v>
      </c>
      <c r="D236" s="33" t="s">
        <v>1934</v>
      </c>
      <c r="E236" s="33" t="s">
        <v>2879</v>
      </c>
      <c r="F236" s="38" t="s">
        <v>1687</v>
      </c>
    </row>
    <row r="237" spans="1:6" ht="14.5" hidden="1" customHeight="1" x14ac:dyDescent="0.35">
      <c r="A237" s="33" t="s">
        <v>1930</v>
      </c>
      <c r="B237" s="33" t="s">
        <v>84</v>
      </c>
      <c r="C237" s="33" t="s">
        <v>1931</v>
      </c>
      <c r="D237" s="33" t="s">
        <v>1935</v>
      </c>
      <c r="E237" s="33" t="s">
        <v>2844</v>
      </c>
      <c r="F237" s="38" t="s">
        <v>48</v>
      </c>
    </row>
    <row r="238" spans="1:6" ht="14.5" hidden="1" customHeight="1" x14ac:dyDescent="0.35">
      <c r="A238" s="33" t="s">
        <v>1930</v>
      </c>
      <c r="B238" s="33" t="s">
        <v>85</v>
      </c>
      <c r="C238" s="33" t="s">
        <v>1931</v>
      </c>
      <c r="D238" s="33" t="s">
        <v>1936</v>
      </c>
      <c r="E238" s="33" t="s">
        <v>2839</v>
      </c>
      <c r="F238" s="38" t="s">
        <v>48</v>
      </c>
    </row>
    <row r="239" spans="1:6" ht="14.5" hidden="1" customHeight="1" x14ac:dyDescent="0.35">
      <c r="A239" s="33" t="s">
        <v>2122</v>
      </c>
      <c r="B239" s="33" t="s">
        <v>82</v>
      </c>
      <c r="C239" s="33" t="s">
        <v>2123</v>
      </c>
      <c r="D239" s="33" t="s">
        <v>2123</v>
      </c>
      <c r="E239" s="33" t="s">
        <v>2845</v>
      </c>
      <c r="F239" s="38" t="s">
        <v>50</v>
      </c>
    </row>
    <row r="240" spans="1:6" ht="14.5" hidden="1" customHeight="1" x14ac:dyDescent="0.35">
      <c r="A240" s="33" t="s">
        <v>2270</v>
      </c>
      <c r="B240" s="33" t="s">
        <v>93</v>
      </c>
      <c r="C240" s="33" t="s">
        <v>2271</v>
      </c>
      <c r="D240" s="33" t="s">
        <v>2272</v>
      </c>
      <c r="E240" s="33" t="s">
        <v>2845</v>
      </c>
      <c r="F240" s="38" t="s">
        <v>50</v>
      </c>
    </row>
    <row r="241" spans="1:6" ht="14.5" hidden="1" customHeight="1" x14ac:dyDescent="0.35">
      <c r="A241" s="33" t="s">
        <v>2270</v>
      </c>
      <c r="B241" s="33" t="s">
        <v>96</v>
      </c>
      <c r="C241" s="33" t="s">
        <v>2271</v>
      </c>
      <c r="D241" s="33" t="s">
        <v>2273</v>
      </c>
      <c r="E241" s="33" t="s">
        <v>2873</v>
      </c>
      <c r="F241" s="38" t="s">
        <v>132</v>
      </c>
    </row>
    <row r="242" spans="1:6" ht="14.5" customHeight="1" x14ac:dyDescent="0.35">
      <c r="A242" s="33" t="s">
        <v>2360</v>
      </c>
      <c r="B242" s="33" t="s">
        <v>80</v>
      </c>
      <c r="C242" s="33" t="s">
        <v>2361</v>
      </c>
      <c r="D242" s="33" t="s">
        <v>2361</v>
      </c>
      <c r="E242" s="33" t="s">
        <v>2879</v>
      </c>
      <c r="F242" s="38" t="s">
        <v>1687</v>
      </c>
    </row>
    <row r="243" spans="1:6" ht="14.5" hidden="1" customHeight="1" x14ac:dyDescent="0.35">
      <c r="A243" s="33" t="s">
        <v>2360</v>
      </c>
      <c r="B243" s="33" t="s">
        <v>83</v>
      </c>
      <c r="C243" s="33" t="s">
        <v>2361</v>
      </c>
      <c r="D243" s="33" t="s">
        <v>2362</v>
      </c>
      <c r="E243" s="33" t="s">
        <v>2844</v>
      </c>
      <c r="F243" s="38" t="s">
        <v>48</v>
      </c>
    </row>
    <row r="244" spans="1:6" ht="14.5" hidden="1" customHeight="1" x14ac:dyDescent="0.35">
      <c r="A244" s="33" t="s">
        <v>2360</v>
      </c>
      <c r="B244" s="33" t="s">
        <v>19</v>
      </c>
      <c r="C244" s="33" t="s">
        <v>2361</v>
      </c>
      <c r="D244" s="33" t="s">
        <v>2363</v>
      </c>
      <c r="E244" s="33" t="s">
        <v>2839</v>
      </c>
      <c r="F244" s="38" t="s">
        <v>48</v>
      </c>
    </row>
    <row r="245" spans="1:6" ht="14.5" hidden="1" customHeight="1" x14ac:dyDescent="0.35">
      <c r="A245" s="33" t="s">
        <v>2379</v>
      </c>
      <c r="B245" s="33" t="s">
        <v>81</v>
      </c>
      <c r="C245" s="33" t="s">
        <v>2380</v>
      </c>
      <c r="D245" s="33" t="s">
        <v>1977</v>
      </c>
      <c r="E245" s="33" t="s">
        <v>2843</v>
      </c>
      <c r="F245" s="38" t="s">
        <v>56</v>
      </c>
    </row>
    <row r="246" spans="1:6" ht="14.5" customHeight="1" x14ac:dyDescent="0.35">
      <c r="A246" s="33" t="s">
        <v>2379</v>
      </c>
      <c r="B246" s="33" t="s">
        <v>80</v>
      </c>
      <c r="C246" s="33" t="s">
        <v>2380</v>
      </c>
      <c r="D246" s="33" t="s">
        <v>1978</v>
      </c>
      <c r="E246" s="33" t="s">
        <v>2879</v>
      </c>
      <c r="F246" s="38" t="s">
        <v>1687</v>
      </c>
    </row>
    <row r="247" spans="1:6" ht="14.5" customHeight="1" x14ac:dyDescent="0.35">
      <c r="A247" s="33" t="s">
        <v>2379</v>
      </c>
      <c r="B247" s="33" t="s">
        <v>82</v>
      </c>
      <c r="C247" s="33" t="s">
        <v>2380</v>
      </c>
      <c r="D247" s="33" t="s">
        <v>1979</v>
      </c>
      <c r="E247" s="33" t="s">
        <v>2879</v>
      </c>
      <c r="F247" s="38" t="s">
        <v>1687</v>
      </c>
    </row>
    <row r="248" spans="1:6" ht="14.5" hidden="1" customHeight="1" x14ac:dyDescent="0.35">
      <c r="A248" s="33" t="s">
        <v>2379</v>
      </c>
      <c r="B248" s="33" t="s">
        <v>83</v>
      </c>
      <c r="C248" s="33" t="s">
        <v>2380</v>
      </c>
      <c r="D248" s="33" t="s">
        <v>1980</v>
      </c>
      <c r="E248" s="33" t="s">
        <v>2870</v>
      </c>
      <c r="F248" s="38" t="s">
        <v>56</v>
      </c>
    </row>
    <row r="249" spans="1:6" ht="14.5" hidden="1" customHeight="1" x14ac:dyDescent="0.35">
      <c r="A249" s="33" t="s">
        <v>2379</v>
      </c>
      <c r="B249" s="33" t="s">
        <v>19</v>
      </c>
      <c r="C249" s="33" t="s">
        <v>2380</v>
      </c>
      <c r="D249" s="33" t="s">
        <v>1981</v>
      </c>
      <c r="E249" s="33" t="s">
        <v>2861</v>
      </c>
      <c r="F249" s="38" t="s">
        <v>2740</v>
      </c>
    </row>
    <row r="250" spans="1:6" ht="14.5" hidden="1" customHeight="1" x14ac:dyDescent="0.35">
      <c r="A250" s="33" t="s">
        <v>2379</v>
      </c>
      <c r="B250" s="33" t="s">
        <v>174</v>
      </c>
      <c r="C250" s="33" t="s">
        <v>2380</v>
      </c>
      <c r="D250" s="33" t="s">
        <v>1982</v>
      </c>
      <c r="E250" s="33" t="s">
        <v>2861</v>
      </c>
      <c r="F250" s="38" t="s">
        <v>2740</v>
      </c>
    </row>
    <row r="251" spans="1:6" ht="14.5" hidden="1" customHeight="1" x14ac:dyDescent="0.35">
      <c r="A251" s="33" t="s">
        <v>2379</v>
      </c>
      <c r="B251" s="33" t="s">
        <v>84</v>
      </c>
      <c r="C251" s="33" t="s">
        <v>2380</v>
      </c>
      <c r="D251" s="33" t="s">
        <v>1983</v>
      </c>
      <c r="E251" s="33" t="s">
        <v>2859</v>
      </c>
      <c r="F251" s="38" t="s">
        <v>56</v>
      </c>
    </row>
    <row r="252" spans="1:6" ht="14.5" customHeight="1" x14ac:dyDescent="0.35">
      <c r="A252" s="33" t="s">
        <v>2379</v>
      </c>
      <c r="B252" s="33" t="s">
        <v>89</v>
      </c>
      <c r="C252" s="33" t="s">
        <v>2380</v>
      </c>
      <c r="D252" s="33" t="s">
        <v>1985</v>
      </c>
      <c r="E252" s="33" t="s">
        <v>2879</v>
      </c>
      <c r="F252" s="38" t="s">
        <v>1687</v>
      </c>
    </row>
    <row r="253" spans="1:6" ht="14.5" customHeight="1" x14ac:dyDescent="0.35">
      <c r="A253" s="33" t="s">
        <v>2379</v>
      </c>
      <c r="B253" s="33" t="s">
        <v>87</v>
      </c>
      <c r="C253" s="33" t="s">
        <v>2380</v>
      </c>
      <c r="D253" s="33" t="s">
        <v>1986</v>
      </c>
      <c r="E253" s="33" t="s">
        <v>2879</v>
      </c>
      <c r="F253" s="38" t="s">
        <v>1687</v>
      </c>
    </row>
    <row r="254" spans="1:6" ht="14.5" hidden="1" customHeight="1" x14ac:dyDescent="0.35">
      <c r="A254" s="33" t="s">
        <v>2379</v>
      </c>
      <c r="B254" s="33" t="s">
        <v>88</v>
      </c>
      <c r="C254" s="33" t="s">
        <v>2380</v>
      </c>
      <c r="D254" s="33" t="s">
        <v>1987</v>
      </c>
      <c r="E254" s="33" t="s">
        <v>2843</v>
      </c>
      <c r="F254" s="38" t="s">
        <v>56</v>
      </c>
    </row>
    <row r="255" spans="1:6" ht="14.5" hidden="1" customHeight="1" x14ac:dyDescent="0.35">
      <c r="A255" s="33" t="s">
        <v>2381</v>
      </c>
      <c r="B255" s="33" t="s">
        <v>81</v>
      </c>
      <c r="C255" s="33" t="s">
        <v>2382</v>
      </c>
      <c r="D255" s="33" t="s">
        <v>1977</v>
      </c>
      <c r="E255" s="33" t="s">
        <v>2843</v>
      </c>
      <c r="F255" s="38" t="s">
        <v>56</v>
      </c>
    </row>
    <row r="256" spans="1:6" ht="14.5" customHeight="1" x14ac:dyDescent="0.35">
      <c r="A256" s="33" t="s">
        <v>2381</v>
      </c>
      <c r="B256" s="33" t="s">
        <v>80</v>
      </c>
      <c r="C256" s="33" t="s">
        <v>2382</v>
      </c>
      <c r="D256" s="33" t="s">
        <v>1978</v>
      </c>
      <c r="E256" s="33" t="s">
        <v>2879</v>
      </c>
      <c r="F256" s="38" t="s">
        <v>1687</v>
      </c>
    </row>
    <row r="257" spans="1:6" ht="14.5" customHeight="1" x14ac:dyDescent="0.35">
      <c r="A257" s="33" t="s">
        <v>2381</v>
      </c>
      <c r="B257" s="33" t="s">
        <v>82</v>
      </c>
      <c r="C257" s="33" t="s">
        <v>2382</v>
      </c>
      <c r="D257" s="33" t="s">
        <v>1979</v>
      </c>
      <c r="E257" s="33" t="s">
        <v>2879</v>
      </c>
      <c r="F257" s="38" t="s">
        <v>1687</v>
      </c>
    </row>
    <row r="258" spans="1:6" ht="14.5" hidden="1" customHeight="1" x14ac:dyDescent="0.35">
      <c r="A258" s="33" t="s">
        <v>2381</v>
      </c>
      <c r="B258" s="33" t="s">
        <v>83</v>
      </c>
      <c r="C258" s="33" t="s">
        <v>2382</v>
      </c>
      <c r="D258" s="33" t="s">
        <v>1980</v>
      </c>
      <c r="E258" s="33" t="s">
        <v>2870</v>
      </c>
      <c r="F258" s="38" t="s">
        <v>56</v>
      </c>
    </row>
    <row r="259" spans="1:6" ht="14.5" hidden="1" customHeight="1" x14ac:dyDescent="0.35">
      <c r="A259" s="33" t="s">
        <v>2381</v>
      </c>
      <c r="B259" s="33" t="s">
        <v>19</v>
      </c>
      <c r="C259" s="33" t="s">
        <v>2382</v>
      </c>
      <c r="D259" s="33" t="s">
        <v>1981</v>
      </c>
      <c r="E259" s="33" t="s">
        <v>2861</v>
      </c>
      <c r="F259" s="38" t="s">
        <v>2740</v>
      </c>
    </row>
    <row r="260" spans="1:6" ht="14.5" hidden="1" customHeight="1" x14ac:dyDescent="0.35">
      <c r="A260" s="33" t="s">
        <v>2381</v>
      </c>
      <c r="B260" s="33" t="s">
        <v>174</v>
      </c>
      <c r="C260" s="33" t="s">
        <v>2382</v>
      </c>
      <c r="D260" s="33" t="s">
        <v>1982</v>
      </c>
      <c r="E260" s="33" t="s">
        <v>2861</v>
      </c>
      <c r="F260" s="38" t="s">
        <v>2740</v>
      </c>
    </row>
    <row r="261" spans="1:6" ht="14.5" hidden="1" customHeight="1" x14ac:dyDescent="0.35">
      <c r="A261" s="33" t="s">
        <v>2381</v>
      </c>
      <c r="B261" s="33" t="s">
        <v>84</v>
      </c>
      <c r="C261" s="33" t="s">
        <v>2382</v>
      </c>
      <c r="D261" s="33" t="s">
        <v>1983</v>
      </c>
      <c r="E261" s="33" t="s">
        <v>2859</v>
      </c>
      <c r="F261" s="38" t="s">
        <v>56</v>
      </c>
    </row>
    <row r="262" spans="1:6" ht="14.5" hidden="1" customHeight="1" x14ac:dyDescent="0.35">
      <c r="A262" s="33" t="s">
        <v>2381</v>
      </c>
      <c r="B262" s="33" t="s">
        <v>85</v>
      </c>
      <c r="C262" s="33" t="s">
        <v>2382</v>
      </c>
      <c r="D262" s="33" t="s">
        <v>1984</v>
      </c>
      <c r="E262" s="33" t="s">
        <v>2869</v>
      </c>
      <c r="F262" s="38" t="s">
        <v>132</v>
      </c>
    </row>
    <row r="263" spans="1:6" ht="14.5" customHeight="1" x14ac:dyDescent="0.35">
      <c r="A263" s="33" t="s">
        <v>2381</v>
      </c>
      <c r="B263" s="33" t="s">
        <v>89</v>
      </c>
      <c r="C263" s="33" t="s">
        <v>2382</v>
      </c>
      <c r="D263" s="33" t="s">
        <v>1985</v>
      </c>
      <c r="E263" s="33" t="s">
        <v>2879</v>
      </c>
      <c r="F263" s="38" t="s">
        <v>1687</v>
      </c>
    </row>
    <row r="264" spans="1:6" ht="14.5" customHeight="1" x14ac:dyDescent="0.35">
      <c r="A264" s="33" t="s">
        <v>2381</v>
      </c>
      <c r="B264" s="33" t="s">
        <v>87</v>
      </c>
      <c r="C264" s="33" t="s">
        <v>2382</v>
      </c>
      <c r="D264" s="33" t="s">
        <v>1986</v>
      </c>
      <c r="E264" s="33" t="s">
        <v>2879</v>
      </c>
      <c r="F264" s="38" t="s">
        <v>1687</v>
      </c>
    </row>
    <row r="265" spans="1:6" ht="14.5" hidden="1" customHeight="1" x14ac:dyDescent="0.35">
      <c r="A265" s="33" t="s">
        <v>2381</v>
      </c>
      <c r="B265" s="33" t="s">
        <v>88</v>
      </c>
      <c r="C265" s="33" t="s">
        <v>2382</v>
      </c>
      <c r="D265" s="33" t="s">
        <v>1987</v>
      </c>
      <c r="E265" s="33" t="s">
        <v>2843</v>
      </c>
      <c r="F265" s="38" t="s">
        <v>56</v>
      </c>
    </row>
    <row r="266" spans="1:6" ht="14.5" hidden="1" customHeight="1" x14ac:dyDescent="0.35">
      <c r="A266" s="33" t="s">
        <v>2383</v>
      </c>
      <c r="B266" s="33" t="s">
        <v>81</v>
      </c>
      <c r="C266" s="33" t="s">
        <v>2384</v>
      </c>
      <c r="D266" s="33" t="s">
        <v>1977</v>
      </c>
      <c r="E266" s="33" t="s">
        <v>2843</v>
      </c>
      <c r="F266" s="38" t="s">
        <v>56</v>
      </c>
    </row>
    <row r="267" spans="1:6" ht="14.5" hidden="1" customHeight="1" x14ac:dyDescent="0.35">
      <c r="A267" s="33" t="s">
        <v>2383</v>
      </c>
      <c r="B267" s="33" t="s">
        <v>80</v>
      </c>
      <c r="C267" s="33" t="s">
        <v>2384</v>
      </c>
      <c r="D267" s="33" t="s">
        <v>1978</v>
      </c>
      <c r="E267" s="33" t="s">
        <v>2858</v>
      </c>
      <c r="F267" s="38" t="s">
        <v>132</v>
      </c>
    </row>
    <row r="268" spans="1:6" ht="14.5" hidden="1" customHeight="1" x14ac:dyDescent="0.35">
      <c r="A268" s="33" t="s">
        <v>2383</v>
      </c>
      <c r="B268" s="33" t="s">
        <v>82</v>
      </c>
      <c r="C268" s="33" t="s">
        <v>2384</v>
      </c>
      <c r="D268" s="33" t="s">
        <v>1979</v>
      </c>
      <c r="E268" s="33" t="s">
        <v>2858</v>
      </c>
      <c r="F268" s="38" t="s">
        <v>132</v>
      </c>
    </row>
    <row r="269" spans="1:6" ht="14.5" hidden="1" customHeight="1" x14ac:dyDescent="0.35">
      <c r="A269" s="33" t="s">
        <v>2383</v>
      </c>
      <c r="B269" s="33" t="s">
        <v>83</v>
      </c>
      <c r="C269" s="33" t="s">
        <v>2384</v>
      </c>
      <c r="D269" s="33" t="s">
        <v>1980</v>
      </c>
      <c r="E269" s="33" t="s">
        <v>2870</v>
      </c>
      <c r="F269" s="38" t="s">
        <v>56</v>
      </c>
    </row>
    <row r="270" spans="1:6" ht="14.5" hidden="1" customHeight="1" x14ac:dyDescent="0.35">
      <c r="A270" s="33" t="s">
        <v>2383</v>
      </c>
      <c r="B270" s="33" t="s">
        <v>19</v>
      </c>
      <c r="C270" s="33" t="s">
        <v>2384</v>
      </c>
      <c r="D270" s="33" t="s">
        <v>1981</v>
      </c>
      <c r="E270" s="33" t="s">
        <v>2861</v>
      </c>
      <c r="F270" s="38" t="s">
        <v>2740</v>
      </c>
    </row>
    <row r="271" spans="1:6" ht="14.5" hidden="1" customHeight="1" x14ac:dyDescent="0.35">
      <c r="A271" s="33" t="s">
        <v>2383</v>
      </c>
      <c r="B271" s="33" t="s">
        <v>174</v>
      </c>
      <c r="C271" s="33" t="s">
        <v>2384</v>
      </c>
      <c r="D271" s="33" t="s">
        <v>1982</v>
      </c>
      <c r="E271" s="33" t="s">
        <v>2861</v>
      </c>
      <c r="F271" s="38" t="s">
        <v>2740</v>
      </c>
    </row>
    <row r="272" spans="1:6" ht="14.5" hidden="1" customHeight="1" x14ac:dyDescent="0.35">
      <c r="A272" s="33" t="s">
        <v>2383</v>
      </c>
      <c r="B272" s="33" t="s">
        <v>84</v>
      </c>
      <c r="C272" s="33" t="s">
        <v>2384</v>
      </c>
      <c r="D272" s="33" t="s">
        <v>1983</v>
      </c>
      <c r="E272" s="33" t="s">
        <v>2859</v>
      </c>
      <c r="F272" s="38" t="s">
        <v>56</v>
      </c>
    </row>
    <row r="273" spans="1:6" ht="14.5" hidden="1" customHeight="1" x14ac:dyDescent="0.35">
      <c r="A273" s="33" t="s">
        <v>2383</v>
      </c>
      <c r="B273" s="33" t="s">
        <v>85</v>
      </c>
      <c r="C273" s="33" t="s">
        <v>2384</v>
      </c>
      <c r="D273" s="33" t="s">
        <v>1984</v>
      </c>
      <c r="E273" s="33" t="s">
        <v>2869</v>
      </c>
      <c r="F273" s="38" t="s">
        <v>132</v>
      </c>
    </row>
    <row r="274" spans="1:6" ht="14.5" hidden="1" customHeight="1" x14ac:dyDescent="0.35">
      <c r="A274" s="33" t="s">
        <v>2383</v>
      </c>
      <c r="B274" s="33" t="s">
        <v>89</v>
      </c>
      <c r="C274" s="33" t="s">
        <v>2384</v>
      </c>
      <c r="D274" s="33" t="s">
        <v>1985</v>
      </c>
      <c r="E274" s="33" t="s">
        <v>2858</v>
      </c>
      <c r="F274" s="38" t="s">
        <v>132</v>
      </c>
    </row>
    <row r="275" spans="1:6" ht="14.5" hidden="1" customHeight="1" x14ac:dyDescent="0.35">
      <c r="A275" s="33" t="s">
        <v>2383</v>
      </c>
      <c r="B275" s="33" t="s">
        <v>87</v>
      </c>
      <c r="C275" s="33" t="s">
        <v>2384</v>
      </c>
      <c r="D275" s="33" t="s">
        <v>1986</v>
      </c>
      <c r="E275" s="33" t="s">
        <v>2858</v>
      </c>
      <c r="F275" s="38" t="s">
        <v>132</v>
      </c>
    </row>
    <row r="276" spans="1:6" ht="14.5" hidden="1" customHeight="1" x14ac:dyDescent="0.35">
      <c r="A276" s="33" t="s">
        <v>2383</v>
      </c>
      <c r="B276" s="33" t="s">
        <v>88</v>
      </c>
      <c r="C276" s="33" t="s">
        <v>2384</v>
      </c>
      <c r="D276" s="33" t="s">
        <v>1987</v>
      </c>
      <c r="E276" s="33" t="s">
        <v>2843</v>
      </c>
      <c r="F276" s="38" t="s">
        <v>56</v>
      </c>
    </row>
    <row r="277" spans="1:6" ht="14.5" hidden="1" customHeight="1" x14ac:dyDescent="0.35">
      <c r="A277" s="33" t="s">
        <v>2385</v>
      </c>
      <c r="B277" s="33" t="s">
        <v>80</v>
      </c>
      <c r="C277" s="33" t="s">
        <v>2386</v>
      </c>
      <c r="D277" s="33" t="s">
        <v>2386</v>
      </c>
      <c r="E277" s="33" t="s">
        <v>2837</v>
      </c>
      <c r="F277" s="38" t="s">
        <v>742</v>
      </c>
    </row>
    <row r="278" spans="1:6" ht="14.5" hidden="1" customHeight="1" x14ac:dyDescent="0.35">
      <c r="A278" s="33" t="s">
        <v>2412</v>
      </c>
      <c r="B278" s="33" t="s">
        <v>80</v>
      </c>
      <c r="C278" s="33" t="s">
        <v>2413</v>
      </c>
      <c r="D278" s="33" t="s">
        <v>2413</v>
      </c>
      <c r="E278" s="33" t="s">
        <v>2865</v>
      </c>
      <c r="F278" s="38" t="s">
        <v>54</v>
      </c>
    </row>
    <row r="279" spans="1:6" ht="14.5" hidden="1" customHeight="1" x14ac:dyDescent="0.35">
      <c r="A279" s="33" t="s">
        <v>134</v>
      </c>
      <c r="B279" s="33" t="s">
        <v>95</v>
      </c>
      <c r="C279" s="33" t="s">
        <v>135</v>
      </c>
      <c r="D279" s="33" t="s">
        <v>136</v>
      </c>
      <c r="E279" s="33" t="s">
        <v>2843</v>
      </c>
      <c r="F279" s="38" t="s">
        <v>56</v>
      </c>
    </row>
    <row r="280" spans="1:6" ht="14.5" customHeight="1" x14ac:dyDescent="0.35">
      <c r="A280" s="33" t="s">
        <v>134</v>
      </c>
      <c r="B280" s="33" t="s">
        <v>97</v>
      </c>
      <c r="C280" s="33" t="s">
        <v>135</v>
      </c>
      <c r="D280" s="33" t="s">
        <v>137</v>
      </c>
      <c r="E280" s="33" t="s">
        <v>2879</v>
      </c>
      <c r="F280" s="38" t="s">
        <v>1687</v>
      </c>
    </row>
    <row r="281" spans="1:6" ht="14.5" hidden="1" customHeight="1" x14ac:dyDescent="0.35">
      <c r="A281" s="33" t="s">
        <v>134</v>
      </c>
      <c r="B281" s="33" t="s">
        <v>98</v>
      </c>
      <c r="C281" s="33" t="s">
        <v>135</v>
      </c>
      <c r="D281" s="33" t="s">
        <v>138</v>
      </c>
      <c r="E281" s="33" t="s">
        <v>2844</v>
      </c>
      <c r="F281" s="38" t="s">
        <v>48</v>
      </c>
    </row>
    <row r="282" spans="1:6" ht="14.5" hidden="1" customHeight="1" x14ac:dyDescent="0.35">
      <c r="A282" s="33" t="s">
        <v>134</v>
      </c>
      <c r="B282" s="33" t="s">
        <v>99</v>
      </c>
      <c r="C282" s="33" t="s">
        <v>135</v>
      </c>
      <c r="D282" s="33" t="s">
        <v>139</v>
      </c>
      <c r="E282" s="33" t="s">
        <v>2839</v>
      </c>
      <c r="F282" s="38" t="s">
        <v>48</v>
      </c>
    </row>
    <row r="283" spans="1:6" ht="14.5" customHeight="1" x14ac:dyDescent="0.35">
      <c r="A283" s="33" t="s">
        <v>134</v>
      </c>
      <c r="B283" s="33" t="s">
        <v>100</v>
      </c>
      <c r="C283" s="33" t="s">
        <v>135</v>
      </c>
      <c r="D283" s="33" t="s">
        <v>140</v>
      </c>
      <c r="E283" s="33" t="s">
        <v>2879</v>
      </c>
      <c r="F283" s="38" t="s">
        <v>1687</v>
      </c>
    </row>
    <row r="284" spans="1:6" ht="14.5" customHeight="1" x14ac:dyDescent="0.35">
      <c r="A284" s="33" t="s">
        <v>134</v>
      </c>
      <c r="B284" s="33" t="s">
        <v>101</v>
      </c>
      <c r="C284" s="33" t="s">
        <v>135</v>
      </c>
      <c r="D284" s="33" t="s">
        <v>141</v>
      </c>
      <c r="E284" s="33" t="s">
        <v>2879</v>
      </c>
      <c r="F284" s="38" t="s">
        <v>1687</v>
      </c>
    </row>
    <row r="285" spans="1:6" ht="14.5" customHeight="1" x14ac:dyDescent="0.35">
      <c r="A285" s="33" t="s">
        <v>134</v>
      </c>
      <c r="B285" s="33" t="s">
        <v>102</v>
      </c>
      <c r="C285" s="33" t="s">
        <v>135</v>
      </c>
      <c r="D285" s="33" t="s">
        <v>142</v>
      </c>
      <c r="E285" s="33" t="s">
        <v>2879</v>
      </c>
      <c r="F285" s="38" t="s">
        <v>1687</v>
      </c>
    </row>
    <row r="286" spans="1:6" ht="14.5" customHeight="1" x14ac:dyDescent="0.35">
      <c r="A286" s="33" t="s">
        <v>134</v>
      </c>
      <c r="B286" s="33" t="s">
        <v>103</v>
      </c>
      <c r="C286" s="33" t="s">
        <v>135</v>
      </c>
      <c r="D286" s="33" t="s">
        <v>143</v>
      </c>
      <c r="E286" s="33" t="s">
        <v>2879</v>
      </c>
      <c r="F286" s="38" t="s">
        <v>1687</v>
      </c>
    </row>
    <row r="287" spans="1:6" ht="14.5" customHeight="1" x14ac:dyDescent="0.35">
      <c r="A287" s="33" t="s">
        <v>134</v>
      </c>
      <c r="B287" s="33" t="s">
        <v>104</v>
      </c>
      <c r="C287" s="33" t="s">
        <v>135</v>
      </c>
      <c r="D287" s="33" t="s">
        <v>144</v>
      </c>
      <c r="E287" s="33" t="s">
        <v>2879</v>
      </c>
      <c r="F287" s="38" t="s">
        <v>1687</v>
      </c>
    </row>
    <row r="288" spans="1:6" ht="14.5" customHeight="1" x14ac:dyDescent="0.35">
      <c r="A288" s="33" t="s">
        <v>134</v>
      </c>
      <c r="B288" s="33" t="s">
        <v>105</v>
      </c>
      <c r="C288" s="33" t="s">
        <v>135</v>
      </c>
      <c r="D288" s="33" t="s">
        <v>145</v>
      </c>
      <c r="E288" s="33" t="s">
        <v>2879</v>
      </c>
      <c r="F288" s="38" t="s">
        <v>1687</v>
      </c>
    </row>
    <row r="289" spans="1:6" ht="14.5" customHeight="1" x14ac:dyDescent="0.35">
      <c r="A289" s="33" t="s">
        <v>134</v>
      </c>
      <c r="B289" s="33" t="s">
        <v>106</v>
      </c>
      <c r="C289" s="33" t="s">
        <v>135</v>
      </c>
      <c r="D289" s="33" t="s">
        <v>146</v>
      </c>
      <c r="E289" s="33" t="s">
        <v>2879</v>
      </c>
      <c r="F289" s="38" t="s">
        <v>1687</v>
      </c>
    </row>
    <row r="290" spans="1:6" ht="14.5" customHeight="1" x14ac:dyDescent="0.35">
      <c r="A290" s="33" t="s">
        <v>134</v>
      </c>
      <c r="B290" s="33" t="s">
        <v>147</v>
      </c>
      <c r="C290" s="33" t="s">
        <v>135</v>
      </c>
      <c r="D290" s="33" t="s">
        <v>148</v>
      </c>
      <c r="E290" s="33" t="s">
        <v>2879</v>
      </c>
      <c r="F290" s="38" t="s">
        <v>1687</v>
      </c>
    </row>
    <row r="291" spans="1:6" ht="14.5" customHeight="1" x14ac:dyDescent="0.35">
      <c r="A291" s="33" t="s">
        <v>134</v>
      </c>
      <c r="B291" s="33" t="s">
        <v>149</v>
      </c>
      <c r="C291" s="33" t="s">
        <v>135</v>
      </c>
      <c r="D291" s="33" t="s">
        <v>150</v>
      </c>
      <c r="E291" s="33" t="s">
        <v>2879</v>
      </c>
      <c r="F291" s="38" t="s">
        <v>1687</v>
      </c>
    </row>
    <row r="292" spans="1:6" ht="14.5" customHeight="1" x14ac:dyDescent="0.35">
      <c r="A292" s="33" t="s">
        <v>134</v>
      </c>
      <c r="B292" s="33" t="s">
        <v>151</v>
      </c>
      <c r="C292" s="33" t="s">
        <v>135</v>
      </c>
      <c r="D292" s="33" t="s">
        <v>150</v>
      </c>
      <c r="E292" s="33" t="s">
        <v>2879</v>
      </c>
      <c r="F292" s="38" t="s">
        <v>1687</v>
      </c>
    </row>
    <row r="293" spans="1:6" ht="14.5" hidden="1" customHeight="1" x14ac:dyDescent="0.35">
      <c r="A293" s="33" t="s">
        <v>134</v>
      </c>
      <c r="B293" s="33" t="s">
        <v>107</v>
      </c>
      <c r="C293" s="33" t="s">
        <v>135</v>
      </c>
      <c r="D293" s="33" t="s">
        <v>152</v>
      </c>
      <c r="E293" s="33" t="s">
        <v>2843</v>
      </c>
      <c r="F293" s="38" t="s">
        <v>56</v>
      </c>
    </row>
    <row r="294" spans="1:6" ht="14.5" hidden="1" customHeight="1" x14ac:dyDescent="0.35">
      <c r="A294" s="33" t="s">
        <v>153</v>
      </c>
      <c r="B294" s="33" t="s">
        <v>95</v>
      </c>
      <c r="C294" s="33" t="s">
        <v>154</v>
      </c>
      <c r="D294" s="33" t="s">
        <v>155</v>
      </c>
      <c r="E294" s="33" t="s">
        <v>2843</v>
      </c>
      <c r="F294" s="38" t="s">
        <v>56</v>
      </c>
    </row>
    <row r="295" spans="1:6" ht="14.5" customHeight="1" x14ac:dyDescent="0.35">
      <c r="A295" s="33" t="s">
        <v>153</v>
      </c>
      <c r="B295" s="33" t="s">
        <v>97</v>
      </c>
      <c r="C295" s="33" t="s">
        <v>154</v>
      </c>
      <c r="D295" s="33" t="s">
        <v>156</v>
      </c>
      <c r="E295" s="33" t="s">
        <v>2879</v>
      </c>
      <c r="F295" s="38" t="s">
        <v>1687</v>
      </c>
    </row>
    <row r="296" spans="1:6" ht="14.5" hidden="1" customHeight="1" x14ac:dyDescent="0.35">
      <c r="A296" s="33" t="s">
        <v>153</v>
      </c>
      <c r="B296" s="33" t="s">
        <v>98</v>
      </c>
      <c r="C296" s="33" t="s">
        <v>154</v>
      </c>
      <c r="D296" s="33" t="s">
        <v>157</v>
      </c>
      <c r="E296" s="33" t="s">
        <v>2844</v>
      </c>
      <c r="F296" s="38" t="s">
        <v>48</v>
      </c>
    </row>
    <row r="297" spans="1:6" ht="14.5" hidden="1" customHeight="1" x14ac:dyDescent="0.35">
      <c r="A297" s="33" t="s">
        <v>153</v>
      </c>
      <c r="B297" s="33" t="s">
        <v>99</v>
      </c>
      <c r="C297" s="33" t="s">
        <v>154</v>
      </c>
      <c r="D297" s="33" t="s">
        <v>158</v>
      </c>
      <c r="E297" s="33" t="s">
        <v>2839</v>
      </c>
      <c r="F297" s="38" t="s">
        <v>48</v>
      </c>
    </row>
    <row r="298" spans="1:6" ht="14.5" customHeight="1" x14ac:dyDescent="0.35">
      <c r="A298" s="33" t="s">
        <v>153</v>
      </c>
      <c r="B298" s="33" t="s">
        <v>100</v>
      </c>
      <c r="C298" s="33" t="s">
        <v>154</v>
      </c>
      <c r="D298" s="33" t="s">
        <v>159</v>
      </c>
      <c r="E298" s="33" t="s">
        <v>2879</v>
      </c>
      <c r="F298" s="38" t="s">
        <v>1687</v>
      </c>
    </row>
    <row r="299" spans="1:6" ht="14.5" customHeight="1" x14ac:dyDescent="0.35">
      <c r="A299" s="33" t="s">
        <v>153</v>
      </c>
      <c r="B299" s="33" t="s">
        <v>101</v>
      </c>
      <c r="C299" s="33" t="s">
        <v>154</v>
      </c>
      <c r="D299" s="33" t="s">
        <v>160</v>
      </c>
      <c r="E299" s="33" t="s">
        <v>2879</v>
      </c>
      <c r="F299" s="38" t="s">
        <v>1687</v>
      </c>
    </row>
    <row r="300" spans="1:6" ht="14.5" customHeight="1" x14ac:dyDescent="0.35">
      <c r="A300" s="33" t="s">
        <v>153</v>
      </c>
      <c r="B300" s="33" t="s">
        <v>102</v>
      </c>
      <c r="C300" s="33" t="s">
        <v>154</v>
      </c>
      <c r="D300" s="33" t="s">
        <v>161</v>
      </c>
      <c r="E300" s="33" t="s">
        <v>2879</v>
      </c>
      <c r="F300" s="38" t="s">
        <v>1687</v>
      </c>
    </row>
    <row r="301" spans="1:6" ht="14.5" customHeight="1" x14ac:dyDescent="0.35">
      <c r="A301" s="33" t="s">
        <v>153</v>
      </c>
      <c r="B301" s="33" t="s">
        <v>103</v>
      </c>
      <c r="C301" s="33" t="s">
        <v>154</v>
      </c>
      <c r="D301" s="33" t="s">
        <v>162</v>
      </c>
      <c r="E301" s="33" t="s">
        <v>2879</v>
      </c>
      <c r="F301" s="38" t="s">
        <v>1687</v>
      </c>
    </row>
    <row r="302" spans="1:6" ht="14.5" customHeight="1" x14ac:dyDescent="0.35">
      <c r="A302" s="33" t="s">
        <v>153</v>
      </c>
      <c r="B302" s="33" t="s">
        <v>104</v>
      </c>
      <c r="C302" s="33" t="s">
        <v>154</v>
      </c>
      <c r="D302" s="33" t="s">
        <v>163</v>
      </c>
      <c r="E302" s="33" t="s">
        <v>2879</v>
      </c>
      <c r="F302" s="38" t="s">
        <v>1687</v>
      </c>
    </row>
    <row r="303" spans="1:6" ht="14.5" customHeight="1" x14ac:dyDescent="0.35">
      <c r="A303" s="33" t="s">
        <v>153</v>
      </c>
      <c r="B303" s="33" t="s">
        <v>105</v>
      </c>
      <c r="C303" s="33" t="s">
        <v>154</v>
      </c>
      <c r="D303" s="33" t="s">
        <v>164</v>
      </c>
      <c r="E303" s="33" t="s">
        <v>2879</v>
      </c>
      <c r="F303" s="38" t="s">
        <v>1687</v>
      </c>
    </row>
    <row r="304" spans="1:6" ht="14.5" customHeight="1" x14ac:dyDescent="0.35">
      <c r="A304" s="33" t="s">
        <v>153</v>
      </c>
      <c r="B304" s="33" t="s">
        <v>106</v>
      </c>
      <c r="C304" s="33" t="s">
        <v>154</v>
      </c>
      <c r="D304" s="33" t="s">
        <v>165</v>
      </c>
      <c r="E304" s="33" t="s">
        <v>2879</v>
      </c>
      <c r="F304" s="38" t="s">
        <v>1687</v>
      </c>
    </row>
    <row r="305" spans="1:6" ht="14.5" customHeight="1" x14ac:dyDescent="0.35">
      <c r="A305" s="33" t="s">
        <v>153</v>
      </c>
      <c r="B305" s="33" t="s">
        <v>147</v>
      </c>
      <c r="C305" s="33" t="s">
        <v>154</v>
      </c>
      <c r="D305" s="33" t="s">
        <v>166</v>
      </c>
      <c r="E305" s="33" t="s">
        <v>2879</v>
      </c>
      <c r="F305" s="38" t="s">
        <v>1687</v>
      </c>
    </row>
    <row r="306" spans="1:6" ht="14.5" customHeight="1" x14ac:dyDescent="0.35">
      <c r="A306" s="33" t="s">
        <v>153</v>
      </c>
      <c r="B306" s="33" t="s">
        <v>149</v>
      </c>
      <c r="C306" s="33" t="s">
        <v>154</v>
      </c>
      <c r="D306" s="33" t="s">
        <v>167</v>
      </c>
      <c r="E306" s="33" t="s">
        <v>2879</v>
      </c>
      <c r="F306" s="38" t="s">
        <v>1687</v>
      </c>
    </row>
    <row r="307" spans="1:6" ht="14.5" customHeight="1" x14ac:dyDescent="0.35">
      <c r="A307" s="33" t="s">
        <v>153</v>
      </c>
      <c r="B307" s="33" t="s">
        <v>151</v>
      </c>
      <c r="C307" s="33" t="s">
        <v>154</v>
      </c>
      <c r="D307" s="33" t="s">
        <v>167</v>
      </c>
      <c r="E307" s="33" t="s">
        <v>2879</v>
      </c>
      <c r="F307" s="38" t="s">
        <v>1687</v>
      </c>
    </row>
    <row r="308" spans="1:6" ht="14.5" hidden="1" customHeight="1" x14ac:dyDescent="0.35">
      <c r="A308" s="33" t="s">
        <v>153</v>
      </c>
      <c r="B308" s="33" t="s">
        <v>107</v>
      </c>
      <c r="C308" s="33" t="s">
        <v>154</v>
      </c>
      <c r="D308" s="33" t="s">
        <v>168</v>
      </c>
      <c r="E308" s="33" t="s">
        <v>2843</v>
      </c>
      <c r="F308" s="38" t="s">
        <v>56</v>
      </c>
    </row>
    <row r="309" spans="1:6" ht="14.5" hidden="1" customHeight="1" x14ac:dyDescent="0.35">
      <c r="A309" s="33" t="s">
        <v>169</v>
      </c>
      <c r="B309" s="33" t="s">
        <v>82</v>
      </c>
      <c r="C309" s="33" t="s">
        <v>170</v>
      </c>
      <c r="D309" s="33" t="s">
        <v>171</v>
      </c>
      <c r="E309" s="33" t="s">
        <v>2869</v>
      </c>
      <c r="F309" s="38" t="s">
        <v>132</v>
      </c>
    </row>
    <row r="310" spans="1:6" ht="14.5" hidden="1" customHeight="1" x14ac:dyDescent="0.35">
      <c r="A310" s="33" t="s">
        <v>169</v>
      </c>
      <c r="B310" s="33" t="s">
        <v>83</v>
      </c>
      <c r="C310" s="33" t="s">
        <v>170</v>
      </c>
      <c r="D310" s="33" t="s">
        <v>172</v>
      </c>
      <c r="E310" s="33" t="s">
        <v>2869</v>
      </c>
      <c r="F310" s="38" t="s">
        <v>132</v>
      </c>
    </row>
    <row r="311" spans="1:6" ht="14.5" hidden="1" customHeight="1" x14ac:dyDescent="0.35">
      <c r="A311" s="33" t="s">
        <v>169</v>
      </c>
      <c r="B311" s="33" t="s">
        <v>19</v>
      </c>
      <c r="C311" s="33" t="s">
        <v>170</v>
      </c>
      <c r="D311" s="33" t="s">
        <v>173</v>
      </c>
      <c r="E311" s="33" t="s">
        <v>2869</v>
      </c>
      <c r="F311" s="38" t="s">
        <v>132</v>
      </c>
    </row>
    <row r="312" spans="1:6" ht="14.5" hidden="1" customHeight="1" x14ac:dyDescent="0.35">
      <c r="A312" s="33" t="s">
        <v>175</v>
      </c>
      <c r="B312" s="33" t="s">
        <v>80</v>
      </c>
      <c r="C312" s="33" t="s">
        <v>176</v>
      </c>
      <c r="D312" s="33" t="s">
        <v>177</v>
      </c>
      <c r="E312" s="33" t="s">
        <v>2864</v>
      </c>
      <c r="F312" s="38" t="s">
        <v>54</v>
      </c>
    </row>
    <row r="313" spans="1:6" ht="14.5" hidden="1" customHeight="1" x14ac:dyDescent="0.35">
      <c r="A313" s="33" t="s">
        <v>217</v>
      </c>
      <c r="B313" s="33" t="s">
        <v>80</v>
      </c>
      <c r="C313" s="33" t="s">
        <v>218</v>
      </c>
      <c r="D313" s="33" t="s">
        <v>218</v>
      </c>
      <c r="E313" s="33" t="s">
        <v>2845</v>
      </c>
      <c r="F313" s="38" t="s">
        <v>50</v>
      </c>
    </row>
    <row r="314" spans="1:6" ht="14.5" customHeight="1" x14ac:dyDescent="0.35">
      <c r="A314" s="33" t="s">
        <v>263</v>
      </c>
      <c r="B314" s="33" t="s">
        <v>80</v>
      </c>
      <c r="C314" s="33" t="s">
        <v>264</v>
      </c>
      <c r="D314" s="33" t="s">
        <v>265</v>
      </c>
      <c r="E314" s="33" t="s">
        <v>2879</v>
      </c>
      <c r="F314" s="38" t="s">
        <v>1687</v>
      </c>
    </row>
    <row r="315" spans="1:6" ht="14.5" hidden="1" customHeight="1" x14ac:dyDescent="0.35">
      <c r="A315" s="33" t="s">
        <v>263</v>
      </c>
      <c r="B315" s="33" t="s">
        <v>82</v>
      </c>
      <c r="C315" s="33" t="s">
        <v>264</v>
      </c>
      <c r="D315" s="33" t="s">
        <v>266</v>
      </c>
      <c r="E315" s="33" t="s">
        <v>2843</v>
      </c>
      <c r="F315" s="38" t="s">
        <v>56</v>
      </c>
    </row>
    <row r="316" spans="1:6" ht="14.5" customHeight="1" x14ac:dyDescent="0.35">
      <c r="A316" s="33" t="s">
        <v>263</v>
      </c>
      <c r="B316" s="33" t="s">
        <v>108</v>
      </c>
      <c r="C316" s="33" t="s">
        <v>264</v>
      </c>
      <c r="D316" s="33" t="s">
        <v>264</v>
      </c>
      <c r="E316" s="33" t="s">
        <v>2879</v>
      </c>
      <c r="F316" s="38" t="s">
        <v>1687</v>
      </c>
    </row>
    <row r="317" spans="1:6" ht="14.5" hidden="1" customHeight="1" x14ac:dyDescent="0.35">
      <c r="A317" s="33" t="s">
        <v>263</v>
      </c>
      <c r="B317" s="33" t="s">
        <v>19</v>
      </c>
      <c r="C317" s="33" t="s">
        <v>264</v>
      </c>
      <c r="D317" s="33" t="s">
        <v>264</v>
      </c>
      <c r="E317" s="33" t="s">
        <v>2838</v>
      </c>
      <c r="F317" s="38" t="s">
        <v>48</v>
      </c>
    </row>
    <row r="318" spans="1:6" ht="14.5" hidden="1" customHeight="1" x14ac:dyDescent="0.35">
      <c r="A318" s="33" t="s">
        <v>263</v>
      </c>
      <c r="B318" s="33" t="s">
        <v>84</v>
      </c>
      <c r="C318" s="33" t="s">
        <v>264</v>
      </c>
      <c r="D318" s="33" t="s">
        <v>264</v>
      </c>
      <c r="E318" s="33" t="s">
        <v>2839</v>
      </c>
      <c r="F318" s="38" t="s">
        <v>48</v>
      </c>
    </row>
    <row r="319" spans="1:6" ht="14.5" hidden="1" customHeight="1" x14ac:dyDescent="0.35">
      <c r="A319" s="33" t="s">
        <v>263</v>
      </c>
      <c r="B319" s="33" t="s">
        <v>86</v>
      </c>
      <c r="C319" s="33" t="s">
        <v>264</v>
      </c>
      <c r="D319" s="33" t="s">
        <v>267</v>
      </c>
      <c r="E319" s="33" t="s">
        <v>2843</v>
      </c>
      <c r="F319" s="38" t="s">
        <v>56</v>
      </c>
    </row>
    <row r="320" spans="1:6" ht="14.5" hidden="1" customHeight="1" x14ac:dyDescent="0.35">
      <c r="A320" s="33" t="s">
        <v>268</v>
      </c>
      <c r="B320" s="33" t="s">
        <v>80</v>
      </c>
      <c r="C320" s="33" t="s">
        <v>269</v>
      </c>
      <c r="D320" s="33" t="s">
        <v>270</v>
      </c>
      <c r="E320" s="33" t="s">
        <v>2845</v>
      </c>
      <c r="F320" s="38" t="s">
        <v>50</v>
      </c>
    </row>
    <row r="321" spans="1:6" ht="14.5" hidden="1" customHeight="1" x14ac:dyDescent="0.35">
      <c r="A321" s="33" t="s">
        <v>268</v>
      </c>
      <c r="B321" s="33" t="s">
        <v>82</v>
      </c>
      <c r="C321" s="33" t="s">
        <v>269</v>
      </c>
      <c r="D321" s="33" t="s">
        <v>271</v>
      </c>
      <c r="E321" s="33" t="s">
        <v>2845</v>
      </c>
      <c r="F321" s="38" t="s">
        <v>50</v>
      </c>
    </row>
    <row r="322" spans="1:6" ht="14.5" hidden="1" customHeight="1" x14ac:dyDescent="0.35">
      <c r="A322" s="33" t="s">
        <v>268</v>
      </c>
      <c r="B322" s="33" t="s">
        <v>272</v>
      </c>
      <c r="C322" s="33" t="s">
        <v>269</v>
      </c>
      <c r="D322" s="33" t="s">
        <v>273</v>
      </c>
      <c r="E322" s="33" t="s">
        <v>2876</v>
      </c>
      <c r="F322" s="38" t="s">
        <v>50</v>
      </c>
    </row>
    <row r="323" spans="1:6" ht="14.5" hidden="1" customHeight="1" x14ac:dyDescent="0.35">
      <c r="A323" s="33" t="s">
        <v>268</v>
      </c>
      <c r="B323" s="33" t="s">
        <v>19</v>
      </c>
      <c r="C323" s="33" t="s">
        <v>269</v>
      </c>
      <c r="D323" s="33" t="s">
        <v>274</v>
      </c>
      <c r="E323" s="33" t="s">
        <v>2845</v>
      </c>
      <c r="F323" s="38" t="s">
        <v>50</v>
      </c>
    </row>
    <row r="324" spans="1:6" ht="14.5" hidden="1" customHeight="1" x14ac:dyDescent="0.35">
      <c r="A324" s="33" t="s">
        <v>268</v>
      </c>
      <c r="B324" s="33" t="s">
        <v>275</v>
      </c>
      <c r="C324" s="33" t="s">
        <v>269</v>
      </c>
      <c r="D324" s="33" t="s">
        <v>276</v>
      </c>
      <c r="E324" s="33" t="s">
        <v>2876</v>
      </c>
      <c r="F324" s="38" t="s">
        <v>50</v>
      </c>
    </row>
    <row r="325" spans="1:6" ht="14.5" hidden="1" customHeight="1" x14ac:dyDescent="0.35">
      <c r="A325" s="33" t="s">
        <v>301</v>
      </c>
      <c r="B325" s="33" t="s">
        <v>80</v>
      </c>
      <c r="C325" s="33" t="s">
        <v>302</v>
      </c>
      <c r="D325" s="33" t="s">
        <v>303</v>
      </c>
      <c r="E325" s="33" t="s">
        <v>2845</v>
      </c>
      <c r="F325" s="38" t="s">
        <v>50</v>
      </c>
    </row>
    <row r="326" spans="1:6" ht="14.5" customHeight="1" x14ac:dyDescent="0.35">
      <c r="A326" s="33" t="s">
        <v>317</v>
      </c>
      <c r="B326" s="33" t="s">
        <v>80</v>
      </c>
      <c r="C326" s="33" t="s">
        <v>318</v>
      </c>
      <c r="D326" s="33" t="s">
        <v>319</v>
      </c>
      <c r="E326" s="33" t="s">
        <v>2879</v>
      </c>
      <c r="F326" s="38" t="s">
        <v>1687</v>
      </c>
    </row>
    <row r="327" spans="1:6" ht="14.5" hidden="1" customHeight="1" x14ac:dyDescent="0.35">
      <c r="A327" s="33" t="s">
        <v>317</v>
      </c>
      <c r="B327" s="33" t="s">
        <v>108</v>
      </c>
      <c r="C327" s="33" t="s">
        <v>318</v>
      </c>
      <c r="D327" s="33" t="s">
        <v>320</v>
      </c>
      <c r="E327" s="33" t="s">
        <v>2873</v>
      </c>
      <c r="F327" s="38" t="s">
        <v>132</v>
      </c>
    </row>
    <row r="328" spans="1:6" ht="14.5" customHeight="1" x14ac:dyDescent="0.35">
      <c r="A328" s="33" t="s">
        <v>317</v>
      </c>
      <c r="B328" s="33" t="s">
        <v>83</v>
      </c>
      <c r="C328" s="33" t="s">
        <v>318</v>
      </c>
      <c r="D328" s="33" t="s">
        <v>318</v>
      </c>
      <c r="E328" s="33" t="s">
        <v>2879</v>
      </c>
      <c r="F328" s="38" t="s">
        <v>1687</v>
      </c>
    </row>
    <row r="329" spans="1:6" ht="14.5" hidden="1" customHeight="1" x14ac:dyDescent="0.35">
      <c r="A329" s="33" t="s">
        <v>317</v>
      </c>
      <c r="B329" s="33" t="s">
        <v>84</v>
      </c>
      <c r="C329" s="33" t="s">
        <v>318</v>
      </c>
      <c r="D329" s="33" t="s">
        <v>321</v>
      </c>
      <c r="E329" s="33" t="s">
        <v>2844</v>
      </c>
      <c r="F329" s="38" t="s">
        <v>48</v>
      </c>
    </row>
    <row r="330" spans="1:6" ht="14.5" hidden="1" customHeight="1" x14ac:dyDescent="0.35">
      <c r="A330" s="33" t="s">
        <v>317</v>
      </c>
      <c r="B330" s="33" t="s">
        <v>85</v>
      </c>
      <c r="C330" s="33" t="s">
        <v>318</v>
      </c>
      <c r="D330" s="33" t="s">
        <v>322</v>
      </c>
      <c r="E330" s="33" t="s">
        <v>2839</v>
      </c>
      <c r="F330" s="38" t="s">
        <v>48</v>
      </c>
    </row>
    <row r="331" spans="1:6" ht="14.5" hidden="1" customHeight="1" x14ac:dyDescent="0.35">
      <c r="A331" s="33" t="s">
        <v>317</v>
      </c>
      <c r="B331" s="33" t="s">
        <v>89</v>
      </c>
      <c r="C331" s="33" t="s">
        <v>318</v>
      </c>
      <c r="D331" s="33" t="s">
        <v>323</v>
      </c>
      <c r="E331" s="33" t="s">
        <v>2873</v>
      </c>
      <c r="F331" s="38" t="s">
        <v>132</v>
      </c>
    </row>
    <row r="332" spans="1:6" ht="14.5" hidden="1" customHeight="1" x14ac:dyDescent="0.35">
      <c r="A332" s="33" t="s">
        <v>317</v>
      </c>
      <c r="B332" s="33" t="s">
        <v>87</v>
      </c>
      <c r="C332" s="33" t="s">
        <v>318</v>
      </c>
      <c r="D332" s="33" t="s">
        <v>324</v>
      </c>
      <c r="E332" s="33" t="s">
        <v>2869</v>
      </c>
      <c r="F332" s="38" t="s">
        <v>132</v>
      </c>
    </row>
    <row r="333" spans="1:6" ht="14.5" hidden="1" customHeight="1" x14ac:dyDescent="0.35">
      <c r="A333" s="33" t="s">
        <v>355</v>
      </c>
      <c r="B333" s="33" t="s">
        <v>80</v>
      </c>
      <c r="C333" s="33" t="s">
        <v>356</v>
      </c>
      <c r="D333" s="33" t="s">
        <v>357</v>
      </c>
      <c r="E333" s="33" t="s">
        <v>2837</v>
      </c>
      <c r="F333" s="38" t="s">
        <v>742</v>
      </c>
    </row>
    <row r="334" spans="1:6" ht="14.5" hidden="1" customHeight="1" x14ac:dyDescent="0.35">
      <c r="A334" s="33" t="s">
        <v>358</v>
      </c>
      <c r="B334" s="33" t="s">
        <v>81</v>
      </c>
      <c r="C334" s="33" t="s">
        <v>359</v>
      </c>
      <c r="D334" s="33" t="s">
        <v>360</v>
      </c>
      <c r="E334" s="33" t="s">
        <v>2843</v>
      </c>
      <c r="F334" s="38" t="s">
        <v>56</v>
      </c>
    </row>
    <row r="335" spans="1:6" ht="14.5" hidden="1" customHeight="1" x14ac:dyDescent="0.35">
      <c r="A335" s="33" t="s">
        <v>358</v>
      </c>
      <c r="B335" s="33" t="s">
        <v>80</v>
      </c>
      <c r="C335" s="33" t="s">
        <v>359</v>
      </c>
      <c r="D335" s="33" t="s">
        <v>361</v>
      </c>
      <c r="E335" s="33" t="s">
        <v>2871</v>
      </c>
      <c r="F335" s="38" t="s">
        <v>54</v>
      </c>
    </row>
    <row r="336" spans="1:6" ht="14.5" hidden="1" customHeight="1" x14ac:dyDescent="0.35">
      <c r="A336" s="33" t="s">
        <v>358</v>
      </c>
      <c r="B336" s="33" t="s">
        <v>108</v>
      </c>
      <c r="C336" s="33" t="s">
        <v>359</v>
      </c>
      <c r="D336" s="33" t="s">
        <v>362</v>
      </c>
      <c r="E336" s="33" t="s">
        <v>2877</v>
      </c>
      <c r="F336" s="38" t="s">
        <v>54</v>
      </c>
    </row>
    <row r="337" spans="1:6" ht="14.5" hidden="1" customHeight="1" x14ac:dyDescent="0.35">
      <c r="A337" s="33" t="s">
        <v>358</v>
      </c>
      <c r="B337" s="33" t="s">
        <v>83</v>
      </c>
      <c r="C337" s="33" t="s">
        <v>359</v>
      </c>
      <c r="D337" s="33" t="s">
        <v>363</v>
      </c>
      <c r="E337" s="33" t="s">
        <v>2843</v>
      </c>
      <c r="F337" s="38" t="s">
        <v>56</v>
      </c>
    </row>
    <row r="338" spans="1:6" ht="14.5" hidden="1" customHeight="1" x14ac:dyDescent="0.35">
      <c r="A338" s="33" t="s">
        <v>386</v>
      </c>
      <c r="B338" s="33" t="s">
        <v>83</v>
      </c>
      <c r="C338" s="33" t="s">
        <v>387</v>
      </c>
      <c r="D338" s="33" t="s">
        <v>388</v>
      </c>
      <c r="E338" s="33" t="s">
        <v>2862</v>
      </c>
      <c r="F338" s="38" t="s">
        <v>2738</v>
      </c>
    </row>
    <row r="339" spans="1:6" ht="14.5" hidden="1" customHeight="1" x14ac:dyDescent="0.35">
      <c r="A339" s="33" t="s">
        <v>386</v>
      </c>
      <c r="B339" s="33" t="s">
        <v>19</v>
      </c>
      <c r="C339" s="33" t="s">
        <v>387</v>
      </c>
      <c r="D339" s="33" t="s">
        <v>389</v>
      </c>
      <c r="E339" s="33" t="s">
        <v>2862</v>
      </c>
      <c r="F339" s="38" t="s">
        <v>2738</v>
      </c>
    </row>
    <row r="340" spans="1:6" ht="14.5" hidden="1" customHeight="1" x14ac:dyDescent="0.35">
      <c r="A340" s="33" t="s">
        <v>390</v>
      </c>
      <c r="B340" s="33" t="s">
        <v>83</v>
      </c>
      <c r="C340" s="33" t="s">
        <v>391</v>
      </c>
      <c r="D340" s="33" t="s">
        <v>392</v>
      </c>
      <c r="E340" s="33" t="s">
        <v>2862</v>
      </c>
      <c r="F340" s="38" t="s">
        <v>2738</v>
      </c>
    </row>
    <row r="341" spans="1:6" ht="14.5" hidden="1" customHeight="1" x14ac:dyDescent="0.35">
      <c r="A341" s="33" t="s">
        <v>390</v>
      </c>
      <c r="B341" s="33" t="s">
        <v>19</v>
      </c>
      <c r="C341" s="33" t="s">
        <v>391</v>
      </c>
      <c r="D341" s="33" t="s">
        <v>393</v>
      </c>
      <c r="E341" s="33" t="s">
        <v>2862</v>
      </c>
      <c r="F341" s="38" t="s">
        <v>2738</v>
      </c>
    </row>
    <row r="342" spans="1:6" ht="14.5" hidden="1" customHeight="1" x14ac:dyDescent="0.35">
      <c r="A342" s="33" t="s">
        <v>394</v>
      </c>
      <c r="B342" s="33" t="s">
        <v>80</v>
      </c>
      <c r="C342" s="33" t="s">
        <v>395</v>
      </c>
      <c r="D342" s="33" t="s">
        <v>395</v>
      </c>
      <c r="E342" s="33" t="s">
        <v>2873</v>
      </c>
      <c r="F342" s="38" t="s">
        <v>132</v>
      </c>
    </row>
    <row r="343" spans="1:6" ht="14.5" customHeight="1" x14ac:dyDescent="0.35">
      <c r="A343" s="33" t="s">
        <v>405</v>
      </c>
      <c r="B343" s="33" t="s">
        <v>80</v>
      </c>
      <c r="C343" s="33" t="s">
        <v>406</v>
      </c>
      <c r="D343" s="33" t="s">
        <v>407</v>
      </c>
      <c r="E343" s="33" t="s">
        <v>2879</v>
      </c>
      <c r="F343" s="38" t="s">
        <v>1687</v>
      </c>
    </row>
    <row r="344" spans="1:6" ht="14.5" hidden="1" customHeight="1" x14ac:dyDescent="0.35">
      <c r="A344" s="33" t="s">
        <v>405</v>
      </c>
      <c r="B344" s="33" t="s">
        <v>82</v>
      </c>
      <c r="C344" s="33" t="s">
        <v>406</v>
      </c>
      <c r="D344" s="33" t="s">
        <v>408</v>
      </c>
      <c r="E344" s="33" t="s">
        <v>2843</v>
      </c>
      <c r="F344" s="38" t="s">
        <v>56</v>
      </c>
    </row>
    <row r="345" spans="1:6" ht="14.5" customHeight="1" x14ac:dyDescent="0.35">
      <c r="A345" s="33" t="s">
        <v>405</v>
      </c>
      <c r="B345" s="33" t="s">
        <v>19</v>
      </c>
      <c r="C345" s="33" t="s">
        <v>406</v>
      </c>
      <c r="D345" s="33" t="s">
        <v>409</v>
      </c>
      <c r="E345" s="33" t="s">
        <v>2879</v>
      </c>
      <c r="F345" s="38" t="s">
        <v>1687</v>
      </c>
    </row>
    <row r="346" spans="1:6" ht="14.5" hidden="1" customHeight="1" x14ac:dyDescent="0.35">
      <c r="A346" s="33" t="s">
        <v>405</v>
      </c>
      <c r="B346" s="33" t="s">
        <v>84</v>
      </c>
      <c r="C346" s="33" t="s">
        <v>406</v>
      </c>
      <c r="D346" s="33" t="s">
        <v>410</v>
      </c>
      <c r="E346" s="33" t="s">
        <v>2869</v>
      </c>
      <c r="F346" s="38" t="s">
        <v>132</v>
      </c>
    </row>
    <row r="347" spans="1:6" ht="14.5" hidden="1" customHeight="1" x14ac:dyDescent="0.35">
      <c r="A347" s="33" t="s">
        <v>405</v>
      </c>
      <c r="B347" s="33" t="s">
        <v>85</v>
      </c>
      <c r="C347" s="33" t="s">
        <v>406</v>
      </c>
      <c r="D347" s="33" t="s">
        <v>411</v>
      </c>
      <c r="E347" s="33" t="s">
        <v>2859</v>
      </c>
      <c r="F347" s="38" t="s">
        <v>56</v>
      </c>
    </row>
    <row r="348" spans="1:6" ht="14.5" hidden="1" customHeight="1" x14ac:dyDescent="0.35">
      <c r="A348" s="33" t="s">
        <v>405</v>
      </c>
      <c r="B348" s="33" t="s">
        <v>89</v>
      </c>
      <c r="C348" s="33" t="s">
        <v>406</v>
      </c>
      <c r="D348" s="33" t="s">
        <v>412</v>
      </c>
      <c r="E348" s="33" t="s">
        <v>2878</v>
      </c>
      <c r="F348" s="38" t="s">
        <v>132</v>
      </c>
    </row>
    <row r="349" spans="1:6" ht="14.5" customHeight="1" x14ac:dyDescent="0.35">
      <c r="A349" s="33" t="s">
        <v>405</v>
      </c>
      <c r="B349" s="33" t="s">
        <v>87</v>
      </c>
      <c r="C349" s="33" t="s">
        <v>406</v>
      </c>
      <c r="D349" s="33" t="s">
        <v>413</v>
      </c>
      <c r="E349" s="33" t="s">
        <v>2879</v>
      </c>
      <c r="F349" s="38" t="s">
        <v>1687</v>
      </c>
    </row>
    <row r="350" spans="1:6" ht="14.5" hidden="1" customHeight="1" x14ac:dyDescent="0.35">
      <c r="A350" s="33" t="s">
        <v>405</v>
      </c>
      <c r="B350" s="33" t="s">
        <v>88</v>
      </c>
      <c r="C350" s="33" t="s">
        <v>406</v>
      </c>
      <c r="D350" s="33" t="s">
        <v>414</v>
      </c>
      <c r="E350" s="33" t="s">
        <v>2843</v>
      </c>
      <c r="F350" s="38" t="s">
        <v>56</v>
      </c>
    </row>
    <row r="351" spans="1:6" ht="14.5" customHeight="1" x14ac:dyDescent="0.35">
      <c r="A351" s="33" t="s">
        <v>405</v>
      </c>
      <c r="B351" s="33" t="s">
        <v>90</v>
      </c>
      <c r="C351" s="33" t="s">
        <v>406</v>
      </c>
      <c r="D351" s="33" t="s">
        <v>415</v>
      </c>
      <c r="E351" s="33" t="s">
        <v>2879</v>
      </c>
      <c r="F351" s="38" t="s">
        <v>1687</v>
      </c>
    </row>
    <row r="352" spans="1:6" ht="14.5" hidden="1" customHeight="1" x14ac:dyDescent="0.35">
      <c r="A352" s="33" t="s">
        <v>433</v>
      </c>
      <c r="B352" s="33" t="s">
        <v>80</v>
      </c>
      <c r="C352" s="33" t="s">
        <v>434</v>
      </c>
      <c r="D352" s="33" t="s">
        <v>435</v>
      </c>
      <c r="E352" s="33" t="s">
        <v>2873</v>
      </c>
      <c r="F352" s="38" t="s">
        <v>132</v>
      </c>
    </row>
    <row r="353" spans="1:6" ht="14.5" hidden="1" customHeight="1" x14ac:dyDescent="0.35">
      <c r="A353" s="33" t="s">
        <v>436</v>
      </c>
      <c r="B353" s="33" t="s">
        <v>80</v>
      </c>
      <c r="C353" s="33" t="s">
        <v>437</v>
      </c>
      <c r="D353" s="33" t="s">
        <v>437</v>
      </c>
      <c r="E353" s="33" t="s">
        <v>2873</v>
      </c>
      <c r="F353" s="38" t="s">
        <v>132</v>
      </c>
    </row>
    <row r="354" spans="1:6" ht="14.5" hidden="1" customHeight="1" x14ac:dyDescent="0.35">
      <c r="A354" s="33" t="s">
        <v>451</v>
      </c>
      <c r="B354" s="33" t="s">
        <v>80</v>
      </c>
      <c r="C354" s="33" t="s">
        <v>452</v>
      </c>
      <c r="D354" s="33" t="s">
        <v>453</v>
      </c>
      <c r="E354" s="33" t="s">
        <v>2845</v>
      </c>
      <c r="F354" s="38" t="s">
        <v>50</v>
      </c>
    </row>
    <row r="355" spans="1:6" ht="14.5" hidden="1" customHeight="1" x14ac:dyDescent="0.35">
      <c r="A355" s="33" t="s">
        <v>451</v>
      </c>
      <c r="B355" s="33" t="s">
        <v>82</v>
      </c>
      <c r="C355" s="33" t="s">
        <v>452</v>
      </c>
      <c r="D355" s="33" t="s">
        <v>452</v>
      </c>
      <c r="E355" s="33" t="s">
        <v>2845</v>
      </c>
      <c r="F355" s="38" t="s">
        <v>50</v>
      </c>
    </row>
    <row r="356" spans="1:6" ht="14.5" hidden="1" customHeight="1" x14ac:dyDescent="0.35">
      <c r="A356" s="33" t="s">
        <v>454</v>
      </c>
      <c r="B356" s="33" t="s">
        <v>80</v>
      </c>
      <c r="C356" s="33" t="s">
        <v>455</v>
      </c>
      <c r="D356" s="33" t="s">
        <v>456</v>
      </c>
      <c r="E356" s="33" t="s">
        <v>2873</v>
      </c>
      <c r="F356" s="38" t="s">
        <v>132</v>
      </c>
    </row>
    <row r="357" spans="1:6" ht="14.5" customHeight="1" x14ac:dyDescent="0.35">
      <c r="A357" s="33" t="s">
        <v>461</v>
      </c>
      <c r="B357" s="33" t="s">
        <v>80</v>
      </c>
      <c r="C357" s="33" t="s">
        <v>462</v>
      </c>
      <c r="D357" s="33" t="s">
        <v>463</v>
      </c>
      <c r="E357" s="33" t="s">
        <v>2879</v>
      </c>
      <c r="F357" s="38" t="s">
        <v>1687</v>
      </c>
    </row>
    <row r="358" spans="1:6" ht="14.5" hidden="1" customHeight="1" x14ac:dyDescent="0.35">
      <c r="A358" s="33" t="s">
        <v>461</v>
      </c>
      <c r="B358" s="33" t="s">
        <v>82</v>
      </c>
      <c r="C358" s="33" t="s">
        <v>462</v>
      </c>
      <c r="D358" s="33" t="s">
        <v>464</v>
      </c>
      <c r="E358" s="33" t="s">
        <v>2843</v>
      </c>
      <c r="F358" s="38" t="s">
        <v>56</v>
      </c>
    </row>
    <row r="359" spans="1:6" ht="14.5" customHeight="1" x14ac:dyDescent="0.35">
      <c r="A359" s="33" t="s">
        <v>461</v>
      </c>
      <c r="B359" s="33" t="s">
        <v>83</v>
      </c>
      <c r="C359" s="33" t="s">
        <v>462</v>
      </c>
      <c r="D359" s="33" t="s">
        <v>465</v>
      </c>
      <c r="E359" s="33" t="s">
        <v>2879</v>
      </c>
      <c r="F359" s="38" t="s">
        <v>1687</v>
      </c>
    </row>
    <row r="360" spans="1:6" ht="14.5" hidden="1" customHeight="1" x14ac:dyDescent="0.35">
      <c r="A360" s="33" t="s">
        <v>461</v>
      </c>
      <c r="B360" s="33" t="s">
        <v>19</v>
      </c>
      <c r="C360" s="33" t="s">
        <v>462</v>
      </c>
      <c r="D360" s="33" t="s">
        <v>466</v>
      </c>
      <c r="E360" s="33" t="s">
        <v>2843</v>
      </c>
      <c r="F360" s="38" t="s">
        <v>56</v>
      </c>
    </row>
    <row r="361" spans="1:6" ht="14.5" hidden="1" customHeight="1" x14ac:dyDescent="0.35">
      <c r="A361" s="33" t="s">
        <v>467</v>
      </c>
      <c r="B361" s="33" t="s">
        <v>82</v>
      </c>
      <c r="C361" s="33" t="s">
        <v>468</v>
      </c>
      <c r="D361" s="33" t="s">
        <v>464</v>
      </c>
      <c r="E361" s="33" t="s">
        <v>2843</v>
      </c>
      <c r="F361" s="38" t="s">
        <v>56</v>
      </c>
    </row>
    <row r="362" spans="1:6" ht="14.5" customHeight="1" x14ac:dyDescent="0.35">
      <c r="A362" s="33" t="s">
        <v>467</v>
      </c>
      <c r="B362" s="33" t="s">
        <v>83</v>
      </c>
      <c r="C362" s="33" t="s">
        <v>468</v>
      </c>
      <c r="D362" s="33" t="s">
        <v>465</v>
      </c>
      <c r="E362" s="33" t="s">
        <v>2879</v>
      </c>
      <c r="F362" s="38" t="s">
        <v>1687</v>
      </c>
    </row>
    <row r="363" spans="1:6" ht="14.5" hidden="1" customHeight="1" x14ac:dyDescent="0.35">
      <c r="A363" s="33" t="s">
        <v>467</v>
      </c>
      <c r="B363" s="33" t="s">
        <v>19</v>
      </c>
      <c r="C363" s="33" t="s">
        <v>468</v>
      </c>
      <c r="D363" s="33" t="s">
        <v>466</v>
      </c>
      <c r="E363" s="33" t="s">
        <v>2843</v>
      </c>
      <c r="F363" s="38" t="s">
        <v>56</v>
      </c>
    </row>
    <row r="364" spans="1:6" ht="14.5" hidden="1" customHeight="1" x14ac:dyDescent="0.35">
      <c r="A364" s="33" t="s">
        <v>491</v>
      </c>
      <c r="B364" s="33" t="s">
        <v>80</v>
      </c>
      <c r="C364" s="33" t="s">
        <v>492</v>
      </c>
      <c r="D364" s="33" t="s">
        <v>493</v>
      </c>
      <c r="E364" s="33" t="s">
        <v>2879</v>
      </c>
      <c r="F364" s="38" t="s">
        <v>132</v>
      </c>
    </row>
    <row r="365" spans="1:6" ht="14.5" hidden="1" customHeight="1" x14ac:dyDescent="0.35">
      <c r="A365" s="33" t="s">
        <v>491</v>
      </c>
      <c r="B365" s="33" t="s">
        <v>82</v>
      </c>
      <c r="C365" s="33" t="s">
        <v>492</v>
      </c>
      <c r="D365" s="33" t="s">
        <v>494</v>
      </c>
      <c r="E365" s="33" t="s">
        <v>2879</v>
      </c>
      <c r="F365" s="38" t="s">
        <v>132</v>
      </c>
    </row>
    <row r="366" spans="1:6" ht="14.5" hidden="1" customHeight="1" x14ac:dyDescent="0.35">
      <c r="A366" s="33" t="s">
        <v>491</v>
      </c>
      <c r="B366" s="33" t="s">
        <v>83</v>
      </c>
      <c r="C366" s="33" t="s">
        <v>492</v>
      </c>
      <c r="D366" s="33" t="s">
        <v>495</v>
      </c>
      <c r="E366" s="33" t="s">
        <v>2867</v>
      </c>
      <c r="F366" s="38" t="s">
        <v>132</v>
      </c>
    </row>
    <row r="367" spans="1:6" ht="14.5" hidden="1" customHeight="1" x14ac:dyDescent="0.35">
      <c r="A367" s="33" t="s">
        <v>491</v>
      </c>
      <c r="B367" s="33" t="s">
        <v>19</v>
      </c>
      <c r="C367" s="33" t="s">
        <v>492</v>
      </c>
      <c r="D367" s="33" t="s">
        <v>496</v>
      </c>
      <c r="E367" s="33" t="s">
        <v>2880</v>
      </c>
      <c r="F367" s="38" t="s">
        <v>132</v>
      </c>
    </row>
    <row r="368" spans="1:6" ht="14.5" hidden="1" customHeight="1" x14ac:dyDescent="0.35">
      <c r="A368" s="33" t="s">
        <v>491</v>
      </c>
      <c r="B368" s="33" t="s">
        <v>84</v>
      </c>
      <c r="C368" s="33" t="s">
        <v>492</v>
      </c>
      <c r="D368" s="33" t="s">
        <v>497</v>
      </c>
      <c r="E368" s="33" t="s">
        <v>2845</v>
      </c>
      <c r="F368" s="38" t="s">
        <v>50</v>
      </c>
    </row>
    <row r="369" spans="1:6" ht="14.5" hidden="1" customHeight="1" x14ac:dyDescent="0.35">
      <c r="A369" s="33" t="s">
        <v>491</v>
      </c>
      <c r="B369" s="33" t="s">
        <v>85</v>
      </c>
      <c r="C369" s="33" t="s">
        <v>492</v>
      </c>
      <c r="D369" s="33" t="s">
        <v>498</v>
      </c>
      <c r="E369" s="33" t="s">
        <v>2845</v>
      </c>
      <c r="F369" s="38" t="s">
        <v>50</v>
      </c>
    </row>
    <row r="370" spans="1:6" ht="14.5" hidden="1" customHeight="1" x14ac:dyDescent="0.35">
      <c r="A370" s="33" t="s">
        <v>491</v>
      </c>
      <c r="B370" s="33" t="s">
        <v>89</v>
      </c>
      <c r="C370" s="33" t="s">
        <v>492</v>
      </c>
      <c r="D370" s="33" t="s">
        <v>499</v>
      </c>
      <c r="E370" s="33" t="s">
        <v>2881</v>
      </c>
      <c r="F370" s="38" t="s">
        <v>132</v>
      </c>
    </row>
    <row r="371" spans="1:6" ht="14.5" hidden="1" customHeight="1" x14ac:dyDescent="0.35">
      <c r="A371" s="33" t="s">
        <v>491</v>
      </c>
      <c r="B371" s="33" t="s">
        <v>87</v>
      </c>
      <c r="C371" s="33" t="s">
        <v>492</v>
      </c>
      <c r="D371" s="33" t="s">
        <v>500</v>
      </c>
      <c r="E371" s="33" t="s">
        <v>2872</v>
      </c>
      <c r="F371" s="38" t="s">
        <v>132</v>
      </c>
    </row>
    <row r="372" spans="1:6" ht="14.5" hidden="1" customHeight="1" x14ac:dyDescent="0.35">
      <c r="A372" s="33" t="s">
        <v>491</v>
      </c>
      <c r="B372" s="33" t="s">
        <v>88</v>
      </c>
      <c r="C372" s="33" t="s">
        <v>492</v>
      </c>
      <c r="D372" s="33" t="s">
        <v>501</v>
      </c>
      <c r="E372" s="33" t="s">
        <v>2845</v>
      </c>
      <c r="F372" s="38" t="s">
        <v>50</v>
      </c>
    </row>
    <row r="373" spans="1:6" ht="14.5" hidden="1" customHeight="1" x14ac:dyDescent="0.35">
      <c r="A373" s="33" t="s">
        <v>491</v>
      </c>
      <c r="B373" s="33" t="s">
        <v>109</v>
      </c>
      <c r="C373" s="33" t="s">
        <v>492</v>
      </c>
      <c r="D373" s="33" t="s">
        <v>501</v>
      </c>
      <c r="E373" s="33" t="s">
        <v>2875</v>
      </c>
      <c r="F373" s="38" t="s">
        <v>2912</v>
      </c>
    </row>
    <row r="374" spans="1:6" ht="14.5" hidden="1" customHeight="1" x14ac:dyDescent="0.35">
      <c r="A374" s="33" t="s">
        <v>491</v>
      </c>
      <c r="B374" s="33" t="s">
        <v>90</v>
      </c>
      <c r="C374" s="33" t="s">
        <v>492</v>
      </c>
      <c r="D374" s="33" t="s">
        <v>502</v>
      </c>
      <c r="E374" s="33" t="s">
        <v>2880</v>
      </c>
      <c r="F374" s="38" t="s">
        <v>132</v>
      </c>
    </row>
    <row r="375" spans="1:6" ht="14.5" hidden="1" customHeight="1" x14ac:dyDescent="0.35">
      <c r="A375" s="33" t="s">
        <v>491</v>
      </c>
      <c r="B375" s="33" t="s">
        <v>91</v>
      </c>
      <c r="C375" s="33" t="s">
        <v>492</v>
      </c>
      <c r="D375" s="33" t="s">
        <v>503</v>
      </c>
      <c r="E375" s="33" t="s">
        <v>2845</v>
      </c>
      <c r="F375" s="38" t="s">
        <v>50</v>
      </c>
    </row>
    <row r="376" spans="1:6" ht="14.5" hidden="1" customHeight="1" x14ac:dyDescent="0.35">
      <c r="A376" s="33" t="s">
        <v>491</v>
      </c>
      <c r="B376" s="33" t="s">
        <v>92</v>
      </c>
      <c r="C376" s="33" t="s">
        <v>492</v>
      </c>
      <c r="D376" s="33" t="s">
        <v>504</v>
      </c>
      <c r="E376" s="33" t="s">
        <v>2845</v>
      </c>
      <c r="F376" s="38" t="s">
        <v>50</v>
      </c>
    </row>
    <row r="377" spans="1:6" ht="14.5" hidden="1" customHeight="1" x14ac:dyDescent="0.35">
      <c r="A377" s="33" t="s">
        <v>491</v>
      </c>
      <c r="B377" s="33" t="s">
        <v>95</v>
      </c>
      <c r="C377" s="33" t="s">
        <v>492</v>
      </c>
      <c r="D377" s="33" t="s">
        <v>499</v>
      </c>
      <c r="E377" s="33" t="s">
        <v>2881</v>
      </c>
      <c r="F377" s="38" t="s">
        <v>132</v>
      </c>
    </row>
    <row r="378" spans="1:6" ht="14.5" hidden="1" customHeight="1" x14ac:dyDescent="0.35">
      <c r="A378" s="33" t="s">
        <v>491</v>
      </c>
      <c r="B378" s="33" t="s">
        <v>96</v>
      </c>
      <c r="C378" s="33" t="s">
        <v>492</v>
      </c>
      <c r="D378" s="33" t="s">
        <v>500</v>
      </c>
      <c r="E378" s="33" t="s">
        <v>2872</v>
      </c>
      <c r="F378" s="38" t="s">
        <v>132</v>
      </c>
    </row>
    <row r="379" spans="1:6" ht="14.5" hidden="1" customHeight="1" x14ac:dyDescent="0.35">
      <c r="A379" s="33" t="s">
        <v>491</v>
      </c>
      <c r="B379" s="33" t="s">
        <v>97</v>
      </c>
      <c r="C379" s="33" t="s">
        <v>492</v>
      </c>
      <c r="D379" s="33" t="s">
        <v>505</v>
      </c>
      <c r="E379" s="33" t="s">
        <v>2867</v>
      </c>
      <c r="F379" s="38" t="s">
        <v>132</v>
      </c>
    </row>
    <row r="380" spans="1:6" ht="14.5" hidden="1" customHeight="1" x14ac:dyDescent="0.35">
      <c r="A380" s="33" t="s">
        <v>506</v>
      </c>
      <c r="B380" s="33" t="s">
        <v>80</v>
      </c>
      <c r="C380" s="33" t="s">
        <v>507</v>
      </c>
      <c r="D380" s="33" t="s">
        <v>508</v>
      </c>
      <c r="E380" s="33" t="s">
        <v>2843</v>
      </c>
      <c r="F380" s="38" t="s">
        <v>56</v>
      </c>
    </row>
    <row r="381" spans="1:6" ht="14.5" hidden="1" customHeight="1" x14ac:dyDescent="0.35">
      <c r="A381" s="33" t="s">
        <v>506</v>
      </c>
      <c r="B381" s="33" t="s">
        <v>82</v>
      </c>
      <c r="C381" s="33" t="s">
        <v>507</v>
      </c>
      <c r="D381" s="33" t="s">
        <v>509</v>
      </c>
      <c r="E381" s="33" t="s">
        <v>2869</v>
      </c>
      <c r="F381" s="38" t="s">
        <v>132</v>
      </c>
    </row>
    <row r="382" spans="1:6" ht="14.5" hidden="1" customHeight="1" x14ac:dyDescent="0.35">
      <c r="A382" s="33" t="s">
        <v>506</v>
      </c>
      <c r="B382" s="33" t="s">
        <v>83</v>
      </c>
      <c r="C382" s="33" t="s">
        <v>507</v>
      </c>
      <c r="D382" s="33" t="s">
        <v>510</v>
      </c>
      <c r="E382" s="33" t="s">
        <v>2847</v>
      </c>
      <c r="F382" s="38" t="s">
        <v>132</v>
      </c>
    </row>
    <row r="383" spans="1:6" ht="14.5" hidden="1" customHeight="1" x14ac:dyDescent="0.35">
      <c r="A383" s="33" t="s">
        <v>506</v>
      </c>
      <c r="B383" s="33" t="s">
        <v>19</v>
      </c>
      <c r="C383" s="33" t="s">
        <v>507</v>
      </c>
      <c r="D383" s="33" t="s">
        <v>511</v>
      </c>
      <c r="E383" s="33" t="s">
        <v>2861</v>
      </c>
      <c r="F383" s="38" t="s">
        <v>2740</v>
      </c>
    </row>
    <row r="384" spans="1:6" ht="14.5" hidden="1" customHeight="1" x14ac:dyDescent="0.35">
      <c r="A384" s="33" t="s">
        <v>506</v>
      </c>
      <c r="B384" s="33" t="s">
        <v>84</v>
      </c>
      <c r="C384" s="33" t="s">
        <v>507</v>
      </c>
      <c r="D384" s="33" t="s">
        <v>512</v>
      </c>
      <c r="E384" s="33" t="s">
        <v>2847</v>
      </c>
      <c r="F384" s="38" t="s">
        <v>132</v>
      </c>
    </row>
    <row r="385" spans="1:8" ht="14.5" hidden="1" customHeight="1" x14ac:dyDescent="0.35">
      <c r="A385" s="33" t="s">
        <v>506</v>
      </c>
      <c r="B385" s="33" t="s">
        <v>85</v>
      </c>
      <c r="C385" s="33" t="s">
        <v>507</v>
      </c>
      <c r="D385" s="33" t="s">
        <v>513</v>
      </c>
      <c r="E385" s="33" t="s">
        <v>2861</v>
      </c>
      <c r="F385" s="38" t="s">
        <v>2740</v>
      </c>
    </row>
    <row r="386" spans="1:8" ht="14.5" hidden="1" customHeight="1" x14ac:dyDescent="0.35">
      <c r="A386" s="33" t="s">
        <v>506</v>
      </c>
      <c r="B386" s="33" t="s">
        <v>86</v>
      </c>
      <c r="C386" s="33" t="s">
        <v>507</v>
      </c>
      <c r="D386" s="33" t="s">
        <v>514</v>
      </c>
      <c r="E386" s="33" t="s">
        <v>2859</v>
      </c>
      <c r="F386" s="38" t="s">
        <v>56</v>
      </c>
    </row>
    <row r="387" spans="1:8" ht="14.5" hidden="1" customHeight="1" x14ac:dyDescent="0.35">
      <c r="A387" s="33" t="s">
        <v>506</v>
      </c>
      <c r="B387" s="33" t="s">
        <v>89</v>
      </c>
      <c r="C387" s="33" t="s">
        <v>507</v>
      </c>
      <c r="D387" s="33" t="s">
        <v>515</v>
      </c>
      <c r="E387" s="33" t="s">
        <v>2882</v>
      </c>
      <c r="F387" s="38" t="s">
        <v>2739</v>
      </c>
    </row>
    <row r="388" spans="1:8" ht="14.5" hidden="1" customHeight="1" x14ac:dyDescent="0.35">
      <c r="A388" s="33" t="s">
        <v>506</v>
      </c>
      <c r="B388" s="33" t="s">
        <v>87</v>
      </c>
      <c r="C388" s="33" t="s">
        <v>507</v>
      </c>
      <c r="D388" s="33" t="s">
        <v>516</v>
      </c>
      <c r="E388" s="33" t="s">
        <v>2843</v>
      </c>
      <c r="F388" s="38" t="s">
        <v>56</v>
      </c>
    </row>
    <row r="389" spans="1:8" ht="14.5" hidden="1" customHeight="1" x14ac:dyDescent="0.35">
      <c r="A389" s="33" t="s">
        <v>517</v>
      </c>
      <c r="B389" s="33" t="s">
        <v>80</v>
      </c>
      <c r="C389" s="33" t="s">
        <v>518</v>
      </c>
      <c r="D389" s="33" t="s">
        <v>519</v>
      </c>
      <c r="E389" s="33" t="s">
        <v>2843</v>
      </c>
      <c r="F389" s="38" t="s">
        <v>56</v>
      </c>
    </row>
    <row r="390" spans="1:8" ht="14.5" hidden="1" customHeight="1" x14ac:dyDescent="0.35">
      <c r="A390" s="33" t="s">
        <v>517</v>
      </c>
      <c r="B390" s="33" t="s">
        <v>82</v>
      </c>
      <c r="C390" s="33" t="s">
        <v>518</v>
      </c>
      <c r="D390" s="33" t="s">
        <v>520</v>
      </c>
      <c r="E390" s="33" t="s">
        <v>2847</v>
      </c>
      <c r="F390" s="38" t="s">
        <v>1914</v>
      </c>
    </row>
    <row r="391" spans="1:8" ht="14.5" hidden="1" customHeight="1" x14ac:dyDescent="0.35">
      <c r="A391" s="33" t="s">
        <v>517</v>
      </c>
      <c r="B391" s="33" t="s">
        <v>19</v>
      </c>
      <c r="C391" s="33" t="s">
        <v>518</v>
      </c>
      <c r="D391" s="33" t="s">
        <v>521</v>
      </c>
      <c r="E391" s="33" t="s">
        <v>2844</v>
      </c>
      <c r="F391" s="38" t="s">
        <v>48</v>
      </c>
    </row>
    <row r="392" spans="1:8" ht="14.5" hidden="1" customHeight="1" x14ac:dyDescent="0.35">
      <c r="A392" s="33" t="s">
        <v>517</v>
      </c>
      <c r="B392" s="33" t="s">
        <v>84</v>
      </c>
      <c r="C392" s="33" t="s">
        <v>518</v>
      </c>
      <c r="D392" s="33" t="s">
        <v>522</v>
      </c>
      <c r="E392" s="33" t="s">
        <v>2839</v>
      </c>
      <c r="F392" s="38" t="s">
        <v>48</v>
      </c>
    </row>
    <row r="393" spans="1:8" ht="14.5" hidden="1" customHeight="1" x14ac:dyDescent="0.35">
      <c r="A393" s="33" t="s">
        <v>517</v>
      </c>
      <c r="B393" s="33" t="s">
        <v>85</v>
      </c>
      <c r="C393" s="33" t="s">
        <v>518</v>
      </c>
      <c r="D393" s="33" t="s">
        <v>523</v>
      </c>
      <c r="E393" s="33" t="s">
        <v>2873</v>
      </c>
      <c r="F393" s="38" t="s">
        <v>132</v>
      </c>
    </row>
    <row r="394" spans="1:8" ht="14.5" hidden="1" customHeight="1" x14ac:dyDescent="0.35">
      <c r="A394" s="33" t="s">
        <v>517</v>
      </c>
      <c r="B394" s="33" t="s">
        <v>86</v>
      </c>
      <c r="C394" s="33" t="s">
        <v>518</v>
      </c>
      <c r="D394" s="33" t="s">
        <v>524</v>
      </c>
      <c r="E394" s="33" t="s">
        <v>2847</v>
      </c>
      <c r="F394" s="38" t="s">
        <v>1914</v>
      </c>
    </row>
    <row r="395" spans="1:8" ht="14.5" hidden="1" customHeight="1" x14ac:dyDescent="0.35">
      <c r="A395" s="33" t="s">
        <v>517</v>
      </c>
      <c r="B395" s="33" t="s">
        <v>89</v>
      </c>
      <c r="C395" s="33" t="s">
        <v>518</v>
      </c>
      <c r="D395" s="33" t="s">
        <v>525</v>
      </c>
      <c r="E395" s="33" t="s">
        <v>2847</v>
      </c>
      <c r="F395" s="38" t="s">
        <v>1914</v>
      </c>
      <c r="H395" s="33"/>
    </row>
    <row r="396" spans="1:8" ht="14.5" hidden="1" customHeight="1" x14ac:dyDescent="0.35">
      <c r="A396" s="33" t="s">
        <v>517</v>
      </c>
      <c r="B396" s="33" t="s">
        <v>87</v>
      </c>
      <c r="C396" s="33" t="s">
        <v>518</v>
      </c>
      <c r="D396" s="33" t="s">
        <v>526</v>
      </c>
      <c r="E396" s="33" t="s">
        <v>2847</v>
      </c>
      <c r="F396" s="38" t="s">
        <v>1914</v>
      </c>
    </row>
    <row r="397" spans="1:8" ht="14.5" hidden="1" customHeight="1" x14ac:dyDescent="0.35">
      <c r="A397" s="33" t="s">
        <v>517</v>
      </c>
      <c r="B397" s="33" t="s">
        <v>88</v>
      </c>
      <c r="C397" s="33" t="s">
        <v>518</v>
      </c>
      <c r="D397" s="33" t="s">
        <v>527</v>
      </c>
      <c r="E397" s="33" t="s">
        <v>2847</v>
      </c>
      <c r="F397" s="38" t="s">
        <v>1914</v>
      </c>
    </row>
    <row r="398" spans="1:8" ht="14.5" hidden="1" customHeight="1" x14ac:dyDescent="0.35">
      <c r="A398" s="33" t="s">
        <v>517</v>
      </c>
      <c r="B398" s="33" t="s">
        <v>90</v>
      </c>
      <c r="C398" s="33" t="s">
        <v>518</v>
      </c>
      <c r="D398" s="33" t="s">
        <v>528</v>
      </c>
      <c r="E398" s="33" t="s">
        <v>2847</v>
      </c>
      <c r="F398" s="38" t="s">
        <v>1914</v>
      </c>
    </row>
    <row r="399" spans="1:8" ht="14.5" hidden="1" customHeight="1" x14ac:dyDescent="0.35">
      <c r="A399" s="33" t="s">
        <v>517</v>
      </c>
      <c r="B399" s="33" t="s">
        <v>91</v>
      </c>
      <c r="C399" s="33" t="s">
        <v>518</v>
      </c>
      <c r="D399" s="33" t="s">
        <v>529</v>
      </c>
      <c r="E399" s="33" t="s">
        <v>2847</v>
      </c>
      <c r="F399" s="38" t="s">
        <v>1914</v>
      </c>
    </row>
    <row r="400" spans="1:8" ht="14.5" hidden="1" customHeight="1" x14ac:dyDescent="0.35">
      <c r="A400" s="33" t="s">
        <v>517</v>
      </c>
      <c r="B400" s="33" t="s">
        <v>92</v>
      </c>
      <c r="C400" s="33" t="s">
        <v>518</v>
      </c>
      <c r="D400" s="33" t="s">
        <v>530</v>
      </c>
      <c r="E400" s="33" t="s">
        <v>2847</v>
      </c>
      <c r="F400" s="38" t="s">
        <v>1914</v>
      </c>
    </row>
    <row r="401" spans="1:6" ht="14.5" hidden="1" customHeight="1" x14ac:dyDescent="0.35">
      <c r="A401" s="33" t="s">
        <v>517</v>
      </c>
      <c r="B401" s="33" t="s">
        <v>93</v>
      </c>
      <c r="C401" s="33" t="s">
        <v>518</v>
      </c>
      <c r="D401" s="33" t="s">
        <v>531</v>
      </c>
      <c r="E401" s="33" t="s">
        <v>2847</v>
      </c>
      <c r="F401" s="38" t="s">
        <v>1914</v>
      </c>
    </row>
    <row r="402" spans="1:6" ht="14.5" hidden="1" customHeight="1" x14ac:dyDescent="0.35">
      <c r="A402" s="33" t="s">
        <v>517</v>
      </c>
      <c r="B402" s="33" t="s">
        <v>94</v>
      </c>
      <c r="C402" s="33" t="s">
        <v>518</v>
      </c>
      <c r="D402" s="33" t="s">
        <v>532</v>
      </c>
      <c r="E402" s="33" t="s">
        <v>2847</v>
      </c>
      <c r="F402" s="38" t="s">
        <v>1914</v>
      </c>
    </row>
    <row r="403" spans="1:6" ht="14.5" hidden="1" customHeight="1" x14ac:dyDescent="0.35">
      <c r="A403" s="33" t="s">
        <v>517</v>
      </c>
      <c r="B403" s="33" t="s">
        <v>95</v>
      </c>
      <c r="C403" s="33" t="s">
        <v>518</v>
      </c>
      <c r="D403" s="33" t="s">
        <v>533</v>
      </c>
      <c r="E403" s="33" t="s">
        <v>2847</v>
      </c>
      <c r="F403" s="38" t="s">
        <v>1914</v>
      </c>
    </row>
    <row r="404" spans="1:6" ht="14.5" hidden="1" customHeight="1" x14ac:dyDescent="0.35">
      <c r="A404" s="33" t="s">
        <v>517</v>
      </c>
      <c r="B404" s="33" t="s">
        <v>96</v>
      </c>
      <c r="C404" s="33" t="s">
        <v>518</v>
      </c>
      <c r="D404" s="33" t="s">
        <v>534</v>
      </c>
      <c r="E404" s="33" t="s">
        <v>2873</v>
      </c>
      <c r="F404" s="38" t="s">
        <v>132</v>
      </c>
    </row>
    <row r="405" spans="1:6" ht="14.5" hidden="1" customHeight="1" x14ac:dyDescent="0.35">
      <c r="A405" s="33" t="s">
        <v>517</v>
      </c>
      <c r="B405" s="33" t="s">
        <v>97</v>
      </c>
      <c r="C405" s="33" t="s">
        <v>518</v>
      </c>
      <c r="D405" s="33" t="s">
        <v>535</v>
      </c>
      <c r="E405" s="33" t="s">
        <v>2847</v>
      </c>
      <c r="F405" s="38" t="s">
        <v>1914</v>
      </c>
    </row>
    <row r="406" spans="1:6" ht="14.5" hidden="1" customHeight="1" x14ac:dyDescent="0.35">
      <c r="A406" s="33" t="s">
        <v>517</v>
      </c>
      <c r="B406" s="33" t="s">
        <v>99</v>
      </c>
      <c r="C406" s="33" t="s">
        <v>518</v>
      </c>
      <c r="D406" s="33" t="s">
        <v>536</v>
      </c>
      <c r="E406" s="33" t="s">
        <v>2844</v>
      </c>
      <c r="F406" s="38" t="s">
        <v>48</v>
      </c>
    </row>
    <row r="407" spans="1:6" ht="14.5" hidden="1" customHeight="1" x14ac:dyDescent="0.35">
      <c r="A407" s="33" t="s">
        <v>517</v>
      </c>
      <c r="B407" s="33" t="s">
        <v>100</v>
      </c>
      <c r="C407" s="33" t="s">
        <v>518</v>
      </c>
      <c r="D407" s="33" t="s">
        <v>537</v>
      </c>
      <c r="E407" s="33" t="s">
        <v>2839</v>
      </c>
      <c r="F407" s="38" t="s">
        <v>48</v>
      </c>
    </row>
    <row r="408" spans="1:6" ht="14.5" hidden="1" customHeight="1" x14ac:dyDescent="0.35">
      <c r="A408" s="33" t="s">
        <v>517</v>
      </c>
      <c r="B408" s="33" t="s">
        <v>101</v>
      </c>
      <c r="C408" s="33" t="s">
        <v>518</v>
      </c>
      <c r="D408" s="33" t="s">
        <v>538</v>
      </c>
      <c r="E408" s="33" t="s">
        <v>2843</v>
      </c>
      <c r="F408" s="38" t="s">
        <v>56</v>
      </c>
    </row>
    <row r="409" spans="1:6" ht="14.5" hidden="1" customHeight="1" x14ac:dyDescent="0.35">
      <c r="A409" s="33" t="s">
        <v>539</v>
      </c>
      <c r="B409" s="33" t="s">
        <v>80</v>
      </c>
      <c r="C409" s="33" t="s">
        <v>540</v>
      </c>
      <c r="D409" s="33" t="s">
        <v>541</v>
      </c>
      <c r="E409" s="33" t="s">
        <v>2873</v>
      </c>
      <c r="F409" s="38" t="s">
        <v>132</v>
      </c>
    </row>
    <row r="410" spans="1:6" ht="14.5" hidden="1" customHeight="1" x14ac:dyDescent="0.35">
      <c r="A410" s="33" t="s">
        <v>542</v>
      </c>
      <c r="B410" s="33" t="s">
        <v>80</v>
      </c>
      <c r="C410" s="33" t="s">
        <v>543</v>
      </c>
      <c r="D410" s="33" t="s">
        <v>544</v>
      </c>
      <c r="E410" s="33" t="s">
        <v>2873</v>
      </c>
      <c r="F410" s="38" t="s">
        <v>132</v>
      </c>
    </row>
    <row r="411" spans="1:6" ht="14.5" hidden="1" customHeight="1" x14ac:dyDescent="0.35">
      <c r="A411" s="33" t="s">
        <v>545</v>
      </c>
      <c r="B411" s="33" t="s">
        <v>80</v>
      </c>
      <c r="C411" s="33" t="s">
        <v>546</v>
      </c>
      <c r="D411" s="33" t="s">
        <v>547</v>
      </c>
      <c r="E411" s="33" t="s">
        <v>2873</v>
      </c>
      <c r="F411" s="38" t="s">
        <v>132</v>
      </c>
    </row>
    <row r="412" spans="1:6" ht="14.5" hidden="1" customHeight="1" x14ac:dyDescent="0.35">
      <c r="A412" s="33" t="s">
        <v>548</v>
      </c>
      <c r="B412" s="33" t="s">
        <v>80</v>
      </c>
      <c r="C412" s="33" t="s">
        <v>549</v>
      </c>
      <c r="D412" s="33" t="s">
        <v>550</v>
      </c>
      <c r="E412" s="33" t="s">
        <v>2843</v>
      </c>
      <c r="F412" s="38" t="s">
        <v>56</v>
      </c>
    </row>
    <row r="413" spans="1:6" ht="14.5" hidden="1" customHeight="1" x14ac:dyDescent="0.35">
      <c r="A413" s="33" t="s">
        <v>548</v>
      </c>
      <c r="B413" s="33" t="s">
        <v>82</v>
      </c>
      <c r="C413" s="33" t="s">
        <v>549</v>
      </c>
      <c r="D413" s="33" t="s">
        <v>551</v>
      </c>
      <c r="E413" s="33" t="s">
        <v>2876</v>
      </c>
      <c r="F413" s="38" t="s">
        <v>50</v>
      </c>
    </row>
    <row r="414" spans="1:6" ht="14.5" hidden="1" customHeight="1" x14ac:dyDescent="0.35">
      <c r="A414" s="33" t="s">
        <v>548</v>
      </c>
      <c r="B414" s="33" t="s">
        <v>83</v>
      </c>
      <c r="C414" s="33" t="s">
        <v>549</v>
      </c>
      <c r="D414" s="33" t="s">
        <v>552</v>
      </c>
      <c r="E414" s="33" t="s">
        <v>2845</v>
      </c>
      <c r="F414" s="38" t="s">
        <v>50</v>
      </c>
    </row>
    <row r="415" spans="1:6" ht="14.5" hidden="1" customHeight="1" x14ac:dyDescent="0.35">
      <c r="A415" s="33" t="s">
        <v>548</v>
      </c>
      <c r="B415" s="33" t="s">
        <v>19</v>
      </c>
      <c r="C415" s="33" t="s">
        <v>549</v>
      </c>
      <c r="D415" s="33" t="s">
        <v>553</v>
      </c>
      <c r="E415" s="33" t="s">
        <v>2845</v>
      </c>
      <c r="F415" s="38" t="s">
        <v>50</v>
      </c>
    </row>
    <row r="416" spans="1:6" ht="14.5" hidden="1" customHeight="1" x14ac:dyDescent="0.35">
      <c r="A416" s="33" t="s">
        <v>548</v>
      </c>
      <c r="B416" s="33" t="s">
        <v>86</v>
      </c>
      <c r="C416" s="33" t="s">
        <v>549</v>
      </c>
      <c r="D416" s="33" t="s">
        <v>554</v>
      </c>
      <c r="E416" s="33" t="s">
        <v>2843</v>
      </c>
      <c r="F416" s="38" t="s">
        <v>56</v>
      </c>
    </row>
    <row r="417" spans="1:6" ht="14.5" hidden="1" customHeight="1" x14ac:dyDescent="0.35">
      <c r="A417" s="33" t="s">
        <v>557</v>
      </c>
      <c r="B417" s="33" t="s">
        <v>83</v>
      </c>
      <c r="C417" s="33" t="s">
        <v>558</v>
      </c>
      <c r="D417" s="33" t="s">
        <v>559</v>
      </c>
      <c r="E417" s="33" t="s">
        <v>2838</v>
      </c>
      <c r="F417" s="38" t="s">
        <v>48</v>
      </c>
    </row>
    <row r="418" spans="1:6" ht="14.5" hidden="1" customHeight="1" x14ac:dyDescent="0.35">
      <c r="A418" s="33" t="s">
        <v>560</v>
      </c>
      <c r="B418" s="33" t="s">
        <v>80</v>
      </c>
      <c r="C418" s="33" t="s">
        <v>561</v>
      </c>
      <c r="D418" s="33" t="s">
        <v>562</v>
      </c>
      <c r="E418" s="33" t="s">
        <v>2879</v>
      </c>
      <c r="F418" s="38" t="s">
        <v>132</v>
      </c>
    </row>
    <row r="419" spans="1:6" ht="14.5" hidden="1" customHeight="1" x14ac:dyDescent="0.35">
      <c r="A419" s="33" t="s">
        <v>560</v>
      </c>
      <c r="B419" s="33" t="s">
        <v>83</v>
      </c>
      <c r="C419" s="33" t="s">
        <v>561</v>
      </c>
      <c r="D419" s="33" t="s">
        <v>563</v>
      </c>
      <c r="E419" s="33" t="s">
        <v>2879</v>
      </c>
      <c r="F419" s="38" t="s">
        <v>132</v>
      </c>
    </row>
    <row r="420" spans="1:6" ht="14.5" hidden="1" customHeight="1" x14ac:dyDescent="0.35">
      <c r="A420" s="33" t="s">
        <v>560</v>
      </c>
      <c r="B420" s="33" t="s">
        <v>85</v>
      </c>
      <c r="C420" s="33" t="s">
        <v>561</v>
      </c>
      <c r="D420" s="33" t="s">
        <v>564</v>
      </c>
      <c r="E420" s="33" t="s">
        <v>2844</v>
      </c>
      <c r="F420" s="38" t="s">
        <v>48</v>
      </c>
    </row>
    <row r="421" spans="1:6" ht="14.5" hidden="1" customHeight="1" x14ac:dyDescent="0.35">
      <c r="A421" s="33" t="s">
        <v>560</v>
      </c>
      <c r="B421" s="33" t="s">
        <v>378</v>
      </c>
      <c r="C421" s="33" t="s">
        <v>561</v>
      </c>
      <c r="D421" s="33" t="s">
        <v>565</v>
      </c>
      <c r="E421" s="33" t="s">
        <v>2839</v>
      </c>
      <c r="F421" s="38" t="s">
        <v>48</v>
      </c>
    </row>
    <row r="422" spans="1:6" ht="14.5" hidden="1" customHeight="1" x14ac:dyDescent="0.35">
      <c r="A422" s="33" t="s">
        <v>560</v>
      </c>
      <c r="B422" s="33" t="s">
        <v>86</v>
      </c>
      <c r="C422" s="33" t="s">
        <v>561</v>
      </c>
      <c r="D422" s="33" t="s">
        <v>566</v>
      </c>
      <c r="E422" s="33" t="s">
        <v>2879</v>
      </c>
      <c r="F422" s="38" t="s">
        <v>132</v>
      </c>
    </row>
    <row r="423" spans="1:6" ht="14.5" hidden="1" customHeight="1" x14ac:dyDescent="0.35">
      <c r="A423" s="33" t="s">
        <v>574</v>
      </c>
      <c r="B423" s="33" t="s">
        <v>80</v>
      </c>
      <c r="C423" s="33" t="s">
        <v>575</v>
      </c>
      <c r="D423" s="33" t="s">
        <v>576</v>
      </c>
      <c r="E423" s="33" t="s">
        <v>2879</v>
      </c>
      <c r="F423" s="38" t="s">
        <v>132</v>
      </c>
    </row>
    <row r="424" spans="1:6" ht="14.5" hidden="1" customHeight="1" x14ac:dyDescent="0.35">
      <c r="A424" s="33" t="s">
        <v>574</v>
      </c>
      <c r="B424" s="33" t="s">
        <v>82</v>
      </c>
      <c r="C424" s="33" t="s">
        <v>575</v>
      </c>
      <c r="D424" s="33" t="s">
        <v>577</v>
      </c>
      <c r="E424" s="33" t="s">
        <v>2879</v>
      </c>
      <c r="F424" s="38" t="s">
        <v>132</v>
      </c>
    </row>
    <row r="425" spans="1:6" ht="14.5" hidden="1" customHeight="1" x14ac:dyDescent="0.35">
      <c r="A425" s="33" t="s">
        <v>574</v>
      </c>
      <c r="B425" s="33" t="s">
        <v>19</v>
      </c>
      <c r="C425" s="33" t="s">
        <v>575</v>
      </c>
      <c r="D425" s="33" t="s">
        <v>578</v>
      </c>
      <c r="E425" s="33" t="s">
        <v>2844</v>
      </c>
      <c r="F425" s="38" t="s">
        <v>48</v>
      </c>
    </row>
    <row r="426" spans="1:6" ht="14.5" hidden="1" customHeight="1" x14ac:dyDescent="0.35">
      <c r="A426" s="33" t="s">
        <v>574</v>
      </c>
      <c r="B426" s="33" t="s">
        <v>84</v>
      </c>
      <c r="C426" s="33" t="s">
        <v>575</v>
      </c>
      <c r="D426" s="33" t="s">
        <v>579</v>
      </c>
      <c r="E426" s="33" t="s">
        <v>2839</v>
      </c>
      <c r="F426" s="38" t="s">
        <v>48</v>
      </c>
    </row>
    <row r="427" spans="1:6" ht="14.5" hidden="1" customHeight="1" x14ac:dyDescent="0.35">
      <c r="A427" s="33" t="s">
        <v>580</v>
      </c>
      <c r="B427" s="33" t="s">
        <v>82</v>
      </c>
      <c r="C427" s="33" t="s">
        <v>581</v>
      </c>
      <c r="D427" s="33" t="s">
        <v>582</v>
      </c>
      <c r="E427" s="33" t="s">
        <v>2858</v>
      </c>
      <c r="F427" s="38" t="s">
        <v>132</v>
      </c>
    </row>
    <row r="428" spans="1:6" ht="14.5" hidden="1" customHeight="1" x14ac:dyDescent="0.35">
      <c r="A428" s="33" t="s">
        <v>580</v>
      </c>
      <c r="B428" s="33" t="s">
        <v>83</v>
      </c>
      <c r="C428" s="33" t="s">
        <v>581</v>
      </c>
      <c r="D428" s="33" t="s">
        <v>583</v>
      </c>
      <c r="E428" s="33" t="s">
        <v>2858</v>
      </c>
      <c r="F428" s="38" t="s">
        <v>132</v>
      </c>
    </row>
    <row r="429" spans="1:6" ht="14.5" hidden="1" customHeight="1" x14ac:dyDescent="0.35">
      <c r="A429" s="33" t="s">
        <v>580</v>
      </c>
      <c r="B429" s="33" t="s">
        <v>84</v>
      </c>
      <c r="C429" s="33" t="s">
        <v>581</v>
      </c>
      <c r="D429" s="33" t="s">
        <v>584</v>
      </c>
      <c r="E429" s="33" t="s">
        <v>2844</v>
      </c>
      <c r="F429" s="38" t="s">
        <v>48</v>
      </c>
    </row>
    <row r="430" spans="1:6" ht="14.5" hidden="1" customHeight="1" x14ac:dyDescent="0.35">
      <c r="A430" s="33" t="s">
        <v>580</v>
      </c>
      <c r="B430" s="33" t="s">
        <v>432</v>
      </c>
      <c r="C430" s="33" t="s">
        <v>581</v>
      </c>
      <c r="D430" s="33" t="s">
        <v>585</v>
      </c>
      <c r="E430" s="33" t="s">
        <v>2839</v>
      </c>
      <c r="F430" s="38" t="s">
        <v>48</v>
      </c>
    </row>
    <row r="431" spans="1:6" ht="14.5" hidden="1" customHeight="1" x14ac:dyDescent="0.35">
      <c r="A431" s="33" t="s">
        <v>586</v>
      </c>
      <c r="B431" s="33" t="s">
        <v>80</v>
      </c>
      <c r="C431" s="33" t="s">
        <v>587</v>
      </c>
      <c r="D431" s="33" t="s">
        <v>588</v>
      </c>
      <c r="E431" s="33" t="s">
        <v>2873</v>
      </c>
      <c r="F431" s="38" t="s">
        <v>132</v>
      </c>
    </row>
    <row r="432" spans="1:6" ht="14.5" hidden="1" customHeight="1" x14ac:dyDescent="0.35">
      <c r="A432" s="33" t="s">
        <v>586</v>
      </c>
      <c r="B432" s="33" t="s">
        <v>83</v>
      </c>
      <c r="C432" s="33" t="s">
        <v>587</v>
      </c>
      <c r="D432" s="33" t="s">
        <v>589</v>
      </c>
      <c r="E432" s="33" t="s">
        <v>2844</v>
      </c>
      <c r="F432" s="38" t="s">
        <v>48</v>
      </c>
    </row>
    <row r="433" spans="1:6" ht="14.5" hidden="1" customHeight="1" x14ac:dyDescent="0.35">
      <c r="A433" s="33" t="s">
        <v>586</v>
      </c>
      <c r="B433" s="33" t="s">
        <v>19</v>
      </c>
      <c r="C433" s="33" t="s">
        <v>587</v>
      </c>
      <c r="D433" s="33" t="s">
        <v>590</v>
      </c>
      <c r="E433" s="33" t="s">
        <v>2839</v>
      </c>
      <c r="F433" s="38" t="s">
        <v>48</v>
      </c>
    </row>
    <row r="434" spans="1:6" ht="14.5" hidden="1" customHeight="1" x14ac:dyDescent="0.35">
      <c r="A434" s="33" t="s">
        <v>601</v>
      </c>
      <c r="B434" s="33" t="s">
        <v>80</v>
      </c>
      <c r="C434" s="33" t="s">
        <v>602</v>
      </c>
      <c r="D434" s="33" t="s">
        <v>603</v>
      </c>
      <c r="E434" s="33" t="s">
        <v>2845</v>
      </c>
      <c r="F434" s="38" t="s">
        <v>50</v>
      </c>
    </row>
    <row r="435" spans="1:6" ht="14.5" hidden="1" customHeight="1" x14ac:dyDescent="0.35">
      <c r="A435" s="33" t="s">
        <v>601</v>
      </c>
      <c r="B435" s="33" t="s">
        <v>331</v>
      </c>
      <c r="C435" s="33" t="s">
        <v>602</v>
      </c>
      <c r="D435" s="33" t="s">
        <v>604</v>
      </c>
      <c r="E435" s="33" t="s">
        <v>2845</v>
      </c>
      <c r="F435" s="38" t="s">
        <v>50</v>
      </c>
    </row>
    <row r="436" spans="1:6" ht="14.5" hidden="1" customHeight="1" x14ac:dyDescent="0.35">
      <c r="A436" s="33" t="s">
        <v>601</v>
      </c>
      <c r="B436" s="33" t="s">
        <v>83</v>
      </c>
      <c r="C436" s="33" t="s">
        <v>602</v>
      </c>
      <c r="D436" s="33" t="s">
        <v>605</v>
      </c>
      <c r="E436" s="33" t="s">
        <v>2845</v>
      </c>
      <c r="F436" s="38" t="s">
        <v>50</v>
      </c>
    </row>
    <row r="437" spans="1:6" ht="14.5" hidden="1" customHeight="1" x14ac:dyDescent="0.35">
      <c r="A437" s="33" t="s">
        <v>601</v>
      </c>
      <c r="B437" s="33" t="s">
        <v>19</v>
      </c>
      <c r="C437" s="33" t="s">
        <v>602</v>
      </c>
      <c r="D437" s="33" t="s">
        <v>602</v>
      </c>
      <c r="E437" s="33" t="s">
        <v>2876</v>
      </c>
      <c r="F437" s="38" t="s">
        <v>50</v>
      </c>
    </row>
    <row r="438" spans="1:6" ht="14.5" hidden="1" customHeight="1" x14ac:dyDescent="0.35">
      <c r="A438" s="33" t="s">
        <v>601</v>
      </c>
      <c r="B438" s="33" t="s">
        <v>86</v>
      </c>
      <c r="C438" s="33" t="s">
        <v>602</v>
      </c>
      <c r="D438" s="33" t="s">
        <v>606</v>
      </c>
      <c r="E438" s="33" t="s">
        <v>2859</v>
      </c>
      <c r="F438" s="38" t="s">
        <v>56</v>
      </c>
    </row>
    <row r="439" spans="1:6" ht="14.5" hidden="1" customHeight="1" x14ac:dyDescent="0.35">
      <c r="A439" s="33" t="s">
        <v>607</v>
      </c>
      <c r="B439" s="33" t="s">
        <v>80</v>
      </c>
      <c r="C439" s="33" t="s">
        <v>608</v>
      </c>
      <c r="D439" s="33" t="s">
        <v>608</v>
      </c>
      <c r="E439" s="33" t="s">
        <v>2845</v>
      </c>
      <c r="F439" s="38" t="s">
        <v>50</v>
      </c>
    </row>
    <row r="440" spans="1:6" ht="14.5" hidden="1" customHeight="1" x14ac:dyDescent="0.35">
      <c r="A440" s="33" t="s">
        <v>609</v>
      </c>
      <c r="B440" s="33" t="s">
        <v>83</v>
      </c>
      <c r="C440" s="33" t="s">
        <v>610</v>
      </c>
      <c r="D440" s="33" t="s">
        <v>611</v>
      </c>
      <c r="E440" s="33" t="s">
        <v>2873</v>
      </c>
      <c r="F440" s="38" t="s">
        <v>132</v>
      </c>
    </row>
    <row r="441" spans="1:6" ht="14.5" hidden="1" customHeight="1" x14ac:dyDescent="0.35">
      <c r="A441" s="33" t="s">
        <v>612</v>
      </c>
      <c r="B441" s="33" t="s">
        <v>80</v>
      </c>
      <c r="C441" s="33" t="s">
        <v>613</v>
      </c>
      <c r="D441" s="33" t="s">
        <v>614</v>
      </c>
      <c r="E441" s="33" t="s">
        <v>2841</v>
      </c>
      <c r="F441" s="38" t="s">
        <v>2569</v>
      </c>
    </row>
    <row r="442" spans="1:6" ht="14.5" hidden="1" customHeight="1" x14ac:dyDescent="0.35">
      <c r="A442" s="33" t="s">
        <v>612</v>
      </c>
      <c r="B442" s="33" t="s">
        <v>82</v>
      </c>
      <c r="C442" s="33" t="s">
        <v>613</v>
      </c>
      <c r="D442" s="33" t="s">
        <v>615</v>
      </c>
      <c r="E442" s="33" t="s">
        <v>2841</v>
      </c>
      <c r="F442" s="38" t="s">
        <v>2569</v>
      </c>
    </row>
    <row r="443" spans="1:6" ht="14.5" hidden="1" customHeight="1" x14ac:dyDescent="0.35">
      <c r="A443" s="33" t="s">
        <v>612</v>
      </c>
      <c r="B443" s="33" t="s">
        <v>19</v>
      </c>
      <c r="C443" s="33" t="s">
        <v>613</v>
      </c>
      <c r="D443" s="33" t="s">
        <v>616</v>
      </c>
      <c r="E443" s="33" t="s">
        <v>2844</v>
      </c>
      <c r="F443" s="38" t="s">
        <v>48</v>
      </c>
    </row>
    <row r="444" spans="1:6" ht="14.5" hidden="1" customHeight="1" x14ac:dyDescent="0.35">
      <c r="A444" s="33" t="s">
        <v>612</v>
      </c>
      <c r="B444" s="33" t="s">
        <v>84</v>
      </c>
      <c r="C444" s="33" t="s">
        <v>613</v>
      </c>
      <c r="D444" s="33" t="s">
        <v>617</v>
      </c>
      <c r="E444" s="33" t="s">
        <v>2839</v>
      </c>
      <c r="F444" s="38" t="s">
        <v>48</v>
      </c>
    </row>
    <row r="445" spans="1:6" ht="14.5" hidden="1" customHeight="1" x14ac:dyDescent="0.35">
      <c r="A445" s="33" t="s">
        <v>618</v>
      </c>
      <c r="B445" s="33" t="s">
        <v>620</v>
      </c>
      <c r="C445" s="33" t="s">
        <v>619</v>
      </c>
      <c r="D445" s="33" t="s">
        <v>621</v>
      </c>
      <c r="E445" s="33" t="s">
        <v>2843</v>
      </c>
      <c r="F445" s="38" t="s">
        <v>56</v>
      </c>
    </row>
    <row r="446" spans="1:6" ht="14.5" hidden="1" customHeight="1" x14ac:dyDescent="0.35">
      <c r="A446" s="33" t="s">
        <v>618</v>
      </c>
      <c r="B446" s="33" t="s">
        <v>82</v>
      </c>
      <c r="C446" s="33" t="s">
        <v>619</v>
      </c>
      <c r="D446" s="33" t="s">
        <v>623</v>
      </c>
      <c r="E446" s="33" t="s">
        <v>2841</v>
      </c>
      <c r="F446" s="38" t="s">
        <v>2569</v>
      </c>
    </row>
    <row r="447" spans="1:6" ht="14.5" hidden="1" customHeight="1" x14ac:dyDescent="0.35">
      <c r="A447" s="33" t="s">
        <v>618</v>
      </c>
      <c r="B447" s="33" t="s">
        <v>19</v>
      </c>
      <c r="C447" s="33" t="s">
        <v>619</v>
      </c>
      <c r="D447" s="33" t="s">
        <v>624</v>
      </c>
      <c r="E447" s="33" t="s">
        <v>2844</v>
      </c>
      <c r="F447" s="38" t="s">
        <v>48</v>
      </c>
    </row>
    <row r="448" spans="1:6" ht="14.5" hidden="1" customHeight="1" x14ac:dyDescent="0.35">
      <c r="A448" s="33" t="s">
        <v>618</v>
      </c>
      <c r="B448" s="33" t="s">
        <v>84</v>
      </c>
      <c r="C448" s="33" t="s">
        <v>619</v>
      </c>
      <c r="D448" s="33" t="s">
        <v>625</v>
      </c>
      <c r="E448" s="33" t="s">
        <v>2839</v>
      </c>
      <c r="F448" s="38" t="s">
        <v>48</v>
      </c>
    </row>
    <row r="449" spans="1:6" ht="14.5" hidden="1" customHeight="1" x14ac:dyDescent="0.35">
      <c r="A449" s="33" t="s">
        <v>618</v>
      </c>
      <c r="B449" s="33" t="s">
        <v>85</v>
      </c>
      <c r="C449" s="33" t="s">
        <v>619</v>
      </c>
      <c r="D449" s="33" t="s">
        <v>626</v>
      </c>
      <c r="E449" s="33" t="s">
        <v>2841</v>
      </c>
      <c r="F449" s="38" t="s">
        <v>2569</v>
      </c>
    </row>
    <row r="450" spans="1:6" ht="14.5" hidden="1" customHeight="1" x14ac:dyDescent="0.35">
      <c r="A450" s="33" t="s">
        <v>618</v>
      </c>
      <c r="B450" s="33" t="s">
        <v>86</v>
      </c>
      <c r="C450" s="33" t="s">
        <v>619</v>
      </c>
      <c r="D450" s="33" t="s">
        <v>627</v>
      </c>
      <c r="E450" s="33" t="s">
        <v>2841</v>
      </c>
      <c r="F450" s="38" t="s">
        <v>2569</v>
      </c>
    </row>
    <row r="451" spans="1:6" ht="14.5" hidden="1" customHeight="1" x14ac:dyDescent="0.35">
      <c r="A451" s="33" t="s">
        <v>618</v>
      </c>
      <c r="B451" s="33" t="s">
        <v>216</v>
      </c>
      <c r="C451" s="33" t="s">
        <v>619</v>
      </c>
      <c r="D451" s="33" t="s">
        <v>628</v>
      </c>
      <c r="E451" s="33" t="s">
        <v>2841</v>
      </c>
      <c r="F451" s="38" t="s">
        <v>2569</v>
      </c>
    </row>
    <row r="452" spans="1:6" ht="14.5" hidden="1" customHeight="1" x14ac:dyDescent="0.35">
      <c r="A452" s="33" t="s">
        <v>618</v>
      </c>
      <c r="B452" s="33" t="s">
        <v>89</v>
      </c>
      <c r="C452" s="33" t="s">
        <v>619</v>
      </c>
      <c r="D452" s="33" t="s">
        <v>629</v>
      </c>
      <c r="E452" s="33" t="s">
        <v>2841</v>
      </c>
      <c r="F452" s="38" t="s">
        <v>2569</v>
      </c>
    </row>
    <row r="453" spans="1:6" ht="14.5" hidden="1" customHeight="1" x14ac:dyDescent="0.35">
      <c r="A453" s="33" t="s">
        <v>618</v>
      </c>
      <c r="B453" s="33" t="s">
        <v>87</v>
      </c>
      <c r="C453" s="33" t="s">
        <v>619</v>
      </c>
      <c r="D453" s="33" t="s">
        <v>630</v>
      </c>
      <c r="E453" s="33" t="s">
        <v>2841</v>
      </c>
      <c r="F453" s="38" t="s">
        <v>2569</v>
      </c>
    </row>
    <row r="454" spans="1:6" ht="14.5" hidden="1" customHeight="1" x14ac:dyDescent="0.35">
      <c r="A454" s="33" t="s">
        <v>618</v>
      </c>
      <c r="B454" s="33" t="s">
        <v>90</v>
      </c>
      <c r="C454" s="33" t="s">
        <v>619</v>
      </c>
      <c r="D454" s="33" t="s">
        <v>631</v>
      </c>
      <c r="E454" s="33" t="s">
        <v>2844</v>
      </c>
      <c r="F454" s="38" t="s">
        <v>48</v>
      </c>
    </row>
    <row r="455" spans="1:6" ht="14.5" hidden="1" customHeight="1" x14ac:dyDescent="0.35">
      <c r="A455" s="33" t="s">
        <v>618</v>
      </c>
      <c r="B455" s="33" t="s">
        <v>91</v>
      </c>
      <c r="C455" s="33" t="s">
        <v>619</v>
      </c>
      <c r="D455" s="33" t="s">
        <v>632</v>
      </c>
      <c r="E455" s="33" t="s">
        <v>2839</v>
      </c>
      <c r="F455" s="38" t="s">
        <v>48</v>
      </c>
    </row>
    <row r="456" spans="1:6" ht="14.5" hidden="1" customHeight="1" x14ac:dyDescent="0.35">
      <c r="A456" s="33" t="s">
        <v>618</v>
      </c>
      <c r="B456" s="33" t="s">
        <v>92</v>
      </c>
      <c r="C456" s="33" t="s">
        <v>619</v>
      </c>
      <c r="D456" s="33" t="s">
        <v>633</v>
      </c>
      <c r="E456" s="33" t="s">
        <v>2841</v>
      </c>
      <c r="F456" s="38" t="s">
        <v>2569</v>
      </c>
    </row>
    <row r="457" spans="1:6" ht="14.5" hidden="1" customHeight="1" x14ac:dyDescent="0.35">
      <c r="A457" s="33" t="s">
        <v>618</v>
      </c>
      <c r="B457" s="33" t="s">
        <v>634</v>
      </c>
      <c r="C457" s="33" t="s">
        <v>619</v>
      </c>
      <c r="D457" s="33" t="s">
        <v>635</v>
      </c>
      <c r="E457" s="33" t="s">
        <v>2841</v>
      </c>
      <c r="F457" s="38" t="s">
        <v>2569</v>
      </c>
    </row>
    <row r="458" spans="1:6" ht="14.5" hidden="1" customHeight="1" x14ac:dyDescent="0.35">
      <c r="A458" s="33" t="s">
        <v>636</v>
      </c>
      <c r="B458" s="33" t="s">
        <v>620</v>
      </c>
      <c r="C458" s="33" t="s">
        <v>637</v>
      </c>
      <c r="D458" s="33" t="s">
        <v>621</v>
      </c>
      <c r="E458" s="33" t="s">
        <v>2843</v>
      </c>
      <c r="F458" s="38" t="s">
        <v>56</v>
      </c>
    </row>
    <row r="459" spans="1:6" ht="14.5" hidden="1" customHeight="1" x14ac:dyDescent="0.35">
      <c r="A459" s="33" t="s">
        <v>636</v>
      </c>
      <c r="B459" s="33" t="s">
        <v>82</v>
      </c>
      <c r="C459" s="33" t="s">
        <v>637</v>
      </c>
      <c r="D459" s="33" t="s">
        <v>623</v>
      </c>
      <c r="E459" s="33" t="s">
        <v>2841</v>
      </c>
      <c r="F459" s="38" t="s">
        <v>2569</v>
      </c>
    </row>
    <row r="460" spans="1:6" ht="14.5" hidden="1" customHeight="1" x14ac:dyDescent="0.35">
      <c r="A460" s="33" t="s">
        <v>636</v>
      </c>
      <c r="B460" s="33" t="s">
        <v>19</v>
      </c>
      <c r="C460" s="33" t="s">
        <v>637</v>
      </c>
      <c r="D460" s="33" t="s">
        <v>624</v>
      </c>
      <c r="E460" s="33" t="s">
        <v>2844</v>
      </c>
      <c r="F460" s="38" t="s">
        <v>48</v>
      </c>
    </row>
    <row r="461" spans="1:6" ht="14.5" hidden="1" customHeight="1" x14ac:dyDescent="0.35">
      <c r="A461" s="33" t="s">
        <v>636</v>
      </c>
      <c r="B461" s="33" t="s">
        <v>84</v>
      </c>
      <c r="C461" s="33" t="s">
        <v>637</v>
      </c>
      <c r="D461" s="33" t="s">
        <v>625</v>
      </c>
      <c r="E461" s="33" t="s">
        <v>2839</v>
      </c>
      <c r="F461" s="38" t="s">
        <v>48</v>
      </c>
    </row>
    <row r="462" spans="1:6" ht="14.5" hidden="1" customHeight="1" x14ac:dyDescent="0.35">
      <c r="A462" s="33" t="s">
        <v>636</v>
      </c>
      <c r="B462" s="33" t="s">
        <v>85</v>
      </c>
      <c r="C462" s="33" t="s">
        <v>637</v>
      </c>
      <c r="D462" s="33" t="s">
        <v>626</v>
      </c>
      <c r="E462" s="33" t="s">
        <v>2841</v>
      </c>
      <c r="F462" s="38" t="s">
        <v>2569</v>
      </c>
    </row>
    <row r="463" spans="1:6" ht="14.5" hidden="1" customHeight="1" x14ac:dyDescent="0.35">
      <c r="A463" s="33" t="s">
        <v>636</v>
      </c>
      <c r="B463" s="33" t="s">
        <v>86</v>
      </c>
      <c r="C463" s="33" t="s">
        <v>637</v>
      </c>
      <c r="D463" s="33" t="s">
        <v>627</v>
      </c>
      <c r="E463" s="33" t="s">
        <v>2841</v>
      </c>
      <c r="F463" s="38" t="s">
        <v>2569</v>
      </c>
    </row>
    <row r="464" spans="1:6" ht="14.5" hidden="1" customHeight="1" x14ac:dyDescent="0.35">
      <c r="A464" s="33" t="s">
        <v>636</v>
      </c>
      <c r="B464" s="33" t="s">
        <v>216</v>
      </c>
      <c r="C464" s="33" t="s">
        <v>637</v>
      </c>
      <c r="D464" s="33" t="s">
        <v>628</v>
      </c>
      <c r="E464" s="33" t="s">
        <v>2841</v>
      </c>
      <c r="F464" s="38" t="s">
        <v>2569</v>
      </c>
    </row>
    <row r="465" spans="1:6" ht="14.5" hidden="1" customHeight="1" x14ac:dyDescent="0.35">
      <c r="A465" s="33" t="s">
        <v>636</v>
      </c>
      <c r="B465" s="33" t="s">
        <v>89</v>
      </c>
      <c r="C465" s="33" t="s">
        <v>637</v>
      </c>
      <c r="D465" s="33" t="s">
        <v>629</v>
      </c>
      <c r="E465" s="33" t="s">
        <v>2841</v>
      </c>
      <c r="F465" s="38" t="s">
        <v>2569</v>
      </c>
    </row>
    <row r="466" spans="1:6" ht="14.5" hidden="1" customHeight="1" x14ac:dyDescent="0.35">
      <c r="A466" s="33" t="s">
        <v>636</v>
      </c>
      <c r="B466" s="33" t="s">
        <v>87</v>
      </c>
      <c r="C466" s="33" t="s">
        <v>637</v>
      </c>
      <c r="D466" s="33" t="s">
        <v>630</v>
      </c>
      <c r="E466" s="33" t="s">
        <v>2841</v>
      </c>
      <c r="F466" s="38" t="s">
        <v>2569</v>
      </c>
    </row>
    <row r="467" spans="1:6" ht="14.5" hidden="1" customHeight="1" x14ac:dyDescent="0.35">
      <c r="A467" s="33" t="s">
        <v>636</v>
      </c>
      <c r="B467" s="33" t="s">
        <v>90</v>
      </c>
      <c r="C467" s="33" t="s">
        <v>637</v>
      </c>
      <c r="D467" s="33" t="s">
        <v>631</v>
      </c>
      <c r="E467" s="33" t="s">
        <v>2844</v>
      </c>
      <c r="F467" s="38" t="s">
        <v>48</v>
      </c>
    </row>
    <row r="468" spans="1:6" ht="14.5" hidden="1" customHeight="1" x14ac:dyDescent="0.35">
      <c r="A468" s="33" t="s">
        <v>636</v>
      </c>
      <c r="B468" s="33" t="s">
        <v>91</v>
      </c>
      <c r="C468" s="33" t="s">
        <v>637</v>
      </c>
      <c r="D468" s="33" t="s">
        <v>632</v>
      </c>
      <c r="E468" s="33" t="s">
        <v>2839</v>
      </c>
      <c r="F468" s="38" t="s">
        <v>48</v>
      </c>
    </row>
    <row r="469" spans="1:6" ht="14.5" hidden="1" customHeight="1" x14ac:dyDescent="0.35">
      <c r="A469" s="33" t="s">
        <v>636</v>
      </c>
      <c r="B469" s="33" t="s">
        <v>92</v>
      </c>
      <c r="C469" s="33" t="s">
        <v>637</v>
      </c>
      <c r="D469" s="33" t="s">
        <v>633</v>
      </c>
      <c r="E469" s="33" t="s">
        <v>2841</v>
      </c>
      <c r="F469" s="38" t="s">
        <v>2569</v>
      </c>
    </row>
    <row r="470" spans="1:6" ht="14.5" hidden="1" customHeight="1" x14ac:dyDescent="0.35">
      <c r="A470" s="33" t="s">
        <v>636</v>
      </c>
      <c r="B470" s="33" t="s">
        <v>634</v>
      </c>
      <c r="C470" s="33" t="s">
        <v>637</v>
      </c>
      <c r="D470" s="33" t="s">
        <v>635</v>
      </c>
      <c r="E470" s="33" t="s">
        <v>2841</v>
      </c>
      <c r="F470" s="38" t="s">
        <v>2569</v>
      </c>
    </row>
    <row r="471" spans="1:6" ht="14.5" hidden="1" customHeight="1" x14ac:dyDescent="0.35">
      <c r="A471" s="33" t="s">
        <v>638</v>
      </c>
      <c r="B471" s="33" t="s">
        <v>80</v>
      </c>
      <c r="C471" s="33" t="s">
        <v>639</v>
      </c>
      <c r="D471" s="33" t="s">
        <v>640</v>
      </c>
      <c r="E471" s="33" t="s">
        <v>2871</v>
      </c>
      <c r="F471" s="38" t="s">
        <v>54</v>
      </c>
    </row>
    <row r="472" spans="1:6" ht="14.5" hidden="1" customHeight="1" x14ac:dyDescent="0.35">
      <c r="A472" s="33" t="s">
        <v>641</v>
      </c>
      <c r="B472" s="33" t="s">
        <v>80</v>
      </c>
      <c r="C472" s="33" t="s">
        <v>642</v>
      </c>
      <c r="D472" s="33" t="s">
        <v>643</v>
      </c>
      <c r="E472" s="33" t="s">
        <v>2871</v>
      </c>
      <c r="F472" s="38" t="s">
        <v>54</v>
      </c>
    </row>
    <row r="473" spans="1:6" ht="14.5" hidden="1" customHeight="1" x14ac:dyDescent="0.35">
      <c r="A473" s="33" t="s">
        <v>644</v>
      </c>
      <c r="B473" s="33" t="s">
        <v>81</v>
      </c>
      <c r="C473" s="33" t="s">
        <v>645</v>
      </c>
      <c r="D473" s="33" t="s">
        <v>646</v>
      </c>
      <c r="E473" s="33" t="s">
        <v>2843</v>
      </c>
      <c r="F473" s="38" t="s">
        <v>56</v>
      </c>
    </row>
    <row r="474" spans="1:6" ht="14.5" hidden="1" customHeight="1" x14ac:dyDescent="0.35">
      <c r="A474" s="33" t="s">
        <v>644</v>
      </c>
      <c r="B474" s="33" t="s">
        <v>80</v>
      </c>
      <c r="C474" s="33" t="s">
        <v>645</v>
      </c>
      <c r="D474" s="33" t="s">
        <v>647</v>
      </c>
      <c r="E474" s="33" t="s">
        <v>2875</v>
      </c>
      <c r="F474" s="38" t="s">
        <v>2912</v>
      </c>
    </row>
    <row r="475" spans="1:6" ht="14.5" hidden="1" customHeight="1" x14ac:dyDescent="0.35">
      <c r="A475" s="33" t="s">
        <v>644</v>
      </c>
      <c r="B475" s="33" t="s">
        <v>83</v>
      </c>
      <c r="C475" s="33" t="s">
        <v>645</v>
      </c>
      <c r="D475" s="33" t="s">
        <v>648</v>
      </c>
      <c r="E475" s="33" t="s">
        <v>2843</v>
      </c>
      <c r="F475" s="38" t="s">
        <v>56</v>
      </c>
    </row>
    <row r="476" spans="1:6" ht="14.5" hidden="1" customHeight="1" x14ac:dyDescent="0.35">
      <c r="A476" s="33" t="s">
        <v>649</v>
      </c>
      <c r="B476" s="33" t="s">
        <v>82</v>
      </c>
      <c r="C476" s="33" t="s">
        <v>650</v>
      </c>
      <c r="D476" s="33" t="s">
        <v>651</v>
      </c>
      <c r="E476" s="33" t="s">
        <v>2859</v>
      </c>
      <c r="F476" s="38" t="s">
        <v>56</v>
      </c>
    </row>
    <row r="477" spans="1:6" ht="14.5" hidden="1" customHeight="1" x14ac:dyDescent="0.35">
      <c r="A477" s="33" t="s">
        <v>649</v>
      </c>
      <c r="B477" s="33" t="s">
        <v>19</v>
      </c>
      <c r="C477" s="33" t="s">
        <v>650</v>
      </c>
      <c r="D477" s="33" t="s">
        <v>652</v>
      </c>
      <c r="E477" s="33" t="s">
        <v>2859</v>
      </c>
      <c r="F477" s="38" t="s">
        <v>56</v>
      </c>
    </row>
    <row r="478" spans="1:6" ht="14.5" hidden="1" customHeight="1" x14ac:dyDescent="0.35">
      <c r="A478" s="33" t="s">
        <v>657</v>
      </c>
      <c r="B478" s="33" t="s">
        <v>82</v>
      </c>
      <c r="C478" s="33" t="s">
        <v>658</v>
      </c>
      <c r="D478" s="33" t="s">
        <v>659</v>
      </c>
      <c r="E478" s="33" t="s">
        <v>2876</v>
      </c>
      <c r="F478" s="38" t="s">
        <v>50</v>
      </c>
    </row>
    <row r="479" spans="1:6" ht="14.5" hidden="1" customHeight="1" x14ac:dyDescent="0.35">
      <c r="A479" s="33" t="s">
        <v>657</v>
      </c>
      <c r="B479" s="33" t="s">
        <v>83</v>
      </c>
      <c r="C479" s="33" t="s">
        <v>658</v>
      </c>
      <c r="D479" s="33" t="s">
        <v>660</v>
      </c>
      <c r="E479" s="33" t="s">
        <v>2845</v>
      </c>
      <c r="F479" s="38" t="s">
        <v>50</v>
      </c>
    </row>
    <row r="480" spans="1:6" ht="14.5" hidden="1" customHeight="1" x14ac:dyDescent="0.35">
      <c r="A480" s="33" t="s">
        <v>657</v>
      </c>
      <c r="B480" s="33" t="s">
        <v>19</v>
      </c>
      <c r="C480" s="33" t="s">
        <v>658</v>
      </c>
      <c r="D480" s="33" t="s">
        <v>661</v>
      </c>
      <c r="E480" s="33" t="s">
        <v>2845</v>
      </c>
      <c r="F480" s="38" t="s">
        <v>50</v>
      </c>
    </row>
    <row r="481" spans="1:6" ht="14.5" hidden="1" customHeight="1" x14ac:dyDescent="0.35">
      <c r="A481" s="33" t="s">
        <v>657</v>
      </c>
      <c r="B481" s="33" t="s">
        <v>84</v>
      </c>
      <c r="C481" s="33" t="s">
        <v>658</v>
      </c>
      <c r="D481" s="33" t="s">
        <v>662</v>
      </c>
      <c r="E481" s="33" t="s">
        <v>2845</v>
      </c>
      <c r="F481" s="38" t="s">
        <v>50</v>
      </c>
    </row>
    <row r="482" spans="1:6" ht="14.5" hidden="1" customHeight="1" x14ac:dyDescent="0.35">
      <c r="A482" s="33" t="s">
        <v>663</v>
      </c>
      <c r="B482" s="33" t="s">
        <v>80</v>
      </c>
      <c r="C482" s="33" t="s">
        <v>664</v>
      </c>
      <c r="D482" s="33" t="s">
        <v>665</v>
      </c>
      <c r="E482" s="33" t="s">
        <v>2883</v>
      </c>
      <c r="F482" s="38" t="s">
        <v>742</v>
      </c>
    </row>
    <row r="483" spans="1:6" ht="14.5" hidden="1" customHeight="1" x14ac:dyDescent="0.35">
      <c r="A483" s="33" t="s">
        <v>663</v>
      </c>
      <c r="B483" s="33" t="s">
        <v>83</v>
      </c>
      <c r="C483" s="33" t="s">
        <v>664</v>
      </c>
      <c r="D483" s="33" t="s">
        <v>666</v>
      </c>
      <c r="E483" s="33" t="s">
        <v>2870</v>
      </c>
      <c r="F483" s="38" t="s">
        <v>56</v>
      </c>
    </row>
    <row r="484" spans="1:6" ht="14.5" customHeight="1" x14ac:dyDescent="0.35">
      <c r="A484" s="33" t="s">
        <v>663</v>
      </c>
      <c r="B484" s="33" t="s">
        <v>84</v>
      </c>
      <c r="C484" s="33" t="s">
        <v>664</v>
      </c>
      <c r="D484" s="33" t="s">
        <v>667</v>
      </c>
      <c r="E484" s="33" t="s">
        <v>2879</v>
      </c>
      <c r="F484" s="38" t="s">
        <v>1687</v>
      </c>
    </row>
    <row r="485" spans="1:6" ht="14.5" hidden="1" customHeight="1" x14ac:dyDescent="0.35">
      <c r="A485" s="33" t="s">
        <v>663</v>
      </c>
      <c r="B485" s="33" t="s">
        <v>85</v>
      </c>
      <c r="C485" s="33" t="s">
        <v>664</v>
      </c>
      <c r="D485" s="33" t="s">
        <v>668</v>
      </c>
      <c r="E485" s="33" t="s">
        <v>2861</v>
      </c>
      <c r="F485" s="38" t="s">
        <v>2740</v>
      </c>
    </row>
    <row r="486" spans="1:6" ht="14.5" hidden="1" customHeight="1" x14ac:dyDescent="0.35">
      <c r="A486" s="33" t="s">
        <v>663</v>
      </c>
      <c r="B486" s="33" t="s">
        <v>89</v>
      </c>
      <c r="C486" s="33" t="s">
        <v>664</v>
      </c>
      <c r="D486" s="33" t="s">
        <v>669</v>
      </c>
      <c r="E486" s="33" t="s">
        <v>2838</v>
      </c>
      <c r="F486" s="38" t="s">
        <v>48</v>
      </c>
    </row>
    <row r="487" spans="1:6" ht="14.5" hidden="1" customHeight="1" x14ac:dyDescent="0.35">
      <c r="A487" s="33" t="s">
        <v>670</v>
      </c>
      <c r="B487" s="33" t="s">
        <v>81</v>
      </c>
      <c r="C487" s="33" t="s">
        <v>671</v>
      </c>
      <c r="D487" s="33" t="s">
        <v>672</v>
      </c>
      <c r="E487" s="33" t="s">
        <v>2843</v>
      </c>
      <c r="F487" s="38" t="s">
        <v>56</v>
      </c>
    </row>
    <row r="488" spans="1:6" ht="14.5" customHeight="1" x14ac:dyDescent="0.35">
      <c r="A488" s="33" t="s">
        <v>670</v>
      </c>
      <c r="B488" s="33" t="s">
        <v>80</v>
      </c>
      <c r="C488" s="33" t="s">
        <v>671</v>
      </c>
      <c r="D488" s="33" t="s">
        <v>673</v>
      </c>
      <c r="E488" s="33" t="s">
        <v>2879</v>
      </c>
      <c r="F488" s="38" t="s">
        <v>1687</v>
      </c>
    </row>
    <row r="489" spans="1:6" ht="14.5" hidden="1" customHeight="1" x14ac:dyDescent="0.35">
      <c r="A489" s="33" t="s">
        <v>670</v>
      </c>
      <c r="B489" s="33" t="s">
        <v>83</v>
      </c>
      <c r="C489" s="33" t="s">
        <v>671</v>
      </c>
      <c r="D489" s="33" t="s">
        <v>674</v>
      </c>
      <c r="E489" s="33" t="s">
        <v>2870</v>
      </c>
      <c r="F489" s="38" t="s">
        <v>56</v>
      </c>
    </row>
    <row r="490" spans="1:6" ht="14.5" hidden="1" customHeight="1" x14ac:dyDescent="0.35">
      <c r="A490" s="33" t="s">
        <v>670</v>
      </c>
      <c r="B490" s="33" t="s">
        <v>84</v>
      </c>
      <c r="C490" s="33" t="s">
        <v>671</v>
      </c>
      <c r="D490" s="33" t="s">
        <v>676</v>
      </c>
      <c r="E490" s="33" t="s">
        <v>2837</v>
      </c>
      <c r="F490" s="38" t="s">
        <v>742</v>
      </c>
    </row>
    <row r="491" spans="1:6" ht="14.5" customHeight="1" x14ac:dyDescent="0.35">
      <c r="A491" s="33" t="s">
        <v>670</v>
      </c>
      <c r="B491" s="33" t="s">
        <v>85</v>
      </c>
      <c r="C491" s="33" t="s">
        <v>671</v>
      </c>
      <c r="D491" s="33" t="s">
        <v>677</v>
      </c>
      <c r="E491" s="33" t="s">
        <v>2879</v>
      </c>
      <c r="F491" s="38" t="s">
        <v>1687</v>
      </c>
    </row>
    <row r="492" spans="1:6" ht="14.5" hidden="1" customHeight="1" x14ac:dyDescent="0.35">
      <c r="A492" s="33" t="s">
        <v>670</v>
      </c>
      <c r="B492" s="33" t="s">
        <v>86</v>
      </c>
      <c r="C492" s="33" t="s">
        <v>671</v>
      </c>
      <c r="D492" s="33" t="s">
        <v>678</v>
      </c>
      <c r="E492" s="33" t="s">
        <v>2859</v>
      </c>
      <c r="F492" s="38" t="s">
        <v>56</v>
      </c>
    </row>
    <row r="493" spans="1:6" ht="14.5" hidden="1" customHeight="1" x14ac:dyDescent="0.35">
      <c r="A493" s="33" t="s">
        <v>670</v>
      </c>
      <c r="B493" s="33" t="s">
        <v>87</v>
      </c>
      <c r="C493" s="33" t="s">
        <v>671</v>
      </c>
      <c r="D493" s="33" t="s">
        <v>679</v>
      </c>
      <c r="E493" s="33" t="s">
        <v>2838</v>
      </c>
      <c r="F493" s="38" t="s">
        <v>48</v>
      </c>
    </row>
    <row r="494" spans="1:6" ht="14.5" hidden="1" customHeight="1" x14ac:dyDescent="0.35">
      <c r="A494" s="33" t="s">
        <v>670</v>
      </c>
      <c r="B494" s="33" t="s">
        <v>90</v>
      </c>
      <c r="C494" s="33" t="s">
        <v>671</v>
      </c>
      <c r="D494" s="33" t="s">
        <v>681</v>
      </c>
      <c r="E494" s="33" t="s">
        <v>2837</v>
      </c>
      <c r="F494" s="38" t="s">
        <v>742</v>
      </c>
    </row>
    <row r="495" spans="1:6" ht="14.5" hidden="1" customHeight="1" x14ac:dyDescent="0.35">
      <c r="A495" s="33" t="s">
        <v>670</v>
      </c>
      <c r="B495" s="33" t="s">
        <v>91</v>
      </c>
      <c r="C495" s="33" t="s">
        <v>671</v>
      </c>
      <c r="D495" s="33" t="s">
        <v>682</v>
      </c>
      <c r="E495" s="33" t="s">
        <v>2843</v>
      </c>
      <c r="F495" s="38" t="s">
        <v>56</v>
      </c>
    </row>
    <row r="496" spans="1:6" ht="14.5" customHeight="1" x14ac:dyDescent="0.35">
      <c r="A496" s="33" t="s">
        <v>683</v>
      </c>
      <c r="B496" s="33" t="s">
        <v>80</v>
      </c>
      <c r="C496" s="33" t="s">
        <v>684</v>
      </c>
      <c r="D496" s="33" t="s">
        <v>685</v>
      </c>
      <c r="E496" s="33" t="s">
        <v>2879</v>
      </c>
      <c r="F496" s="38" t="s">
        <v>1687</v>
      </c>
    </row>
    <row r="497" spans="1:6" ht="14.5" hidden="1" customHeight="1" x14ac:dyDescent="0.35">
      <c r="A497" s="33" t="s">
        <v>683</v>
      </c>
      <c r="B497" s="33" t="s">
        <v>83</v>
      </c>
      <c r="C497" s="33" t="s">
        <v>684</v>
      </c>
      <c r="D497" s="33" t="s">
        <v>686</v>
      </c>
      <c r="E497" s="33" t="s">
        <v>2843</v>
      </c>
      <c r="F497" s="38" t="s">
        <v>56</v>
      </c>
    </row>
    <row r="498" spans="1:6" ht="14.5" customHeight="1" x14ac:dyDescent="0.35">
      <c r="A498" s="33" t="s">
        <v>683</v>
      </c>
      <c r="B498" s="33" t="s">
        <v>19</v>
      </c>
      <c r="C498" s="33" t="s">
        <v>684</v>
      </c>
      <c r="D498" s="33" t="s">
        <v>687</v>
      </c>
      <c r="E498" s="33" t="s">
        <v>2879</v>
      </c>
      <c r="F498" s="38" t="s">
        <v>1687</v>
      </c>
    </row>
    <row r="499" spans="1:6" ht="14.5" customHeight="1" x14ac:dyDescent="0.35">
      <c r="A499" s="33" t="s">
        <v>683</v>
      </c>
      <c r="B499" s="33" t="s">
        <v>84</v>
      </c>
      <c r="C499" s="33" t="s">
        <v>684</v>
      </c>
      <c r="D499" s="33" t="s">
        <v>688</v>
      </c>
      <c r="E499" s="33" t="s">
        <v>2879</v>
      </c>
      <c r="F499" s="38" t="s">
        <v>1687</v>
      </c>
    </row>
    <row r="500" spans="1:6" ht="14.5" hidden="1" customHeight="1" x14ac:dyDescent="0.35">
      <c r="A500" s="33" t="s">
        <v>683</v>
      </c>
      <c r="B500" s="33" t="s">
        <v>86</v>
      </c>
      <c r="C500" s="33" t="s">
        <v>684</v>
      </c>
      <c r="D500" s="33" t="s">
        <v>689</v>
      </c>
      <c r="E500" s="33" t="s">
        <v>2844</v>
      </c>
      <c r="F500" s="38" t="s">
        <v>48</v>
      </c>
    </row>
    <row r="501" spans="1:6" ht="14.5" hidden="1" customHeight="1" x14ac:dyDescent="0.35">
      <c r="A501" s="33" t="s">
        <v>683</v>
      </c>
      <c r="B501" s="33" t="s">
        <v>89</v>
      </c>
      <c r="C501" s="33" t="s">
        <v>684</v>
      </c>
      <c r="D501" s="33" t="s">
        <v>690</v>
      </c>
      <c r="E501" s="33" t="s">
        <v>2839</v>
      </c>
      <c r="F501" s="38" t="s">
        <v>48</v>
      </c>
    </row>
    <row r="502" spans="1:6" ht="14.5" customHeight="1" x14ac:dyDescent="0.35">
      <c r="A502" s="33" t="s">
        <v>683</v>
      </c>
      <c r="B502" s="33" t="s">
        <v>87</v>
      </c>
      <c r="C502" s="33" t="s">
        <v>684</v>
      </c>
      <c r="D502" s="33" t="s">
        <v>691</v>
      </c>
      <c r="E502" s="33" t="s">
        <v>2879</v>
      </c>
      <c r="F502" s="38" t="s">
        <v>1687</v>
      </c>
    </row>
    <row r="503" spans="1:6" ht="14.5" customHeight="1" x14ac:dyDescent="0.35">
      <c r="A503" s="33" t="s">
        <v>683</v>
      </c>
      <c r="B503" s="33" t="s">
        <v>692</v>
      </c>
      <c r="C503" s="33" t="s">
        <v>684</v>
      </c>
      <c r="D503" s="33" t="s">
        <v>693</v>
      </c>
      <c r="E503" s="33" t="s">
        <v>2879</v>
      </c>
      <c r="F503" s="38" t="s">
        <v>1687</v>
      </c>
    </row>
    <row r="504" spans="1:6" ht="14.5" customHeight="1" x14ac:dyDescent="0.35">
      <c r="A504" s="33" t="s">
        <v>683</v>
      </c>
      <c r="B504" s="33" t="s">
        <v>88</v>
      </c>
      <c r="C504" s="33" t="s">
        <v>684</v>
      </c>
      <c r="D504" s="33" t="s">
        <v>694</v>
      </c>
      <c r="E504" s="33" t="s">
        <v>2879</v>
      </c>
      <c r="F504" s="38" t="s">
        <v>1687</v>
      </c>
    </row>
    <row r="505" spans="1:6" ht="14.5" hidden="1" customHeight="1" x14ac:dyDescent="0.35">
      <c r="A505" s="33" t="s">
        <v>683</v>
      </c>
      <c r="B505" s="33" t="s">
        <v>91</v>
      </c>
      <c r="C505" s="33" t="s">
        <v>684</v>
      </c>
      <c r="D505" s="33" t="s">
        <v>695</v>
      </c>
      <c r="E505" s="33" t="s">
        <v>2844</v>
      </c>
      <c r="F505" s="38" t="s">
        <v>48</v>
      </c>
    </row>
    <row r="506" spans="1:6" ht="14.5" hidden="1" customHeight="1" x14ac:dyDescent="0.35">
      <c r="A506" s="33" t="s">
        <v>683</v>
      </c>
      <c r="B506" s="33" t="s">
        <v>92</v>
      </c>
      <c r="C506" s="33" t="s">
        <v>684</v>
      </c>
      <c r="D506" s="33" t="s">
        <v>696</v>
      </c>
      <c r="E506" s="33" t="s">
        <v>2839</v>
      </c>
      <c r="F506" s="38" t="s">
        <v>48</v>
      </c>
    </row>
    <row r="507" spans="1:6" ht="14.5" customHeight="1" x14ac:dyDescent="0.35">
      <c r="A507" s="33" t="s">
        <v>683</v>
      </c>
      <c r="B507" s="33" t="s">
        <v>93</v>
      </c>
      <c r="C507" s="33" t="s">
        <v>684</v>
      </c>
      <c r="D507" s="33" t="s">
        <v>697</v>
      </c>
      <c r="E507" s="33" t="s">
        <v>2879</v>
      </c>
      <c r="F507" s="38" t="s">
        <v>1687</v>
      </c>
    </row>
    <row r="508" spans="1:6" ht="14.5" hidden="1" customHeight="1" x14ac:dyDescent="0.35">
      <c r="A508" s="33" t="s">
        <v>683</v>
      </c>
      <c r="B508" s="33" t="s">
        <v>94</v>
      </c>
      <c r="C508" s="33" t="s">
        <v>684</v>
      </c>
      <c r="D508" s="33" t="s">
        <v>698</v>
      </c>
      <c r="E508" s="33" t="s">
        <v>2843</v>
      </c>
      <c r="F508" s="38" t="s">
        <v>56</v>
      </c>
    </row>
    <row r="509" spans="1:6" ht="14.5" hidden="1" customHeight="1" x14ac:dyDescent="0.35">
      <c r="A509" s="33" t="s">
        <v>699</v>
      </c>
      <c r="B509" s="33" t="s">
        <v>82</v>
      </c>
      <c r="C509" s="33" t="s">
        <v>700</v>
      </c>
      <c r="D509" s="33" t="s">
        <v>651</v>
      </c>
      <c r="E509" s="33" t="s">
        <v>2859</v>
      </c>
      <c r="F509" s="38" t="s">
        <v>56</v>
      </c>
    </row>
    <row r="510" spans="1:6" ht="14.5" hidden="1" customHeight="1" x14ac:dyDescent="0.35">
      <c r="A510" s="33" t="s">
        <v>699</v>
      </c>
      <c r="B510" s="33" t="s">
        <v>19</v>
      </c>
      <c r="C510" s="33" t="s">
        <v>700</v>
      </c>
      <c r="D510" s="33" t="s">
        <v>652</v>
      </c>
      <c r="E510" s="33" t="s">
        <v>2859</v>
      </c>
      <c r="F510" s="38" t="s">
        <v>56</v>
      </c>
    </row>
    <row r="511" spans="1:6" ht="14.5" hidden="1" customHeight="1" x14ac:dyDescent="0.35">
      <c r="A511" s="33" t="s">
        <v>701</v>
      </c>
      <c r="B511" s="33" t="s">
        <v>80</v>
      </c>
      <c r="C511" s="33" t="s">
        <v>702</v>
      </c>
      <c r="D511" s="33" t="s">
        <v>703</v>
      </c>
      <c r="E511" s="33" t="s">
        <v>2873</v>
      </c>
      <c r="F511" s="38" t="s">
        <v>132</v>
      </c>
    </row>
    <row r="512" spans="1:6" ht="14.5" hidden="1" customHeight="1" x14ac:dyDescent="0.35">
      <c r="A512" s="33" t="s">
        <v>704</v>
      </c>
      <c r="B512" s="33" t="s">
        <v>80</v>
      </c>
      <c r="C512" s="33" t="s">
        <v>705</v>
      </c>
      <c r="D512" s="33" t="s">
        <v>706</v>
      </c>
      <c r="E512" s="33" t="s">
        <v>2837</v>
      </c>
      <c r="F512" s="38" t="s">
        <v>742</v>
      </c>
    </row>
    <row r="513" spans="1:6" ht="14.5" hidden="1" customHeight="1" x14ac:dyDescent="0.35">
      <c r="A513" s="33" t="s">
        <v>707</v>
      </c>
      <c r="B513" s="33" t="s">
        <v>80</v>
      </c>
      <c r="C513" s="33" t="s">
        <v>708</v>
      </c>
      <c r="D513" s="33" t="s">
        <v>709</v>
      </c>
      <c r="E513" s="33" t="s">
        <v>2873</v>
      </c>
      <c r="F513" s="38" t="s">
        <v>132</v>
      </c>
    </row>
    <row r="514" spans="1:6" ht="14.5" hidden="1" customHeight="1" x14ac:dyDescent="0.35">
      <c r="A514" s="33" t="s">
        <v>710</v>
      </c>
      <c r="B514" s="33" t="s">
        <v>80</v>
      </c>
      <c r="C514" s="33" t="s">
        <v>711</v>
      </c>
      <c r="D514" s="33" t="s">
        <v>712</v>
      </c>
      <c r="E514" s="33" t="s">
        <v>2869</v>
      </c>
      <c r="F514" s="38" t="s">
        <v>132</v>
      </c>
    </row>
    <row r="515" spans="1:6" ht="14.5" hidden="1" customHeight="1" x14ac:dyDescent="0.35">
      <c r="A515" s="33" t="s">
        <v>713</v>
      </c>
      <c r="B515" s="33" t="s">
        <v>80</v>
      </c>
      <c r="C515" s="33" t="s">
        <v>714</v>
      </c>
      <c r="D515" s="33" t="s">
        <v>715</v>
      </c>
      <c r="E515" s="33" t="s">
        <v>2862</v>
      </c>
      <c r="F515" s="38" t="s">
        <v>2738</v>
      </c>
    </row>
    <row r="516" spans="1:6" ht="14.5" hidden="1" customHeight="1" x14ac:dyDescent="0.35">
      <c r="A516" s="33" t="s">
        <v>713</v>
      </c>
      <c r="B516" s="33" t="s">
        <v>82</v>
      </c>
      <c r="C516" s="33" t="s">
        <v>714</v>
      </c>
      <c r="D516" s="33" t="s">
        <v>716</v>
      </c>
      <c r="E516" s="33" t="s">
        <v>2862</v>
      </c>
      <c r="F516" s="38" t="s">
        <v>2738</v>
      </c>
    </row>
    <row r="517" spans="1:6" ht="14.5" hidden="1" customHeight="1" x14ac:dyDescent="0.35">
      <c r="A517" s="33" t="s">
        <v>717</v>
      </c>
      <c r="B517" s="33" t="s">
        <v>81</v>
      </c>
      <c r="C517" s="33" t="s">
        <v>718</v>
      </c>
      <c r="D517" s="33" t="s">
        <v>672</v>
      </c>
      <c r="E517" s="33" t="s">
        <v>2843</v>
      </c>
      <c r="F517" s="38" t="s">
        <v>56</v>
      </c>
    </row>
    <row r="518" spans="1:6" ht="14.5" customHeight="1" x14ac:dyDescent="0.35">
      <c r="A518" s="33" t="s">
        <v>717</v>
      </c>
      <c r="B518" s="33" t="s">
        <v>80</v>
      </c>
      <c r="C518" s="33" t="s">
        <v>718</v>
      </c>
      <c r="D518" s="33" t="s">
        <v>673</v>
      </c>
      <c r="E518" s="33" t="s">
        <v>2879</v>
      </c>
      <c r="F518" s="38" t="s">
        <v>1687</v>
      </c>
    </row>
    <row r="519" spans="1:6" ht="14.5" hidden="1" customHeight="1" x14ac:dyDescent="0.35">
      <c r="A519" s="33" t="s">
        <v>717</v>
      </c>
      <c r="B519" s="33" t="s">
        <v>83</v>
      </c>
      <c r="C519" s="33" t="s">
        <v>718</v>
      </c>
      <c r="D519" s="33" t="s">
        <v>674</v>
      </c>
      <c r="E519" s="33" t="s">
        <v>2870</v>
      </c>
      <c r="F519" s="38" t="s">
        <v>56</v>
      </c>
    </row>
    <row r="520" spans="1:6" ht="14.5" hidden="1" customHeight="1" x14ac:dyDescent="0.35">
      <c r="A520" s="33" t="s">
        <v>717</v>
      </c>
      <c r="B520" s="33" t="s">
        <v>19</v>
      </c>
      <c r="C520" s="33" t="s">
        <v>718</v>
      </c>
      <c r="D520" s="33" t="s">
        <v>675</v>
      </c>
      <c r="E520" s="33" t="s">
        <v>2869</v>
      </c>
      <c r="F520" s="38" t="s">
        <v>132</v>
      </c>
    </row>
    <row r="521" spans="1:6" ht="14.5" hidden="1" customHeight="1" x14ac:dyDescent="0.35">
      <c r="A521" s="33" t="s">
        <v>717</v>
      </c>
      <c r="B521" s="33" t="s">
        <v>84</v>
      </c>
      <c r="C521" s="33" t="s">
        <v>718</v>
      </c>
      <c r="D521" s="33" t="s">
        <v>676</v>
      </c>
      <c r="E521" s="33" t="s">
        <v>2837</v>
      </c>
      <c r="F521" s="38" t="s">
        <v>742</v>
      </c>
    </row>
    <row r="522" spans="1:6" ht="14.5" customHeight="1" x14ac:dyDescent="0.35">
      <c r="A522" s="33" t="s">
        <v>717</v>
      </c>
      <c r="B522" s="33" t="s">
        <v>85</v>
      </c>
      <c r="C522" s="33" t="s">
        <v>718</v>
      </c>
      <c r="D522" s="33" t="s">
        <v>677</v>
      </c>
      <c r="E522" s="33" t="s">
        <v>2879</v>
      </c>
      <c r="F522" s="38" t="s">
        <v>1687</v>
      </c>
    </row>
    <row r="523" spans="1:6" ht="14.5" hidden="1" customHeight="1" x14ac:dyDescent="0.35">
      <c r="A523" s="33" t="s">
        <v>717</v>
      </c>
      <c r="B523" s="33" t="s">
        <v>86</v>
      </c>
      <c r="C523" s="33" t="s">
        <v>718</v>
      </c>
      <c r="D523" s="33" t="s">
        <v>678</v>
      </c>
      <c r="E523" s="33" t="s">
        <v>2859</v>
      </c>
      <c r="F523" s="38" t="s">
        <v>56</v>
      </c>
    </row>
    <row r="524" spans="1:6" ht="14.5" hidden="1" customHeight="1" x14ac:dyDescent="0.35">
      <c r="A524" s="33" t="s">
        <v>717</v>
      </c>
      <c r="B524" s="33" t="s">
        <v>87</v>
      </c>
      <c r="C524" s="33" t="s">
        <v>718</v>
      </c>
      <c r="D524" s="33" t="s">
        <v>679</v>
      </c>
      <c r="E524" s="33" t="s">
        <v>2844</v>
      </c>
      <c r="F524" s="38" t="s">
        <v>48</v>
      </c>
    </row>
    <row r="525" spans="1:6" ht="14.5" hidden="1" customHeight="1" x14ac:dyDescent="0.35">
      <c r="A525" s="33" t="s">
        <v>717</v>
      </c>
      <c r="B525" s="33" t="s">
        <v>88</v>
      </c>
      <c r="C525" s="33" t="s">
        <v>718</v>
      </c>
      <c r="D525" s="33" t="s">
        <v>680</v>
      </c>
      <c r="E525" s="33" t="s">
        <v>2839</v>
      </c>
      <c r="F525" s="38" t="s">
        <v>48</v>
      </c>
    </row>
    <row r="526" spans="1:6" ht="14.5" hidden="1" customHeight="1" x14ac:dyDescent="0.35">
      <c r="A526" s="33" t="s">
        <v>717</v>
      </c>
      <c r="B526" s="33" t="s">
        <v>90</v>
      </c>
      <c r="C526" s="33" t="s">
        <v>718</v>
      </c>
      <c r="D526" s="33" t="s">
        <v>681</v>
      </c>
      <c r="E526" s="33" t="s">
        <v>2837</v>
      </c>
      <c r="F526" s="38" t="s">
        <v>742</v>
      </c>
    </row>
    <row r="527" spans="1:6" ht="14.5" hidden="1" customHeight="1" x14ac:dyDescent="0.35">
      <c r="A527" s="33" t="s">
        <v>717</v>
      </c>
      <c r="B527" s="33" t="s">
        <v>91</v>
      </c>
      <c r="C527" s="33" t="s">
        <v>718</v>
      </c>
      <c r="D527" s="33" t="s">
        <v>682</v>
      </c>
      <c r="E527" s="33" t="s">
        <v>2843</v>
      </c>
      <c r="F527" s="38" t="s">
        <v>56</v>
      </c>
    </row>
    <row r="528" spans="1:6" ht="14.5" customHeight="1" x14ac:dyDescent="0.35">
      <c r="A528" s="33" t="s">
        <v>719</v>
      </c>
      <c r="B528" s="33" t="s">
        <v>80</v>
      </c>
      <c r="C528" s="33" t="s">
        <v>720</v>
      </c>
      <c r="D528" s="33" t="s">
        <v>721</v>
      </c>
      <c r="E528" s="33" t="s">
        <v>2879</v>
      </c>
      <c r="F528" s="38" t="s">
        <v>1687</v>
      </c>
    </row>
    <row r="529" spans="1:6" ht="14.5" hidden="1" customHeight="1" x14ac:dyDescent="0.35">
      <c r="A529" s="33" t="s">
        <v>719</v>
      </c>
      <c r="B529" s="33" t="s">
        <v>226</v>
      </c>
      <c r="C529" s="33" t="s">
        <v>720</v>
      </c>
      <c r="D529" s="33" t="s">
        <v>722</v>
      </c>
      <c r="E529" s="33" t="s">
        <v>2870</v>
      </c>
      <c r="F529" s="38" t="s">
        <v>56</v>
      </c>
    </row>
    <row r="530" spans="1:6" ht="14.5" hidden="1" customHeight="1" x14ac:dyDescent="0.35">
      <c r="A530" s="33" t="s">
        <v>719</v>
      </c>
      <c r="B530" s="33" t="s">
        <v>82</v>
      </c>
      <c r="C530" s="33" t="s">
        <v>720</v>
      </c>
      <c r="D530" s="33" t="s">
        <v>720</v>
      </c>
      <c r="E530" s="33" t="s">
        <v>2861</v>
      </c>
      <c r="F530" s="38" t="s">
        <v>2740</v>
      </c>
    </row>
    <row r="531" spans="1:6" ht="14.5" hidden="1" customHeight="1" x14ac:dyDescent="0.35">
      <c r="A531" s="33" t="s">
        <v>719</v>
      </c>
      <c r="B531" s="33" t="s">
        <v>19</v>
      </c>
      <c r="C531" s="33" t="s">
        <v>720</v>
      </c>
      <c r="D531" s="33" t="s">
        <v>723</v>
      </c>
      <c r="E531" s="33" t="s">
        <v>2859</v>
      </c>
      <c r="F531" s="38" t="s">
        <v>56</v>
      </c>
    </row>
    <row r="532" spans="1:6" ht="14.5" customHeight="1" x14ac:dyDescent="0.35">
      <c r="A532" s="33" t="s">
        <v>719</v>
      </c>
      <c r="B532" s="33" t="s">
        <v>84</v>
      </c>
      <c r="C532" s="33" t="s">
        <v>720</v>
      </c>
      <c r="D532" s="33" t="s">
        <v>724</v>
      </c>
      <c r="E532" s="33" t="s">
        <v>2879</v>
      </c>
      <c r="F532" s="38" t="s">
        <v>1687</v>
      </c>
    </row>
    <row r="533" spans="1:6" ht="14.5" customHeight="1" x14ac:dyDescent="0.35">
      <c r="A533" s="33" t="s">
        <v>725</v>
      </c>
      <c r="B533" s="33" t="s">
        <v>80</v>
      </c>
      <c r="C533" s="33" t="s">
        <v>726</v>
      </c>
      <c r="D533" s="33" t="s">
        <v>727</v>
      </c>
      <c r="E533" s="33" t="s">
        <v>2879</v>
      </c>
      <c r="F533" s="38" t="s">
        <v>1687</v>
      </c>
    </row>
    <row r="534" spans="1:6" ht="14.5" hidden="1" customHeight="1" x14ac:dyDescent="0.35">
      <c r="A534" s="33" t="s">
        <v>725</v>
      </c>
      <c r="B534" s="33" t="s">
        <v>83</v>
      </c>
      <c r="C534" s="33" t="s">
        <v>726</v>
      </c>
      <c r="D534" s="33" t="s">
        <v>728</v>
      </c>
      <c r="E534" s="33" t="s">
        <v>2870</v>
      </c>
      <c r="F534" s="38" t="s">
        <v>56</v>
      </c>
    </row>
    <row r="535" spans="1:6" ht="14.5" customHeight="1" x14ac:dyDescent="0.35">
      <c r="A535" s="33" t="s">
        <v>725</v>
      </c>
      <c r="B535" s="33" t="s">
        <v>84</v>
      </c>
      <c r="C535" s="33" t="s">
        <v>726</v>
      </c>
      <c r="D535" s="33" t="s">
        <v>729</v>
      </c>
      <c r="E535" s="33" t="s">
        <v>2879</v>
      </c>
      <c r="F535" s="38" t="s">
        <v>1687</v>
      </c>
    </row>
    <row r="536" spans="1:6" ht="14.5" hidden="1" customHeight="1" x14ac:dyDescent="0.35">
      <c r="A536" s="33" t="s">
        <v>725</v>
      </c>
      <c r="B536" s="33" t="s">
        <v>85</v>
      </c>
      <c r="C536" s="33" t="s">
        <v>726</v>
      </c>
      <c r="D536" s="33" t="s">
        <v>730</v>
      </c>
      <c r="E536" s="33" t="s">
        <v>2861</v>
      </c>
      <c r="F536" s="38" t="s">
        <v>2740</v>
      </c>
    </row>
    <row r="537" spans="1:6" ht="14.5" hidden="1" customHeight="1" x14ac:dyDescent="0.35">
      <c r="A537" s="33" t="s">
        <v>725</v>
      </c>
      <c r="B537" s="33" t="s">
        <v>89</v>
      </c>
      <c r="C537" s="33" t="s">
        <v>726</v>
      </c>
      <c r="D537" s="33" t="s">
        <v>731</v>
      </c>
      <c r="E537" s="33" t="s">
        <v>2838</v>
      </c>
      <c r="F537" s="38" t="s">
        <v>48</v>
      </c>
    </row>
    <row r="538" spans="1:6" ht="14.5" customHeight="1" x14ac:dyDescent="0.35">
      <c r="A538" s="33" t="s">
        <v>745</v>
      </c>
      <c r="B538" s="33" t="s">
        <v>80</v>
      </c>
      <c r="C538" s="33" t="s">
        <v>746</v>
      </c>
      <c r="D538" s="33" t="s">
        <v>727</v>
      </c>
      <c r="E538" s="33" t="s">
        <v>2879</v>
      </c>
      <c r="F538" s="38" t="s">
        <v>1687</v>
      </c>
    </row>
    <row r="539" spans="1:6" ht="14.5" hidden="1" customHeight="1" x14ac:dyDescent="0.35">
      <c r="A539" s="33" t="s">
        <v>745</v>
      </c>
      <c r="B539" s="33" t="s">
        <v>83</v>
      </c>
      <c r="C539" s="33" t="s">
        <v>746</v>
      </c>
      <c r="D539" s="33" t="s">
        <v>728</v>
      </c>
      <c r="E539" s="33" t="s">
        <v>2870</v>
      </c>
      <c r="F539" s="38" t="s">
        <v>56</v>
      </c>
    </row>
    <row r="540" spans="1:6" ht="14.5" customHeight="1" x14ac:dyDescent="0.35">
      <c r="A540" s="33" t="s">
        <v>745</v>
      </c>
      <c r="B540" s="33" t="s">
        <v>84</v>
      </c>
      <c r="C540" s="33" t="s">
        <v>746</v>
      </c>
      <c r="D540" s="33" t="s">
        <v>729</v>
      </c>
      <c r="E540" s="33" t="s">
        <v>2879</v>
      </c>
      <c r="F540" s="38" t="s">
        <v>1687</v>
      </c>
    </row>
    <row r="541" spans="1:6" ht="14.5" hidden="1" customHeight="1" x14ac:dyDescent="0.35">
      <c r="A541" s="33" t="s">
        <v>745</v>
      </c>
      <c r="B541" s="33" t="s">
        <v>85</v>
      </c>
      <c r="C541" s="33" t="s">
        <v>746</v>
      </c>
      <c r="D541" s="33" t="s">
        <v>730</v>
      </c>
      <c r="E541" s="33" t="s">
        <v>2861</v>
      </c>
      <c r="F541" s="38" t="s">
        <v>2740</v>
      </c>
    </row>
    <row r="542" spans="1:6" ht="14.5" hidden="1" customHeight="1" x14ac:dyDescent="0.35">
      <c r="A542" s="33" t="s">
        <v>745</v>
      </c>
      <c r="B542" s="33" t="s">
        <v>89</v>
      </c>
      <c r="C542" s="33" t="s">
        <v>746</v>
      </c>
      <c r="D542" s="33" t="s">
        <v>731</v>
      </c>
      <c r="E542" s="33" t="s">
        <v>2838</v>
      </c>
      <c r="F542" s="38" t="s">
        <v>48</v>
      </c>
    </row>
    <row r="543" spans="1:6" ht="14.5" hidden="1" customHeight="1" x14ac:dyDescent="0.35">
      <c r="A543" s="33" t="s">
        <v>747</v>
      </c>
      <c r="B543" s="33" t="s">
        <v>80</v>
      </c>
      <c r="C543" s="33" t="s">
        <v>748</v>
      </c>
      <c r="D543" s="33" t="s">
        <v>748</v>
      </c>
      <c r="E543" s="33" t="s">
        <v>2845</v>
      </c>
      <c r="F543" s="38" t="s">
        <v>50</v>
      </c>
    </row>
    <row r="544" spans="1:6" ht="14.5" customHeight="1" x14ac:dyDescent="0.35">
      <c r="A544" s="33" t="s">
        <v>751</v>
      </c>
      <c r="B544" s="33" t="s">
        <v>80</v>
      </c>
      <c r="C544" s="33" t="s">
        <v>752</v>
      </c>
      <c r="D544" s="33" t="s">
        <v>753</v>
      </c>
      <c r="E544" s="33" t="s">
        <v>2879</v>
      </c>
      <c r="F544" s="38" t="s">
        <v>1687</v>
      </c>
    </row>
    <row r="545" spans="1:6" ht="14.5" hidden="1" customHeight="1" x14ac:dyDescent="0.35">
      <c r="A545" s="33" t="s">
        <v>751</v>
      </c>
      <c r="B545" s="33" t="s">
        <v>82</v>
      </c>
      <c r="C545" s="33" t="s">
        <v>752</v>
      </c>
      <c r="D545" s="33" t="s">
        <v>754</v>
      </c>
      <c r="E545" s="33" t="s">
        <v>2837</v>
      </c>
      <c r="F545" s="38" t="s">
        <v>742</v>
      </c>
    </row>
    <row r="546" spans="1:6" ht="14.5" hidden="1" customHeight="1" x14ac:dyDescent="0.35">
      <c r="A546" s="33" t="s">
        <v>751</v>
      </c>
      <c r="B546" s="33" t="s">
        <v>108</v>
      </c>
      <c r="C546" s="33" t="s">
        <v>752</v>
      </c>
      <c r="D546" s="33" t="s">
        <v>755</v>
      </c>
      <c r="E546" s="33" t="s">
        <v>2870</v>
      </c>
      <c r="F546" s="38" t="s">
        <v>56</v>
      </c>
    </row>
    <row r="547" spans="1:6" ht="14.5" hidden="1" customHeight="1" x14ac:dyDescent="0.35">
      <c r="A547" s="33" t="s">
        <v>751</v>
      </c>
      <c r="B547" s="33" t="s">
        <v>83</v>
      </c>
      <c r="C547" s="33" t="s">
        <v>752</v>
      </c>
      <c r="D547" s="33" t="s">
        <v>756</v>
      </c>
      <c r="E547" s="33" t="s">
        <v>2869</v>
      </c>
      <c r="F547" s="38" t="s">
        <v>132</v>
      </c>
    </row>
    <row r="548" spans="1:6" ht="14.5" customHeight="1" x14ac:dyDescent="0.35">
      <c r="A548" s="33" t="s">
        <v>751</v>
      </c>
      <c r="B548" s="33" t="s">
        <v>19</v>
      </c>
      <c r="C548" s="33" t="s">
        <v>752</v>
      </c>
      <c r="D548" s="33" t="s">
        <v>752</v>
      </c>
      <c r="E548" s="33" t="s">
        <v>2879</v>
      </c>
      <c r="F548" s="38" t="s">
        <v>1687</v>
      </c>
    </row>
    <row r="549" spans="1:6" ht="14.5" customHeight="1" x14ac:dyDescent="0.35">
      <c r="A549" s="33" t="s">
        <v>751</v>
      </c>
      <c r="B549" s="33" t="s">
        <v>174</v>
      </c>
      <c r="C549" s="33" t="s">
        <v>752</v>
      </c>
      <c r="D549" s="33" t="s">
        <v>757</v>
      </c>
      <c r="E549" s="33" t="s">
        <v>2879</v>
      </c>
      <c r="F549" s="38" t="s">
        <v>1687</v>
      </c>
    </row>
    <row r="550" spans="1:6" ht="14.5" hidden="1" customHeight="1" x14ac:dyDescent="0.35">
      <c r="A550" s="33" t="s">
        <v>751</v>
      </c>
      <c r="B550" s="33" t="s">
        <v>84</v>
      </c>
      <c r="C550" s="33" t="s">
        <v>752</v>
      </c>
      <c r="D550" s="33" t="s">
        <v>758</v>
      </c>
      <c r="E550" s="33" t="s">
        <v>2861</v>
      </c>
      <c r="F550" s="38" t="s">
        <v>2740</v>
      </c>
    </row>
    <row r="551" spans="1:6" ht="14.5" hidden="1" customHeight="1" x14ac:dyDescent="0.35">
      <c r="A551" s="33" t="s">
        <v>751</v>
      </c>
      <c r="B551" s="33" t="s">
        <v>86</v>
      </c>
      <c r="C551" s="33" t="s">
        <v>752</v>
      </c>
      <c r="D551" s="33" t="s">
        <v>759</v>
      </c>
      <c r="E551" s="33" t="s">
        <v>2859</v>
      </c>
      <c r="F551" s="38" t="s">
        <v>56</v>
      </c>
    </row>
    <row r="552" spans="1:6" ht="14.5" hidden="1" customHeight="1" x14ac:dyDescent="0.35">
      <c r="A552" s="33" t="s">
        <v>751</v>
      </c>
      <c r="B552" s="33" t="s">
        <v>87</v>
      </c>
      <c r="C552" s="33" t="s">
        <v>752</v>
      </c>
      <c r="D552" s="33" t="s">
        <v>760</v>
      </c>
      <c r="E552" s="33" t="s">
        <v>2838</v>
      </c>
      <c r="F552" s="38" t="s">
        <v>48</v>
      </c>
    </row>
    <row r="553" spans="1:6" ht="14.5" hidden="1" customHeight="1" x14ac:dyDescent="0.35">
      <c r="A553" s="33" t="s">
        <v>751</v>
      </c>
      <c r="B553" s="33" t="s">
        <v>88</v>
      </c>
      <c r="C553" s="33" t="s">
        <v>752</v>
      </c>
      <c r="D553" s="33" t="s">
        <v>761</v>
      </c>
      <c r="E553" s="33" t="s">
        <v>2839</v>
      </c>
      <c r="F553" s="38" t="s">
        <v>48</v>
      </c>
    </row>
    <row r="554" spans="1:6" ht="14.5" hidden="1" customHeight="1" x14ac:dyDescent="0.35">
      <c r="A554" s="33" t="s">
        <v>751</v>
      </c>
      <c r="B554" s="33" t="s">
        <v>90</v>
      </c>
      <c r="C554" s="33" t="s">
        <v>752</v>
      </c>
      <c r="D554" s="33" t="s">
        <v>762</v>
      </c>
      <c r="E554" s="33" t="s">
        <v>2873</v>
      </c>
      <c r="F554" s="38" t="s">
        <v>132</v>
      </c>
    </row>
    <row r="555" spans="1:6" ht="14.5" customHeight="1" x14ac:dyDescent="0.35">
      <c r="A555" s="33" t="s">
        <v>763</v>
      </c>
      <c r="B555" s="33" t="s">
        <v>80</v>
      </c>
      <c r="C555" s="33" t="s">
        <v>764</v>
      </c>
      <c r="D555" s="33" t="s">
        <v>765</v>
      </c>
      <c r="E555" s="33" t="s">
        <v>2879</v>
      </c>
      <c r="F555" s="38" t="s">
        <v>1687</v>
      </c>
    </row>
    <row r="556" spans="1:6" ht="14.5" hidden="1" customHeight="1" x14ac:dyDescent="0.35">
      <c r="A556" s="33" t="s">
        <v>763</v>
      </c>
      <c r="B556" s="33" t="s">
        <v>622</v>
      </c>
      <c r="C556" s="33" t="s">
        <v>764</v>
      </c>
      <c r="D556" s="33" t="s">
        <v>766</v>
      </c>
      <c r="E556" s="33" t="s">
        <v>2837</v>
      </c>
      <c r="F556" s="38" t="s">
        <v>742</v>
      </c>
    </row>
    <row r="557" spans="1:6" ht="14.5" hidden="1" customHeight="1" x14ac:dyDescent="0.35">
      <c r="A557" s="33" t="s">
        <v>763</v>
      </c>
      <c r="B557" s="33" t="s">
        <v>226</v>
      </c>
      <c r="C557" s="33" t="s">
        <v>764</v>
      </c>
      <c r="D557" s="33" t="s">
        <v>767</v>
      </c>
      <c r="E557" s="33" t="s">
        <v>2870</v>
      </c>
      <c r="F557" s="38" t="s">
        <v>56</v>
      </c>
    </row>
    <row r="558" spans="1:6" ht="14.5" hidden="1" customHeight="1" x14ac:dyDescent="0.35">
      <c r="A558" s="33" t="s">
        <v>763</v>
      </c>
      <c r="B558" s="33" t="s">
        <v>82</v>
      </c>
      <c r="C558" s="33" t="s">
        <v>764</v>
      </c>
      <c r="D558" s="33" t="s">
        <v>768</v>
      </c>
      <c r="E558" s="33" t="s">
        <v>2869</v>
      </c>
      <c r="F558" s="38" t="s">
        <v>132</v>
      </c>
    </row>
    <row r="559" spans="1:6" ht="14.5" customHeight="1" x14ac:dyDescent="0.35">
      <c r="A559" s="33" t="s">
        <v>763</v>
      </c>
      <c r="B559" s="33" t="s">
        <v>83</v>
      </c>
      <c r="C559" s="33" t="s">
        <v>764</v>
      </c>
      <c r="D559" s="33" t="s">
        <v>764</v>
      </c>
      <c r="E559" s="33" t="s">
        <v>2879</v>
      </c>
      <c r="F559" s="38" t="s">
        <v>1687</v>
      </c>
    </row>
    <row r="560" spans="1:6" ht="14.5" customHeight="1" x14ac:dyDescent="0.35">
      <c r="A560" s="33" t="s">
        <v>763</v>
      </c>
      <c r="B560" s="33" t="s">
        <v>769</v>
      </c>
      <c r="C560" s="33" t="s">
        <v>764</v>
      </c>
      <c r="D560" s="33" t="s">
        <v>770</v>
      </c>
      <c r="E560" s="33" t="s">
        <v>2879</v>
      </c>
      <c r="F560" s="38" t="s">
        <v>1687</v>
      </c>
    </row>
    <row r="561" spans="1:6" ht="14.5" hidden="1" customHeight="1" x14ac:dyDescent="0.35">
      <c r="A561" s="33" t="s">
        <v>763</v>
      </c>
      <c r="B561" s="33" t="s">
        <v>215</v>
      </c>
      <c r="C561" s="33" t="s">
        <v>764</v>
      </c>
      <c r="D561" s="33" t="s">
        <v>771</v>
      </c>
      <c r="E561" s="33" t="s">
        <v>2859</v>
      </c>
      <c r="F561" s="38" t="s">
        <v>56</v>
      </c>
    </row>
    <row r="562" spans="1:6" ht="14.5" hidden="1" customHeight="1" x14ac:dyDescent="0.35">
      <c r="A562" s="33" t="s">
        <v>763</v>
      </c>
      <c r="B562" s="33" t="s">
        <v>86</v>
      </c>
      <c r="C562" s="33" t="s">
        <v>764</v>
      </c>
      <c r="D562" s="33" t="s">
        <v>772</v>
      </c>
      <c r="E562" s="33" t="s">
        <v>2838</v>
      </c>
      <c r="F562" s="38" t="s">
        <v>48</v>
      </c>
    </row>
    <row r="563" spans="1:6" ht="14.5" hidden="1" customHeight="1" x14ac:dyDescent="0.35">
      <c r="A563" s="33" t="s">
        <v>763</v>
      </c>
      <c r="B563" s="33" t="s">
        <v>89</v>
      </c>
      <c r="C563" s="33" t="s">
        <v>764</v>
      </c>
      <c r="D563" s="33" t="s">
        <v>773</v>
      </c>
      <c r="E563" s="33" t="s">
        <v>2839</v>
      </c>
      <c r="F563" s="38" t="s">
        <v>48</v>
      </c>
    </row>
    <row r="564" spans="1:6" ht="14.5" hidden="1" customHeight="1" x14ac:dyDescent="0.35">
      <c r="A564" s="33" t="s">
        <v>763</v>
      </c>
      <c r="B564" s="33" t="s">
        <v>774</v>
      </c>
      <c r="C564" s="33" t="s">
        <v>764</v>
      </c>
      <c r="D564" s="33" t="s">
        <v>775</v>
      </c>
      <c r="E564" s="33" t="s">
        <v>2837</v>
      </c>
      <c r="F564" s="38" t="s">
        <v>742</v>
      </c>
    </row>
    <row r="565" spans="1:6" ht="14.5" hidden="1" customHeight="1" x14ac:dyDescent="0.35">
      <c r="A565" s="33" t="s">
        <v>776</v>
      </c>
      <c r="B565" s="33" t="s">
        <v>80</v>
      </c>
      <c r="C565" s="33" t="s">
        <v>777</v>
      </c>
      <c r="D565" s="33" t="s">
        <v>778</v>
      </c>
      <c r="E565" s="33" t="s">
        <v>2845</v>
      </c>
      <c r="F565" s="38" t="s">
        <v>50</v>
      </c>
    </row>
    <row r="566" spans="1:6" ht="14.5" hidden="1" customHeight="1" x14ac:dyDescent="0.35">
      <c r="A566" s="33" t="s">
        <v>776</v>
      </c>
      <c r="B566" s="33" t="s">
        <v>82</v>
      </c>
      <c r="C566" s="33" t="s">
        <v>777</v>
      </c>
      <c r="D566" s="33" t="s">
        <v>779</v>
      </c>
      <c r="E566" s="33" t="s">
        <v>2870</v>
      </c>
      <c r="F566" s="38" t="s">
        <v>56</v>
      </c>
    </row>
    <row r="567" spans="1:6" ht="14.5" hidden="1" customHeight="1" x14ac:dyDescent="0.35">
      <c r="A567" s="33" t="s">
        <v>776</v>
      </c>
      <c r="B567" s="33" t="s">
        <v>19</v>
      </c>
      <c r="C567" s="33" t="s">
        <v>777</v>
      </c>
      <c r="D567" s="33" t="s">
        <v>777</v>
      </c>
      <c r="E567" s="33" t="s">
        <v>2845</v>
      </c>
      <c r="F567" s="38" t="s">
        <v>50</v>
      </c>
    </row>
    <row r="568" spans="1:6" ht="14.5" hidden="1" customHeight="1" x14ac:dyDescent="0.35">
      <c r="A568" s="33" t="s">
        <v>776</v>
      </c>
      <c r="B568" s="33" t="s">
        <v>84</v>
      </c>
      <c r="C568" s="33" t="s">
        <v>777</v>
      </c>
      <c r="D568" s="33" t="s">
        <v>780</v>
      </c>
      <c r="E568" s="33" t="s">
        <v>2859</v>
      </c>
      <c r="F568" s="38" t="s">
        <v>56</v>
      </c>
    </row>
    <row r="569" spans="1:6" ht="14.5" hidden="1" customHeight="1" x14ac:dyDescent="0.35">
      <c r="A569" s="33" t="s">
        <v>781</v>
      </c>
      <c r="B569" s="33" t="s">
        <v>80</v>
      </c>
      <c r="C569" s="33" t="s">
        <v>782</v>
      </c>
      <c r="D569" s="33" t="s">
        <v>783</v>
      </c>
      <c r="E569" s="33" t="s">
        <v>2837</v>
      </c>
      <c r="F569" s="38" t="s">
        <v>742</v>
      </c>
    </row>
    <row r="570" spans="1:6" ht="14.5" hidden="1" customHeight="1" x14ac:dyDescent="0.35">
      <c r="A570" s="33" t="s">
        <v>784</v>
      </c>
      <c r="B570" s="33" t="s">
        <v>80</v>
      </c>
      <c r="C570" s="33" t="s">
        <v>785</v>
      </c>
      <c r="D570" s="33" t="s">
        <v>786</v>
      </c>
      <c r="E570" s="33" t="s">
        <v>2837</v>
      </c>
      <c r="F570" s="38" t="s">
        <v>742</v>
      </c>
    </row>
    <row r="571" spans="1:6" ht="14.5" hidden="1" customHeight="1" x14ac:dyDescent="0.35">
      <c r="A571" s="33" t="s">
        <v>787</v>
      </c>
      <c r="B571" s="33" t="s">
        <v>80</v>
      </c>
      <c r="C571" s="33" t="s">
        <v>788</v>
      </c>
      <c r="D571" s="33" t="s">
        <v>789</v>
      </c>
      <c r="E571" s="33" t="s">
        <v>2845</v>
      </c>
      <c r="F571" s="38" t="s">
        <v>50</v>
      </c>
    </row>
    <row r="572" spans="1:6" ht="14.5" hidden="1" customHeight="1" x14ac:dyDescent="0.35">
      <c r="A572" s="33" t="s">
        <v>787</v>
      </c>
      <c r="B572" s="33" t="s">
        <v>82</v>
      </c>
      <c r="C572" s="33" t="s">
        <v>788</v>
      </c>
      <c r="D572" s="33" t="s">
        <v>790</v>
      </c>
      <c r="E572" s="33" t="s">
        <v>2869</v>
      </c>
      <c r="F572" s="38" t="s">
        <v>132</v>
      </c>
    </row>
    <row r="573" spans="1:6" ht="14.5" hidden="1" customHeight="1" x14ac:dyDescent="0.35">
      <c r="A573" s="33" t="s">
        <v>787</v>
      </c>
      <c r="B573" s="33" t="s">
        <v>83</v>
      </c>
      <c r="C573" s="33" t="s">
        <v>788</v>
      </c>
      <c r="D573" s="33" t="s">
        <v>791</v>
      </c>
      <c r="E573" s="33" t="s">
        <v>2861</v>
      </c>
      <c r="F573" s="38" t="s">
        <v>2740</v>
      </c>
    </row>
    <row r="574" spans="1:6" ht="14.5" hidden="1" customHeight="1" x14ac:dyDescent="0.35">
      <c r="A574" s="33" t="s">
        <v>787</v>
      </c>
      <c r="B574" s="33" t="s">
        <v>84</v>
      </c>
      <c r="C574" s="33" t="s">
        <v>788</v>
      </c>
      <c r="D574" s="33" t="s">
        <v>792</v>
      </c>
      <c r="E574" s="33" t="s">
        <v>2859</v>
      </c>
      <c r="F574" s="38" t="s">
        <v>56</v>
      </c>
    </row>
    <row r="575" spans="1:6" ht="14.5" hidden="1" customHeight="1" x14ac:dyDescent="0.35">
      <c r="A575" s="33" t="s">
        <v>787</v>
      </c>
      <c r="B575" s="33" t="s">
        <v>85</v>
      </c>
      <c r="C575" s="33" t="s">
        <v>788</v>
      </c>
      <c r="D575" s="33" t="s">
        <v>793</v>
      </c>
      <c r="E575" s="33" t="s">
        <v>2845</v>
      </c>
      <c r="F575" s="38" t="s">
        <v>50</v>
      </c>
    </row>
    <row r="576" spans="1:6" ht="14.5" hidden="1" customHeight="1" x14ac:dyDescent="0.35">
      <c r="A576" s="33" t="s">
        <v>794</v>
      </c>
      <c r="B576" s="33" t="s">
        <v>80</v>
      </c>
      <c r="C576" s="33" t="s">
        <v>795</v>
      </c>
      <c r="D576" s="33" t="s">
        <v>789</v>
      </c>
      <c r="E576" s="33" t="s">
        <v>2845</v>
      </c>
      <c r="F576" s="38" t="s">
        <v>50</v>
      </c>
    </row>
    <row r="577" spans="1:6" ht="14.5" hidden="1" customHeight="1" x14ac:dyDescent="0.35">
      <c r="A577" s="33" t="s">
        <v>794</v>
      </c>
      <c r="B577" s="33" t="s">
        <v>82</v>
      </c>
      <c r="C577" s="33" t="s">
        <v>795</v>
      </c>
      <c r="D577" s="33" t="s">
        <v>790</v>
      </c>
      <c r="E577" s="33" t="s">
        <v>2869</v>
      </c>
      <c r="F577" s="38" t="s">
        <v>132</v>
      </c>
    </row>
    <row r="578" spans="1:6" ht="14.5" hidden="1" customHeight="1" x14ac:dyDescent="0.35">
      <c r="A578" s="33" t="s">
        <v>794</v>
      </c>
      <c r="B578" s="33" t="s">
        <v>83</v>
      </c>
      <c r="C578" s="33" t="s">
        <v>795</v>
      </c>
      <c r="D578" s="33" t="s">
        <v>791</v>
      </c>
      <c r="E578" s="33" t="s">
        <v>2861</v>
      </c>
      <c r="F578" s="38" t="s">
        <v>2740</v>
      </c>
    </row>
    <row r="579" spans="1:6" ht="14.5" hidden="1" customHeight="1" x14ac:dyDescent="0.35">
      <c r="A579" s="33" t="s">
        <v>794</v>
      </c>
      <c r="B579" s="33" t="s">
        <v>84</v>
      </c>
      <c r="C579" s="33" t="s">
        <v>795</v>
      </c>
      <c r="D579" s="33" t="s">
        <v>792</v>
      </c>
      <c r="E579" s="33" t="s">
        <v>2859</v>
      </c>
      <c r="F579" s="38" t="s">
        <v>56</v>
      </c>
    </row>
    <row r="580" spans="1:6" ht="14.5" hidden="1" customHeight="1" x14ac:dyDescent="0.35">
      <c r="A580" s="33" t="s">
        <v>794</v>
      </c>
      <c r="B580" s="33" t="s">
        <v>85</v>
      </c>
      <c r="C580" s="33" t="s">
        <v>795</v>
      </c>
      <c r="D580" s="33" t="s">
        <v>793</v>
      </c>
      <c r="E580" s="33" t="s">
        <v>2845</v>
      </c>
      <c r="F580" s="38" t="s">
        <v>50</v>
      </c>
    </row>
    <row r="581" spans="1:6" ht="14.5" hidden="1" customHeight="1" x14ac:dyDescent="0.35">
      <c r="A581" s="33" t="s">
        <v>796</v>
      </c>
      <c r="B581" s="33" t="s">
        <v>81</v>
      </c>
      <c r="C581" s="33" t="s">
        <v>797</v>
      </c>
      <c r="D581" s="33" t="s">
        <v>798</v>
      </c>
      <c r="E581" s="33" t="s">
        <v>2843</v>
      </c>
      <c r="F581" s="38" t="s">
        <v>56</v>
      </c>
    </row>
    <row r="582" spans="1:6" ht="14.5" hidden="1" customHeight="1" x14ac:dyDescent="0.35">
      <c r="A582" s="33" t="s">
        <v>796</v>
      </c>
      <c r="B582" s="33" t="s">
        <v>83</v>
      </c>
      <c r="C582" s="33" t="s">
        <v>797</v>
      </c>
      <c r="D582" s="33" t="s">
        <v>799</v>
      </c>
      <c r="E582" s="33" t="s">
        <v>2843</v>
      </c>
      <c r="F582" s="38" t="s">
        <v>56</v>
      </c>
    </row>
    <row r="583" spans="1:6" ht="14.5" hidden="1" customHeight="1" x14ac:dyDescent="0.35">
      <c r="A583" s="33" t="s">
        <v>801</v>
      </c>
      <c r="B583" s="33" t="s">
        <v>80</v>
      </c>
      <c r="C583" s="33" t="s">
        <v>802</v>
      </c>
      <c r="D583" s="33" t="s">
        <v>800</v>
      </c>
      <c r="E583" s="33" t="s">
        <v>2837</v>
      </c>
      <c r="F583" s="38" t="s">
        <v>742</v>
      </c>
    </row>
    <row r="584" spans="1:6" ht="14.5" hidden="1" customHeight="1" x14ac:dyDescent="0.35">
      <c r="A584" s="33" t="s">
        <v>803</v>
      </c>
      <c r="B584" s="33" t="s">
        <v>80</v>
      </c>
      <c r="C584" s="33" t="s">
        <v>804</v>
      </c>
      <c r="D584" s="33" t="s">
        <v>805</v>
      </c>
      <c r="E584" s="33" t="s">
        <v>2837</v>
      </c>
      <c r="F584" s="38" t="s">
        <v>742</v>
      </c>
    </row>
    <row r="585" spans="1:6" ht="14.5" hidden="1" customHeight="1" x14ac:dyDescent="0.35">
      <c r="A585" s="33" t="s">
        <v>806</v>
      </c>
      <c r="B585" s="33" t="s">
        <v>80</v>
      </c>
      <c r="C585" s="33" t="s">
        <v>807</v>
      </c>
      <c r="D585" s="33" t="s">
        <v>808</v>
      </c>
      <c r="E585" s="33" t="s">
        <v>2837</v>
      </c>
      <c r="F585" s="38" t="s">
        <v>742</v>
      </c>
    </row>
    <row r="586" spans="1:6" ht="14.5" hidden="1" customHeight="1" x14ac:dyDescent="0.35">
      <c r="A586" s="33" t="s">
        <v>809</v>
      </c>
      <c r="B586" s="33" t="s">
        <v>215</v>
      </c>
      <c r="C586" s="33" t="s">
        <v>810</v>
      </c>
      <c r="D586" s="33" t="s">
        <v>811</v>
      </c>
      <c r="E586" s="33" t="s">
        <v>2884</v>
      </c>
      <c r="F586" s="38" t="s">
        <v>2492</v>
      </c>
    </row>
    <row r="587" spans="1:6" ht="14.5" hidden="1" customHeight="1" x14ac:dyDescent="0.35">
      <c r="A587" s="33" t="s">
        <v>812</v>
      </c>
      <c r="B587" s="33" t="s">
        <v>19</v>
      </c>
      <c r="C587" s="33" t="s">
        <v>813</v>
      </c>
      <c r="D587" s="33" t="s">
        <v>814</v>
      </c>
      <c r="E587" s="33" t="s">
        <v>2837</v>
      </c>
      <c r="F587" s="38" t="s">
        <v>742</v>
      </c>
    </row>
    <row r="588" spans="1:6" ht="14.5" hidden="1" customHeight="1" x14ac:dyDescent="0.35">
      <c r="A588" s="33" t="s">
        <v>812</v>
      </c>
      <c r="B588" s="33" t="s">
        <v>84</v>
      </c>
      <c r="C588" s="33" t="s">
        <v>813</v>
      </c>
      <c r="D588" s="33" t="s">
        <v>815</v>
      </c>
      <c r="E588" s="33" t="s">
        <v>2837</v>
      </c>
      <c r="F588" s="38" t="s">
        <v>742</v>
      </c>
    </row>
    <row r="589" spans="1:6" ht="14.5" hidden="1" customHeight="1" x14ac:dyDescent="0.35">
      <c r="A589" s="33" t="s">
        <v>812</v>
      </c>
      <c r="B589" s="33" t="s">
        <v>85</v>
      </c>
      <c r="C589" s="33" t="s">
        <v>813</v>
      </c>
      <c r="D589" s="33" t="s">
        <v>816</v>
      </c>
      <c r="E589" s="33" t="s">
        <v>2837</v>
      </c>
      <c r="F589" s="38" t="s">
        <v>742</v>
      </c>
    </row>
    <row r="590" spans="1:6" ht="14.5" hidden="1" customHeight="1" x14ac:dyDescent="0.35">
      <c r="A590" s="33" t="s">
        <v>812</v>
      </c>
      <c r="B590" s="33" t="s">
        <v>86</v>
      </c>
      <c r="C590" s="33" t="s">
        <v>813</v>
      </c>
      <c r="D590" s="33" t="s">
        <v>817</v>
      </c>
      <c r="E590" s="33" t="s">
        <v>2837</v>
      </c>
      <c r="F590" s="38" t="s">
        <v>742</v>
      </c>
    </row>
    <row r="591" spans="1:6" ht="14.5" hidden="1" customHeight="1" x14ac:dyDescent="0.35">
      <c r="A591" s="33" t="s">
        <v>818</v>
      </c>
      <c r="B591" s="33" t="s">
        <v>80</v>
      </c>
      <c r="C591" s="33" t="s">
        <v>819</v>
      </c>
      <c r="D591" s="33" t="s">
        <v>820</v>
      </c>
      <c r="E591" s="33" t="s">
        <v>2873</v>
      </c>
      <c r="F591" s="38" t="s">
        <v>132</v>
      </c>
    </row>
    <row r="592" spans="1:6" ht="14.5" hidden="1" customHeight="1" x14ac:dyDescent="0.35">
      <c r="A592" s="33" t="s">
        <v>821</v>
      </c>
      <c r="B592" s="33" t="s">
        <v>80</v>
      </c>
      <c r="C592" s="33" t="s">
        <v>822</v>
      </c>
      <c r="D592" s="33" t="s">
        <v>823</v>
      </c>
      <c r="E592" s="33" t="s">
        <v>2870</v>
      </c>
      <c r="F592" s="38" t="s">
        <v>56</v>
      </c>
    </row>
    <row r="593" spans="1:6" ht="14.5" hidden="1" customHeight="1" x14ac:dyDescent="0.35">
      <c r="A593" s="33" t="s">
        <v>821</v>
      </c>
      <c r="B593" s="33" t="s">
        <v>85</v>
      </c>
      <c r="C593" s="33" t="s">
        <v>822</v>
      </c>
      <c r="D593" s="33" t="s">
        <v>824</v>
      </c>
      <c r="E593" s="33" t="s">
        <v>2859</v>
      </c>
      <c r="F593" s="38" t="s">
        <v>56</v>
      </c>
    </row>
    <row r="594" spans="1:6" ht="14.5" hidden="1" customHeight="1" x14ac:dyDescent="0.35">
      <c r="A594" s="33" t="s">
        <v>825</v>
      </c>
      <c r="B594" s="33" t="s">
        <v>80</v>
      </c>
      <c r="C594" s="33" t="s">
        <v>826</v>
      </c>
      <c r="D594" s="33" t="s">
        <v>827</v>
      </c>
      <c r="E594" s="33" t="s">
        <v>2861</v>
      </c>
      <c r="F594" s="38" t="s">
        <v>2740</v>
      </c>
    </row>
    <row r="595" spans="1:6" ht="14.5" hidden="1" customHeight="1" x14ac:dyDescent="0.35">
      <c r="A595" s="33" t="s">
        <v>825</v>
      </c>
      <c r="B595" s="33" t="s">
        <v>83</v>
      </c>
      <c r="C595" s="33" t="s">
        <v>826</v>
      </c>
      <c r="D595" s="33" t="s">
        <v>828</v>
      </c>
      <c r="E595" s="33" t="s">
        <v>2876</v>
      </c>
      <c r="F595" s="38" t="s">
        <v>50</v>
      </c>
    </row>
    <row r="596" spans="1:6" ht="14.5" hidden="1" customHeight="1" x14ac:dyDescent="0.35">
      <c r="A596" s="33" t="s">
        <v>825</v>
      </c>
      <c r="B596" s="33" t="s">
        <v>19</v>
      </c>
      <c r="C596" s="33" t="s">
        <v>826</v>
      </c>
      <c r="D596" s="33" t="s">
        <v>829</v>
      </c>
      <c r="E596" s="33" t="s">
        <v>2870</v>
      </c>
      <c r="F596" s="38" t="s">
        <v>56</v>
      </c>
    </row>
    <row r="597" spans="1:6" ht="14.5" hidden="1" customHeight="1" x14ac:dyDescent="0.35">
      <c r="A597" s="33" t="s">
        <v>825</v>
      </c>
      <c r="B597" s="33" t="s">
        <v>84</v>
      </c>
      <c r="C597" s="33" t="s">
        <v>826</v>
      </c>
      <c r="D597" s="33" t="s">
        <v>830</v>
      </c>
      <c r="E597" s="33" t="s">
        <v>2869</v>
      </c>
      <c r="F597" s="38" t="s">
        <v>132</v>
      </c>
    </row>
    <row r="598" spans="1:6" ht="14.5" hidden="1" customHeight="1" x14ac:dyDescent="0.35">
      <c r="A598" s="33" t="s">
        <v>825</v>
      </c>
      <c r="B598" s="33" t="s">
        <v>86</v>
      </c>
      <c r="C598" s="33" t="s">
        <v>826</v>
      </c>
      <c r="D598" s="33" t="s">
        <v>831</v>
      </c>
      <c r="E598" s="33" t="s">
        <v>2861</v>
      </c>
      <c r="F598" s="38" t="s">
        <v>2740</v>
      </c>
    </row>
    <row r="599" spans="1:6" ht="14.5" hidden="1" customHeight="1" x14ac:dyDescent="0.35">
      <c r="A599" s="33" t="s">
        <v>825</v>
      </c>
      <c r="B599" s="33" t="s">
        <v>87</v>
      </c>
      <c r="C599" s="33" t="s">
        <v>826</v>
      </c>
      <c r="D599" s="33" t="s">
        <v>832</v>
      </c>
      <c r="E599" s="33" t="s">
        <v>2859</v>
      </c>
      <c r="F599" s="38" t="s">
        <v>56</v>
      </c>
    </row>
    <row r="600" spans="1:6" ht="14.5" hidden="1" customHeight="1" x14ac:dyDescent="0.35">
      <c r="A600" s="33" t="s">
        <v>833</v>
      </c>
      <c r="B600" s="33" t="s">
        <v>80</v>
      </c>
      <c r="C600" s="33" t="s">
        <v>834</v>
      </c>
      <c r="D600" s="33" t="s">
        <v>827</v>
      </c>
      <c r="E600" s="33" t="s">
        <v>2861</v>
      </c>
      <c r="F600" s="38" t="s">
        <v>2740</v>
      </c>
    </row>
    <row r="601" spans="1:6" ht="14.5" hidden="1" customHeight="1" x14ac:dyDescent="0.35">
      <c r="A601" s="33" t="s">
        <v>833</v>
      </c>
      <c r="B601" s="33" t="s">
        <v>83</v>
      </c>
      <c r="C601" s="33" t="s">
        <v>834</v>
      </c>
      <c r="D601" s="33" t="s">
        <v>828</v>
      </c>
      <c r="E601" s="33" t="s">
        <v>2876</v>
      </c>
      <c r="F601" s="38" t="s">
        <v>50</v>
      </c>
    </row>
    <row r="602" spans="1:6" ht="14.5" hidden="1" customHeight="1" x14ac:dyDescent="0.35">
      <c r="A602" s="33" t="s">
        <v>833</v>
      </c>
      <c r="B602" s="33" t="s">
        <v>19</v>
      </c>
      <c r="C602" s="33" t="s">
        <v>834</v>
      </c>
      <c r="D602" s="33" t="s">
        <v>829</v>
      </c>
      <c r="E602" s="33" t="s">
        <v>2870</v>
      </c>
      <c r="F602" s="38" t="s">
        <v>56</v>
      </c>
    </row>
    <row r="603" spans="1:6" ht="14.5" hidden="1" customHeight="1" x14ac:dyDescent="0.35">
      <c r="A603" s="33" t="s">
        <v>833</v>
      </c>
      <c r="B603" s="33" t="s">
        <v>86</v>
      </c>
      <c r="C603" s="33" t="s">
        <v>834</v>
      </c>
      <c r="D603" s="33" t="s">
        <v>831</v>
      </c>
      <c r="E603" s="33" t="s">
        <v>2861</v>
      </c>
      <c r="F603" s="38" t="s">
        <v>2740</v>
      </c>
    </row>
    <row r="604" spans="1:6" ht="14.5" customHeight="1" x14ac:dyDescent="0.35">
      <c r="A604" s="33" t="s">
        <v>833</v>
      </c>
      <c r="B604" s="33" t="s">
        <v>216</v>
      </c>
      <c r="C604" s="33" t="s">
        <v>834</v>
      </c>
      <c r="D604" s="33" t="s">
        <v>835</v>
      </c>
      <c r="E604" s="33" t="s">
        <v>2879</v>
      </c>
      <c r="F604" s="38" t="s">
        <v>1687</v>
      </c>
    </row>
    <row r="605" spans="1:6" ht="14.5" hidden="1" customHeight="1" x14ac:dyDescent="0.35">
      <c r="A605" s="33" t="s">
        <v>833</v>
      </c>
      <c r="B605" s="33" t="s">
        <v>89</v>
      </c>
      <c r="C605" s="33" t="s">
        <v>834</v>
      </c>
      <c r="D605" s="33" t="s">
        <v>836</v>
      </c>
      <c r="E605" s="33" t="s">
        <v>2860</v>
      </c>
      <c r="F605" s="38" t="s">
        <v>50</v>
      </c>
    </row>
    <row r="606" spans="1:6" ht="14.5" hidden="1" customHeight="1" x14ac:dyDescent="0.35">
      <c r="A606" s="33" t="s">
        <v>833</v>
      </c>
      <c r="B606" s="33" t="s">
        <v>87</v>
      </c>
      <c r="C606" s="33" t="s">
        <v>834</v>
      </c>
      <c r="D606" s="33" t="s">
        <v>832</v>
      </c>
      <c r="E606" s="33" t="s">
        <v>2859</v>
      </c>
      <c r="F606" s="38" t="s">
        <v>56</v>
      </c>
    </row>
    <row r="607" spans="1:6" ht="14.5" hidden="1" customHeight="1" x14ac:dyDescent="0.35">
      <c r="A607" s="33" t="s">
        <v>837</v>
      </c>
      <c r="B607" s="33" t="s">
        <v>80</v>
      </c>
      <c r="C607" s="33" t="s">
        <v>838</v>
      </c>
      <c r="D607" s="33" t="s">
        <v>839</v>
      </c>
      <c r="E607" s="33" t="s">
        <v>2843</v>
      </c>
      <c r="F607" s="38" t="s">
        <v>56</v>
      </c>
    </row>
    <row r="608" spans="1:6" ht="14.5" hidden="1" customHeight="1" x14ac:dyDescent="0.35">
      <c r="A608" s="33" t="s">
        <v>837</v>
      </c>
      <c r="B608" s="33" t="s">
        <v>82</v>
      </c>
      <c r="C608" s="33" t="s">
        <v>838</v>
      </c>
      <c r="D608" s="33" t="s">
        <v>840</v>
      </c>
      <c r="E608" s="33" t="s">
        <v>2861</v>
      </c>
      <c r="F608" s="38" t="s">
        <v>2740</v>
      </c>
    </row>
    <row r="609" spans="1:6" ht="14.5" hidden="1" customHeight="1" x14ac:dyDescent="0.35">
      <c r="A609" s="33" t="s">
        <v>837</v>
      </c>
      <c r="B609" s="33" t="s">
        <v>84</v>
      </c>
      <c r="C609" s="33" t="s">
        <v>838</v>
      </c>
      <c r="D609" s="33" t="s">
        <v>841</v>
      </c>
      <c r="E609" s="33" t="s">
        <v>2876</v>
      </c>
      <c r="F609" s="38" t="s">
        <v>50</v>
      </c>
    </row>
    <row r="610" spans="1:6" ht="14.5" hidden="1" customHeight="1" x14ac:dyDescent="0.35">
      <c r="A610" s="33" t="s">
        <v>837</v>
      </c>
      <c r="B610" s="33" t="s">
        <v>85</v>
      </c>
      <c r="C610" s="33" t="s">
        <v>838</v>
      </c>
      <c r="D610" s="33" t="s">
        <v>842</v>
      </c>
      <c r="E610" s="33" t="s">
        <v>2845</v>
      </c>
      <c r="F610" s="38" t="s">
        <v>50</v>
      </c>
    </row>
    <row r="611" spans="1:6" ht="14.5" hidden="1" customHeight="1" x14ac:dyDescent="0.35">
      <c r="A611" s="33" t="s">
        <v>837</v>
      </c>
      <c r="B611" s="33" t="s">
        <v>86</v>
      </c>
      <c r="C611" s="33" t="s">
        <v>838</v>
      </c>
      <c r="D611" s="33" t="s">
        <v>843</v>
      </c>
      <c r="E611" s="33" t="s">
        <v>2876</v>
      </c>
      <c r="F611" s="38" t="s">
        <v>50</v>
      </c>
    </row>
    <row r="612" spans="1:6" ht="14.5" hidden="1" customHeight="1" x14ac:dyDescent="0.35">
      <c r="A612" s="33" t="s">
        <v>837</v>
      </c>
      <c r="B612" s="33" t="s">
        <v>87</v>
      </c>
      <c r="C612" s="33" t="s">
        <v>838</v>
      </c>
      <c r="D612" s="33" t="s">
        <v>844</v>
      </c>
      <c r="E612" s="33" t="s">
        <v>2845</v>
      </c>
      <c r="F612" s="38" t="s">
        <v>50</v>
      </c>
    </row>
    <row r="613" spans="1:6" ht="14.5" hidden="1" customHeight="1" x14ac:dyDescent="0.35">
      <c r="A613" s="33" t="s">
        <v>837</v>
      </c>
      <c r="B613" s="33" t="s">
        <v>88</v>
      </c>
      <c r="C613" s="33" t="s">
        <v>838</v>
      </c>
      <c r="D613" s="33" t="s">
        <v>845</v>
      </c>
      <c r="E613" s="33" t="s">
        <v>2845</v>
      </c>
      <c r="F613" s="38" t="s">
        <v>50</v>
      </c>
    </row>
    <row r="614" spans="1:6" ht="14.5" hidden="1" customHeight="1" x14ac:dyDescent="0.35">
      <c r="A614" s="33" t="s">
        <v>837</v>
      </c>
      <c r="B614" s="33" t="s">
        <v>90</v>
      </c>
      <c r="C614" s="33" t="s">
        <v>838</v>
      </c>
      <c r="D614" s="33" t="s">
        <v>846</v>
      </c>
      <c r="E614" s="33" t="s">
        <v>2870</v>
      </c>
      <c r="F614" s="38" t="s">
        <v>56</v>
      </c>
    </row>
    <row r="615" spans="1:6" ht="14.5" hidden="1" customHeight="1" x14ac:dyDescent="0.35">
      <c r="A615" s="33" t="s">
        <v>837</v>
      </c>
      <c r="B615" s="33" t="s">
        <v>91</v>
      </c>
      <c r="C615" s="33" t="s">
        <v>838</v>
      </c>
      <c r="D615" s="33" t="s">
        <v>847</v>
      </c>
      <c r="E615" s="33" t="s">
        <v>2859</v>
      </c>
      <c r="F615" s="38" t="s">
        <v>56</v>
      </c>
    </row>
    <row r="616" spans="1:6" ht="14.5" hidden="1" customHeight="1" x14ac:dyDescent="0.35">
      <c r="A616" s="33" t="s">
        <v>837</v>
      </c>
      <c r="B616" s="33" t="s">
        <v>92</v>
      </c>
      <c r="C616" s="33" t="s">
        <v>838</v>
      </c>
      <c r="D616" s="33" t="s">
        <v>848</v>
      </c>
      <c r="E616" s="33" t="s">
        <v>2869</v>
      </c>
      <c r="F616" s="38" t="s">
        <v>132</v>
      </c>
    </row>
    <row r="617" spans="1:6" ht="14.5" hidden="1" customHeight="1" x14ac:dyDescent="0.35">
      <c r="A617" s="33" t="s">
        <v>837</v>
      </c>
      <c r="B617" s="33" t="s">
        <v>93</v>
      </c>
      <c r="C617" s="33" t="s">
        <v>838</v>
      </c>
      <c r="D617" s="33" t="s">
        <v>849</v>
      </c>
      <c r="E617" s="33" t="s">
        <v>2851</v>
      </c>
      <c r="F617" s="38" t="s">
        <v>2740</v>
      </c>
    </row>
    <row r="618" spans="1:6" ht="14.5" hidden="1" customHeight="1" x14ac:dyDescent="0.35">
      <c r="A618" s="33" t="s">
        <v>837</v>
      </c>
      <c r="B618" s="33" t="s">
        <v>94</v>
      </c>
      <c r="C618" s="33" t="s">
        <v>838</v>
      </c>
      <c r="D618" s="33" t="s">
        <v>850</v>
      </c>
      <c r="E618" s="33" t="s">
        <v>2861</v>
      </c>
      <c r="F618" s="38" t="s">
        <v>2740</v>
      </c>
    </row>
    <row r="619" spans="1:6" ht="14.5" hidden="1" customHeight="1" x14ac:dyDescent="0.35">
      <c r="A619" s="33" t="s">
        <v>837</v>
      </c>
      <c r="B619" s="33" t="s">
        <v>97</v>
      </c>
      <c r="C619" s="33" t="s">
        <v>838</v>
      </c>
      <c r="D619" s="33" t="s">
        <v>851</v>
      </c>
      <c r="E619" s="33" t="s">
        <v>2851</v>
      </c>
      <c r="F619" s="38" t="s">
        <v>2740</v>
      </c>
    </row>
    <row r="620" spans="1:6" ht="14.5" hidden="1" customHeight="1" x14ac:dyDescent="0.35">
      <c r="A620" s="33" t="s">
        <v>837</v>
      </c>
      <c r="B620" s="33" t="s">
        <v>98</v>
      </c>
      <c r="C620" s="33" t="s">
        <v>838</v>
      </c>
      <c r="D620" s="33" t="s">
        <v>852</v>
      </c>
      <c r="E620" s="33" t="s">
        <v>2845</v>
      </c>
      <c r="F620" s="38" t="s">
        <v>50</v>
      </c>
    </row>
    <row r="621" spans="1:6" ht="14.5" hidden="1" customHeight="1" x14ac:dyDescent="0.35">
      <c r="A621" s="33" t="s">
        <v>837</v>
      </c>
      <c r="B621" s="33" t="s">
        <v>99</v>
      </c>
      <c r="C621" s="33" t="s">
        <v>838</v>
      </c>
      <c r="D621" s="33" t="s">
        <v>853</v>
      </c>
      <c r="E621" s="33" t="s">
        <v>2845</v>
      </c>
      <c r="F621" s="38" t="s">
        <v>50</v>
      </c>
    </row>
    <row r="622" spans="1:6" ht="14.5" hidden="1" customHeight="1" x14ac:dyDescent="0.35">
      <c r="A622" s="33" t="s">
        <v>837</v>
      </c>
      <c r="B622" s="33" t="s">
        <v>100</v>
      </c>
      <c r="C622" s="33" t="s">
        <v>838</v>
      </c>
      <c r="D622" s="33" t="s">
        <v>854</v>
      </c>
      <c r="E622" s="33" t="s">
        <v>2876</v>
      </c>
      <c r="F622" s="38" t="s">
        <v>50</v>
      </c>
    </row>
    <row r="623" spans="1:6" ht="14.5" hidden="1" customHeight="1" x14ac:dyDescent="0.35">
      <c r="A623" s="33" t="s">
        <v>837</v>
      </c>
      <c r="B623" s="33" t="s">
        <v>102</v>
      </c>
      <c r="C623" s="33" t="s">
        <v>838</v>
      </c>
      <c r="D623" s="33" t="s">
        <v>855</v>
      </c>
      <c r="E623" s="33" t="s">
        <v>2845</v>
      </c>
      <c r="F623" s="38" t="s">
        <v>50</v>
      </c>
    </row>
    <row r="624" spans="1:6" ht="14.5" hidden="1" customHeight="1" x14ac:dyDescent="0.35">
      <c r="A624" s="33" t="s">
        <v>837</v>
      </c>
      <c r="B624" s="33" t="s">
        <v>103</v>
      </c>
      <c r="C624" s="33" t="s">
        <v>838</v>
      </c>
      <c r="D624" s="33" t="s">
        <v>856</v>
      </c>
      <c r="E624" s="33" t="s">
        <v>2869</v>
      </c>
      <c r="F624" s="38" t="s">
        <v>132</v>
      </c>
    </row>
    <row r="625" spans="1:6" ht="14.5" hidden="1" customHeight="1" x14ac:dyDescent="0.35">
      <c r="A625" s="33" t="s">
        <v>837</v>
      </c>
      <c r="B625" s="33" t="s">
        <v>104</v>
      </c>
      <c r="C625" s="33" t="s">
        <v>838</v>
      </c>
      <c r="D625" s="33" t="s">
        <v>857</v>
      </c>
      <c r="E625" s="33" t="s">
        <v>2843</v>
      </c>
      <c r="F625" s="38" t="s">
        <v>56</v>
      </c>
    </row>
    <row r="626" spans="1:6" ht="14.5" hidden="1" customHeight="1" x14ac:dyDescent="0.35">
      <c r="A626" s="33" t="s">
        <v>837</v>
      </c>
      <c r="B626" s="33" t="s">
        <v>106</v>
      </c>
      <c r="C626" s="33" t="s">
        <v>838</v>
      </c>
      <c r="D626" s="33" t="s">
        <v>858</v>
      </c>
      <c r="E626" s="33" t="s">
        <v>2845</v>
      </c>
      <c r="F626" s="38" t="s">
        <v>50</v>
      </c>
    </row>
    <row r="627" spans="1:6" ht="14.5" hidden="1" customHeight="1" x14ac:dyDescent="0.35">
      <c r="A627" s="33" t="s">
        <v>859</v>
      </c>
      <c r="B627" s="33" t="s">
        <v>80</v>
      </c>
      <c r="C627" s="33" t="s">
        <v>860</v>
      </c>
      <c r="D627" s="33" t="s">
        <v>861</v>
      </c>
      <c r="E627" s="33" t="s">
        <v>2843</v>
      </c>
      <c r="F627" s="38" t="s">
        <v>56</v>
      </c>
    </row>
    <row r="628" spans="1:6" ht="14.5" hidden="1" customHeight="1" x14ac:dyDescent="0.35">
      <c r="A628" s="33" t="s">
        <v>859</v>
      </c>
      <c r="B628" s="33" t="s">
        <v>226</v>
      </c>
      <c r="C628" s="33" t="s">
        <v>860</v>
      </c>
      <c r="D628" s="33" t="s">
        <v>862</v>
      </c>
      <c r="E628" s="33" t="s">
        <v>2861</v>
      </c>
      <c r="F628" s="38" t="s">
        <v>2740</v>
      </c>
    </row>
    <row r="629" spans="1:6" ht="14.5" hidden="1" customHeight="1" x14ac:dyDescent="0.35">
      <c r="A629" s="33" t="s">
        <v>859</v>
      </c>
      <c r="B629" s="33" t="s">
        <v>83</v>
      </c>
      <c r="C629" s="33" t="s">
        <v>860</v>
      </c>
      <c r="D629" s="33" t="s">
        <v>863</v>
      </c>
      <c r="E629" s="33" t="s">
        <v>2845</v>
      </c>
      <c r="F629" s="38" t="s">
        <v>50</v>
      </c>
    </row>
    <row r="630" spans="1:6" ht="14.5" hidden="1" customHeight="1" x14ac:dyDescent="0.35">
      <c r="A630" s="33" t="s">
        <v>859</v>
      </c>
      <c r="B630" s="33" t="s">
        <v>19</v>
      </c>
      <c r="C630" s="33" t="s">
        <v>860</v>
      </c>
      <c r="D630" s="33" t="s">
        <v>864</v>
      </c>
      <c r="E630" s="33" t="s">
        <v>2870</v>
      </c>
      <c r="F630" s="38" t="s">
        <v>56</v>
      </c>
    </row>
    <row r="631" spans="1:6" ht="14.5" hidden="1" customHeight="1" x14ac:dyDescent="0.35">
      <c r="A631" s="33" t="s">
        <v>859</v>
      </c>
      <c r="B631" s="33" t="s">
        <v>85</v>
      </c>
      <c r="C631" s="33" t="s">
        <v>860</v>
      </c>
      <c r="D631" s="33" t="s">
        <v>865</v>
      </c>
      <c r="E631" s="33" t="s">
        <v>2845</v>
      </c>
      <c r="F631" s="38" t="s">
        <v>50</v>
      </c>
    </row>
    <row r="632" spans="1:6" ht="14.5" hidden="1" customHeight="1" x14ac:dyDescent="0.35">
      <c r="A632" s="33" t="s">
        <v>859</v>
      </c>
      <c r="B632" s="33" t="s">
        <v>89</v>
      </c>
      <c r="C632" s="33" t="s">
        <v>860</v>
      </c>
      <c r="D632" s="33" t="s">
        <v>866</v>
      </c>
      <c r="E632" s="33" t="s">
        <v>2861</v>
      </c>
      <c r="F632" s="38" t="s">
        <v>2740</v>
      </c>
    </row>
    <row r="633" spans="1:6" ht="14.5" hidden="1" customHeight="1" x14ac:dyDescent="0.35">
      <c r="A633" s="33" t="s">
        <v>859</v>
      </c>
      <c r="B633" s="33" t="s">
        <v>88</v>
      </c>
      <c r="C633" s="33" t="s">
        <v>860</v>
      </c>
      <c r="D633" s="33" t="s">
        <v>867</v>
      </c>
      <c r="E633" s="33" t="s">
        <v>2845</v>
      </c>
      <c r="F633" s="38" t="s">
        <v>50</v>
      </c>
    </row>
    <row r="634" spans="1:6" ht="14.5" hidden="1" customHeight="1" x14ac:dyDescent="0.35">
      <c r="A634" s="33" t="s">
        <v>859</v>
      </c>
      <c r="B634" s="33" t="s">
        <v>90</v>
      </c>
      <c r="C634" s="33" t="s">
        <v>860</v>
      </c>
      <c r="D634" s="33" t="s">
        <v>868</v>
      </c>
      <c r="E634" s="33" t="s">
        <v>2859</v>
      </c>
      <c r="F634" s="38" t="s">
        <v>56</v>
      </c>
    </row>
    <row r="635" spans="1:6" ht="14.5" hidden="1" customHeight="1" x14ac:dyDescent="0.35">
      <c r="A635" s="33" t="s">
        <v>859</v>
      </c>
      <c r="B635" s="33" t="s">
        <v>91</v>
      </c>
      <c r="C635" s="33" t="s">
        <v>860</v>
      </c>
      <c r="D635" s="33" t="s">
        <v>870</v>
      </c>
      <c r="E635" s="33" t="s">
        <v>2843</v>
      </c>
      <c r="F635" s="38" t="s">
        <v>56</v>
      </c>
    </row>
    <row r="636" spans="1:6" ht="14.5" hidden="1" customHeight="1" x14ac:dyDescent="0.35">
      <c r="A636" s="33" t="s">
        <v>871</v>
      </c>
      <c r="B636" s="33" t="s">
        <v>80</v>
      </c>
      <c r="C636" s="33" t="s">
        <v>872</v>
      </c>
      <c r="D636" s="33" t="s">
        <v>861</v>
      </c>
      <c r="E636" s="33" t="s">
        <v>2843</v>
      </c>
      <c r="F636" s="38" t="s">
        <v>56</v>
      </c>
    </row>
    <row r="637" spans="1:6" ht="14.5" hidden="1" customHeight="1" x14ac:dyDescent="0.35">
      <c r="A637" s="33" t="s">
        <v>871</v>
      </c>
      <c r="B637" s="33" t="s">
        <v>226</v>
      </c>
      <c r="C637" s="33" t="s">
        <v>872</v>
      </c>
      <c r="D637" s="33" t="s">
        <v>862</v>
      </c>
      <c r="E637" s="33" t="s">
        <v>2861</v>
      </c>
      <c r="F637" s="38" t="s">
        <v>2740</v>
      </c>
    </row>
    <row r="638" spans="1:6" ht="14.5" hidden="1" customHeight="1" x14ac:dyDescent="0.35">
      <c r="A638" s="33" t="s">
        <v>871</v>
      </c>
      <c r="B638" s="33" t="s">
        <v>83</v>
      </c>
      <c r="C638" s="33" t="s">
        <v>872</v>
      </c>
      <c r="D638" s="33" t="s">
        <v>863</v>
      </c>
      <c r="E638" s="33" t="s">
        <v>2845</v>
      </c>
      <c r="F638" s="38" t="s">
        <v>50</v>
      </c>
    </row>
    <row r="639" spans="1:6" ht="14.5" hidden="1" customHeight="1" x14ac:dyDescent="0.35">
      <c r="A639" s="33" t="s">
        <v>871</v>
      </c>
      <c r="B639" s="33" t="s">
        <v>19</v>
      </c>
      <c r="C639" s="33" t="s">
        <v>872</v>
      </c>
      <c r="D639" s="33" t="s">
        <v>864</v>
      </c>
      <c r="E639" s="33" t="s">
        <v>2870</v>
      </c>
      <c r="F639" s="38" t="s">
        <v>56</v>
      </c>
    </row>
    <row r="640" spans="1:6" ht="14.5" hidden="1" customHeight="1" x14ac:dyDescent="0.35">
      <c r="A640" s="33" t="s">
        <v>871</v>
      </c>
      <c r="B640" s="33" t="s">
        <v>85</v>
      </c>
      <c r="C640" s="33" t="s">
        <v>872</v>
      </c>
      <c r="D640" s="33" t="s">
        <v>865</v>
      </c>
      <c r="E640" s="33" t="s">
        <v>2845</v>
      </c>
      <c r="F640" s="38" t="s">
        <v>50</v>
      </c>
    </row>
    <row r="641" spans="1:6" ht="14.5" hidden="1" customHeight="1" x14ac:dyDescent="0.35">
      <c r="A641" s="33" t="s">
        <v>871</v>
      </c>
      <c r="B641" s="33" t="s">
        <v>89</v>
      </c>
      <c r="C641" s="33" t="s">
        <v>872</v>
      </c>
      <c r="D641" s="33" t="s">
        <v>866</v>
      </c>
      <c r="E641" s="33" t="s">
        <v>2861</v>
      </c>
      <c r="F641" s="38" t="s">
        <v>2740</v>
      </c>
    </row>
    <row r="642" spans="1:6" ht="14.5" hidden="1" customHeight="1" x14ac:dyDescent="0.35">
      <c r="A642" s="33" t="s">
        <v>871</v>
      </c>
      <c r="B642" s="33" t="s">
        <v>88</v>
      </c>
      <c r="C642" s="33" t="s">
        <v>872</v>
      </c>
      <c r="D642" s="33" t="s">
        <v>867</v>
      </c>
      <c r="E642" s="33" t="s">
        <v>2845</v>
      </c>
      <c r="F642" s="38" t="s">
        <v>50</v>
      </c>
    </row>
    <row r="643" spans="1:6" ht="14.5" hidden="1" customHeight="1" x14ac:dyDescent="0.35">
      <c r="A643" s="33" t="s">
        <v>871</v>
      </c>
      <c r="B643" s="33" t="s">
        <v>90</v>
      </c>
      <c r="C643" s="33" t="s">
        <v>872</v>
      </c>
      <c r="D643" s="33" t="s">
        <v>868</v>
      </c>
      <c r="E643" s="33" t="s">
        <v>2859</v>
      </c>
      <c r="F643" s="38" t="s">
        <v>56</v>
      </c>
    </row>
    <row r="644" spans="1:6" ht="14.5" hidden="1" customHeight="1" x14ac:dyDescent="0.35">
      <c r="A644" s="33" t="s">
        <v>871</v>
      </c>
      <c r="B644" s="33" t="s">
        <v>91</v>
      </c>
      <c r="C644" s="33" t="s">
        <v>872</v>
      </c>
      <c r="D644" s="33" t="s">
        <v>870</v>
      </c>
      <c r="E644" s="33" t="s">
        <v>2843</v>
      </c>
      <c r="F644" s="38" t="s">
        <v>56</v>
      </c>
    </row>
    <row r="645" spans="1:6" ht="14.5" hidden="1" customHeight="1" x14ac:dyDescent="0.35">
      <c r="A645" s="33" t="s">
        <v>873</v>
      </c>
      <c r="B645" s="33" t="s">
        <v>80</v>
      </c>
      <c r="C645" s="33" t="s">
        <v>874</v>
      </c>
      <c r="D645" s="33" t="s">
        <v>875</v>
      </c>
      <c r="E645" s="33" t="s">
        <v>2843</v>
      </c>
      <c r="F645" s="38" t="s">
        <v>56</v>
      </c>
    </row>
    <row r="646" spans="1:6" ht="14.5" hidden="1" customHeight="1" x14ac:dyDescent="0.35">
      <c r="A646" s="33" t="s">
        <v>873</v>
      </c>
      <c r="B646" s="33" t="s">
        <v>82</v>
      </c>
      <c r="C646" s="33" t="s">
        <v>874</v>
      </c>
      <c r="D646" s="33" t="s">
        <v>876</v>
      </c>
      <c r="E646" s="33" t="s">
        <v>2861</v>
      </c>
      <c r="F646" s="38" t="s">
        <v>2740</v>
      </c>
    </row>
    <row r="647" spans="1:6" ht="14.5" hidden="1" customHeight="1" x14ac:dyDescent="0.35">
      <c r="A647" s="33" t="s">
        <v>873</v>
      </c>
      <c r="B647" s="33" t="s">
        <v>19</v>
      </c>
      <c r="C647" s="33" t="s">
        <v>874</v>
      </c>
      <c r="D647" s="33" t="s">
        <v>877</v>
      </c>
      <c r="E647" s="33" t="s">
        <v>2876</v>
      </c>
      <c r="F647" s="38" t="s">
        <v>50</v>
      </c>
    </row>
    <row r="648" spans="1:6" ht="14.5" hidden="1" customHeight="1" x14ac:dyDescent="0.35">
      <c r="A648" s="33" t="s">
        <v>873</v>
      </c>
      <c r="B648" s="33" t="s">
        <v>84</v>
      </c>
      <c r="C648" s="33" t="s">
        <v>874</v>
      </c>
      <c r="D648" s="33" t="s">
        <v>878</v>
      </c>
      <c r="E648" s="33" t="s">
        <v>2870</v>
      </c>
      <c r="F648" s="38" t="s">
        <v>56</v>
      </c>
    </row>
    <row r="649" spans="1:6" ht="14.5" hidden="1" customHeight="1" x14ac:dyDescent="0.35">
      <c r="A649" s="33" t="s">
        <v>873</v>
      </c>
      <c r="B649" s="33" t="s">
        <v>85</v>
      </c>
      <c r="C649" s="33" t="s">
        <v>874</v>
      </c>
      <c r="D649" s="33" t="s">
        <v>879</v>
      </c>
      <c r="E649" s="33" t="s">
        <v>2869</v>
      </c>
      <c r="F649" s="38" t="s">
        <v>132</v>
      </c>
    </row>
    <row r="650" spans="1:6" ht="14.5" hidden="1" customHeight="1" x14ac:dyDescent="0.35">
      <c r="A650" s="33" t="s">
        <v>873</v>
      </c>
      <c r="B650" s="33" t="s">
        <v>89</v>
      </c>
      <c r="C650" s="33" t="s">
        <v>874</v>
      </c>
      <c r="D650" s="33" t="s">
        <v>880</v>
      </c>
      <c r="E650" s="33" t="s">
        <v>2861</v>
      </c>
      <c r="F650" s="38" t="s">
        <v>2740</v>
      </c>
    </row>
    <row r="651" spans="1:6" ht="14.5" hidden="1" customHeight="1" x14ac:dyDescent="0.35">
      <c r="A651" s="33" t="s">
        <v>873</v>
      </c>
      <c r="B651" s="33" t="s">
        <v>88</v>
      </c>
      <c r="C651" s="33" t="s">
        <v>874</v>
      </c>
      <c r="D651" s="33" t="s">
        <v>881</v>
      </c>
      <c r="E651" s="33" t="s">
        <v>2859</v>
      </c>
      <c r="F651" s="38" t="s">
        <v>56</v>
      </c>
    </row>
    <row r="652" spans="1:6" ht="14.5" hidden="1" customHeight="1" x14ac:dyDescent="0.35">
      <c r="A652" s="33" t="s">
        <v>873</v>
      </c>
      <c r="B652" s="33" t="s">
        <v>90</v>
      </c>
      <c r="C652" s="33" t="s">
        <v>874</v>
      </c>
      <c r="D652" s="33" t="s">
        <v>882</v>
      </c>
      <c r="E652" s="33" t="s">
        <v>2843</v>
      </c>
      <c r="F652" s="38" t="s">
        <v>56</v>
      </c>
    </row>
    <row r="653" spans="1:6" ht="14.5" hidden="1" customHeight="1" x14ac:dyDescent="0.35">
      <c r="A653" s="33" t="s">
        <v>883</v>
      </c>
      <c r="B653" s="33" t="s">
        <v>80</v>
      </c>
      <c r="C653" s="33" t="s">
        <v>884</v>
      </c>
      <c r="D653" s="33" t="s">
        <v>875</v>
      </c>
      <c r="E653" s="33" t="s">
        <v>2843</v>
      </c>
      <c r="F653" s="38" t="s">
        <v>56</v>
      </c>
    </row>
    <row r="654" spans="1:6" ht="14.5" hidden="1" customHeight="1" x14ac:dyDescent="0.35">
      <c r="A654" s="33" t="s">
        <v>883</v>
      </c>
      <c r="B654" s="33" t="s">
        <v>82</v>
      </c>
      <c r="C654" s="33" t="s">
        <v>884</v>
      </c>
      <c r="D654" s="33" t="s">
        <v>876</v>
      </c>
      <c r="E654" s="33" t="s">
        <v>2861</v>
      </c>
      <c r="F654" s="38" t="s">
        <v>2740</v>
      </c>
    </row>
    <row r="655" spans="1:6" ht="14.5" hidden="1" customHeight="1" x14ac:dyDescent="0.35">
      <c r="A655" s="33" t="s">
        <v>883</v>
      </c>
      <c r="B655" s="33" t="s">
        <v>84</v>
      </c>
      <c r="C655" s="33" t="s">
        <v>884</v>
      </c>
      <c r="D655" s="33" t="s">
        <v>878</v>
      </c>
      <c r="E655" s="33" t="s">
        <v>2870</v>
      </c>
      <c r="F655" s="38" t="s">
        <v>56</v>
      </c>
    </row>
    <row r="656" spans="1:6" ht="14.5" hidden="1" customHeight="1" x14ac:dyDescent="0.35">
      <c r="A656" s="33" t="s">
        <v>883</v>
      </c>
      <c r="B656" s="33" t="s">
        <v>85</v>
      </c>
      <c r="C656" s="33" t="s">
        <v>884</v>
      </c>
      <c r="D656" s="33" t="s">
        <v>879</v>
      </c>
      <c r="E656" s="33" t="s">
        <v>2869</v>
      </c>
      <c r="F656" s="38" t="s">
        <v>132</v>
      </c>
    </row>
    <row r="657" spans="1:6" ht="14.5" hidden="1" customHeight="1" x14ac:dyDescent="0.35">
      <c r="A657" s="33" t="s">
        <v>883</v>
      </c>
      <c r="B657" s="33" t="s">
        <v>89</v>
      </c>
      <c r="C657" s="33" t="s">
        <v>884</v>
      </c>
      <c r="D657" s="33" t="s">
        <v>880</v>
      </c>
      <c r="E657" s="33" t="s">
        <v>2861</v>
      </c>
      <c r="F657" s="38" t="s">
        <v>2740</v>
      </c>
    </row>
    <row r="658" spans="1:6" ht="14.5" hidden="1" customHeight="1" x14ac:dyDescent="0.35">
      <c r="A658" s="33" t="s">
        <v>883</v>
      </c>
      <c r="B658" s="33" t="s">
        <v>88</v>
      </c>
      <c r="C658" s="33" t="s">
        <v>884</v>
      </c>
      <c r="D658" s="33" t="s">
        <v>881</v>
      </c>
      <c r="E658" s="33" t="s">
        <v>2859</v>
      </c>
      <c r="F658" s="38" t="s">
        <v>56</v>
      </c>
    </row>
    <row r="659" spans="1:6" ht="14.5" hidden="1" customHeight="1" x14ac:dyDescent="0.35">
      <c r="A659" s="33" t="s">
        <v>883</v>
      </c>
      <c r="B659" s="33" t="s">
        <v>90</v>
      </c>
      <c r="C659" s="33" t="s">
        <v>884</v>
      </c>
      <c r="D659" s="33" t="s">
        <v>882</v>
      </c>
      <c r="E659" s="33" t="s">
        <v>2843</v>
      </c>
      <c r="F659" s="38" t="s">
        <v>56</v>
      </c>
    </row>
    <row r="660" spans="1:6" ht="14.5" hidden="1" customHeight="1" x14ac:dyDescent="0.35">
      <c r="A660" s="33" t="s">
        <v>885</v>
      </c>
      <c r="B660" s="33" t="s">
        <v>82</v>
      </c>
      <c r="C660" s="33" t="s">
        <v>886</v>
      </c>
      <c r="D660" s="33" t="s">
        <v>887</v>
      </c>
      <c r="E660" s="33" t="s">
        <v>2870</v>
      </c>
      <c r="F660" s="38" t="s">
        <v>56</v>
      </c>
    </row>
    <row r="661" spans="1:6" ht="14.5" hidden="1" customHeight="1" x14ac:dyDescent="0.35">
      <c r="A661" s="33" t="s">
        <v>885</v>
      </c>
      <c r="B661" s="33" t="s">
        <v>19</v>
      </c>
      <c r="C661" s="33" t="s">
        <v>886</v>
      </c>
      <c r="D661" s="33" t="s">
        <v>888</v>
      </c>
      <c r="E661" s="33" t="s">
        <v>2843</v>
      </c>
      <c r="F661" s="38" t="s">
        <v>56</v>
      </c>
    </row>
    <row r="662" spans="1:6" ht="14.5" hidden="1" customHeight="1" x14ac:dyDescent="0.35">
      <c r="A662" s="33" t="s">
        <v>885</v>
      </c>
      <c r="B662" s="33" t="s">
        <v>85</v>
      </c>
      <c r="C662" s="33" t="s">
        <v>886</v>
      </c>
      <c r="D662" s="33" t="s">
        <v>889</v>
      </c>
      <c r="E662" s="33" t="s">
        <v>2843</v>
      </c>
      <c r="F662" s="38" t="s">
        <v>56</v>
      </c>
    </row>
    <row r="663" spans="1:6" ht="14.5" hidden="1" customHeight="1" x14ac:dyDescent="0.35">
      <c r="A663" s="33" t="s">
        <v>885</v>
      </c>
      <c r="B663" s="33" t="s">
        <v>87</v>
      </c>
      <c r="C663" s="33" t="s">
        <v>886</v>
      </c>
      <c r="D663" s="33" t="s">
        <v>890</v>
      </c>
      <c r="E663" s="33" t="s">
        <v>2859</v>
      </c>
      <c r="F663" s="38" t="s">
        <v>56</v>
      </c>
    </row>
    <row r="664" spans="1:6" ht="14.5" hidden="1" customHeight="1" x14ac:dyDescent="0.35">
      <c r="A664" s="33" t="s">
        <v>891</v>
      </c>
      <c r="B664" s="33" t="s">
        <v>80</v>
      </c>
      <c r="C664" s="33" t="s">
        <v>892</v>
      </c>
      <c r="D664" s="33" t="s">
        <v>893</v>
      </c>
      <c r="E664" s="33" t="s">
        <v>2861</v>
      </c>
      <c r="F664" s="38" t="s">
        <v>2740</v>
      </c>
    </row>
    <row r="665" spans="1:6" ht="14.5" hidden="1" customHeight="1" x14ac:dyDescent="0.35">
      <c r="A665" s="33" t="s">
        <v>891</v>
      </c>
      <c r="B665" s="33" t="s">
        <v>83</v>
      </c>
      <c r="C665" s="33" t="s">
        <v>892</v>
      </c>
      <c r="D665" s="33" t="s">
        <v>894</v>
      </c>
      <c r="E665" s="33" t="s">
        <v>2870</v>
      </c>
      <c r="F665" s="38" t="s">
        <v>56</v>
      </c>
    </row>
    <row r="666" spans="1:6" ht="14.5" hidden="1" customHeight="1" x14ac:dyDescent="0.35">
      <c r="A666" s="33" t="s">
        <v>891</v>
      </c>
      <c r="B666" s="33" t="s">
        <v>174</v>
      </c>
      <c r="C666" s="33" t="s">
        <v>892</v>
      </c>
      <c r="D666" s="33" t="s">
        <v>895</v>
      </c>
      <c r="E666" s="33" t="s">
        <v>2843</v>
      </c>
      <c r="F666" s="38" t="s">
        <v>56</v>
      </c>
    </row>
    <row r="667" spans="1:6" ht="14.5" hidden="1" customHeight="1" x14ac:dyDescent="0.35">
      <c r="A667" s="33" t="s">
        <v>891</v>
      </c>
      <c r="B667" s="33" t="s">
        <v>84</v>
      </c>
      <c r="C667" s="33" t="s">
        <v>892</v>
      </c>
      <c r="D667" s="33" t="s">
        <v>896</v>
      </c>
      <c r="E667" s="33" t="s">
        <v>2861</v>
      </c>
      <c r="F667" s="38" t="s">
        <v>2740</v>
      </c>
    </row>
    <row r="668" spans="1:6" ht="14.5" hidden="1" customHeight="1" x14ac:dyDescent="0.35">
      <c r="A668" s="33" t="s">
        <v>891</v>
      </c>
      <c r="B668" s="33" t="s">
        <v>85</v>
      </c>
      <c r="C668" s="33" t="s">
        <v>892</v>
      </c>
      <c r="D668" s="33" t="s">
        <v>897</v>
      </c>
      <c r="E668" s="33" t="s">
        <v>2859</v>
      </c>
      <c r="F668" s="38" t="s">
        <v>56</v>
      </c>
    </row>
    <row r="669" spans="1:6" ht="14.5" hidden="1" customHeight="1" x14ac:dyDescent="0.35">
      <c r="A669" s="33" t="s">
        <v>891</v>
      </c>
      <c r="B669" s="33" t="s">
        <v>86</v>
      </c>
      <c r="C669" s="33" t="s">
        <v>892</v>
      </c>
      <c r="D669" s="33" t="s">
        <v>898</v>
      </c>
      <c r="E669" s="33" t="s">
        <v>2843</v>
      </c>
      <c r="F669" s="38" t="s">
        <v>56</v>
      </c>
    </row>
    <row r="670" spans="1:6" ht="14.5" hidden="1" customHeight="1" x14ac:dyDescent="0.35">
      <c r="A670" s="33" t="s">
        <v>899</v>
      </c>
      <c r="B670" s="33" t="s">
        <v>80</v>
      </c>
      <c r="C670" s="33" t="s">
        <v>900</v>
      </c>
      <c r="D670" s="33" t="s">
        <v>893</v>
      </c>
      <c r="E670" s="33" t="s">
        <v>2861</v>
      </c>
      <c r="F670" s="38" t="s">
        <v>2740</v>
      </c>
    </row>
    <row r="671" spans="1:6" ht="14.5" hidden="1" customHeight="1" x14ac:dyDescent="0.35">
      <c r="A671" s="33" t="s">
        <v>899</v>
      </c>
      <c r="B671" s="33" t="s">
        <v>83</v>
      </c>
      <c r="C671" s="33" t="s">
        <v>900</v>
      </c>
      <c r="D671" s="33" t="s">
        <v>894</v>
      </c>
      <c r="E671" s="33" t="s">
        <v>2870</v>
      </c>
      <c r="F671" s="38" t="s">
        <v>56</v>
      </c>
    </row>
    <row r="672" spans="1:6" ht="14.5" hidden="1" customHeight="1" x14ac:dyDescent="0.35">
      <c r="A672" s="33" t="s">
        <v>899</v>
      </c>
      <c r="B672" s="33" t="s">
        <v>174</v>
      </c>
      <c r="C672" s="33" t="s">
        <v>900</v>
      </c>
      <c r="D672" s="33" t="s">
        <v>895</v>
      </c>
      <c r="E672" s="33" t="s">
        <v>2843</v>
      </c>
      <c r="F672" s="38" t="s">
        <v>56</v>
      </c>
    </row>
    <row r="673" spans="1:6" ht="14.5" hidden="1" customHeight="1" x14ac:dyDescent="0.35">
      <c r="A673" s="33" t="s">
        <v>899</v>
      </c>
      <c r="B673" s="33" t="s">
        <v>84</v>
      </c>
      <c r="C673" s="33" t="s">
        <v>900</v>
      </c>
      <c r="D673" s="33" t="s">
        <v>896</v>
      </c>
      <c r="E673" s="33" t="s">
        <v>2861</v>
      </c>
      <c r="F673" s="38" t="s">
        <v>2740</v>
      </c>
    </row>
    <row r="674" spans="1:6" ht="14.5" hidden="1" customHeight="1" x14ac:dyDescent="0.35">
      <c r="A674" s="33" t="s">
        <v>899</v>
      </c>
      <c r="B674" s="33" t="s">
        <v>85</v>
      </c>
      <c r="C674" s="33" t="s">
        <v>900</v>
      </c>
      <c r="D674" s="33" t="s">
        <v>897</v>
      </c>
      <c r="E674" s="33" t="s">
        <v>2859</v>
      </c>
      <c r="F674" s="38" t="s">
        <v>56</v>
      </c>
    </row>
    <row r="675" spans="1:6" ht="14.5" hidden="1" customHeight="1" x14ac:dyDescent="0.35">
      <c r="A675" s="33" t="s">
        <v>899</v>
      </c>
      <c r="B675" s="33" t="s">
        <v>86</v>
      </c>
      <c r="C675" s="33" t="s">
        <v>900</v>
      </c>
      <c r="D675" s="33" t="s">
        <v>898</v>
      </c>
      <c r="E675" s="33" t="s">
        <v>2843</v>
      </c>
      <c r="F675" s="38" t="s">
        <v>56</v>
      </c>
    </row>
    <row r="676" spans="1:6" ht="14.5" hidden="1" customHeight="1" x14ac:dyDescent="0.35">
      <c r="A676" s="33" t="s">
        <v>901</v>
      </c>
      <c r="B676" s="33" t="s">
        <v>80</v>
      </c>
      <c r="C676" s="33" t="s">
        <v>902</v>
      </c>
      <c r="D676" s="33" t="s">
        <v>903</v>
      </c>
      <c r="E676" s="33" t="s">
        <v>2843</v>
      </c>
      <c r="F676" s="38" t="s">
        <v>56</v>
      </c>
    </row>
    <row r="677" spans="1:6" ht="14.5" hidden="1" customHeight="1" x14ac:dyDescent="0.35">
      <c r="A677" s="33" t="s">
        <v>901</v>
      </c>
      <c r="B677" s="33" t="s">
        <v>82</v>
      </c>
      <c r="C677" s="33" t="s">
        <v>902</v>
      </c>
      <c r="D677" s="33" t="s">
        <v>904</v>
      </c>
      <c r="E677" s="33" t="s">
        <v>2861</v>
      </c>
      <c r="F677" s="38" t="s">
        <v>2740</v>
      </c>
    </row>
    <row r="678" spans="1:6" ht="14.5" hidden="1" customHeight="1" x14ac:dyDescent="0.35">
      <c r="A678" s="33" t="s">
        <v>901</v>
      </c>
      <c r="B678" s="33" t="s">
        <v>84</v>
      </c>
      <c r="C678" s="33" t="s">
        <v>902</v>
      </c>
      <c r="D678" s="33" t="s">
        <v>906</v>
      </c>
      <c r="E678" s="33" t="s">
        <v>2870</v>
      </c>
      <c r="F678" s="38" t="s">
        <v>56</v>
      </c>
    </row>
    <row r="679" spans="1:6" ht="14.5" hidden="1" customHeight="1" x14ac:dyDescent="0.35">
      <c r="A679" s="33" t="s">
        <v>901</v>
      </c>
      <c r="B679" s="33" t="s">
        <v>85</v>
      </c>
      <c r="C679" s="33" t="s">
        <v>902</v>
      </c>
      <c r="D679" s="33" t="s">
        <v>907</v>
      </c>
      <c r="E679" s="33" t="s">
        <v>2843</v>
      </c>
      <c r="F679" s="38" t="s">
        <v>56</v>
      </c>
    </row>
    <row r="680" spans="1:6" ht="14.5" hidden="1" customHeight="1" x14ac:dyDescent="0.35">
      <c r="A680" s="33" t="s">
        <v>901</v>
      </c>
      <c r="B680" s="33" t="s">
        <v>89</v>
      </c>
      <c r="C680" s="33" t="s">
        <v>902</v>
      </c>
      <c r="D680" s="33" t="s">
        <v>908</v>
      </c>
      <c r="E680" s="33" t="s">
        <v>2861</v>
      </c>
      <c r="F680" s="38" t="s">
        <v>2740</v>
      </c>
    </row>
    <row r="681" spans="1:6" ht="14.5" hidden="1" customHeight="1" x14ac:dyDescent="0.35">
      <c r="A681" s="33" t="s">
        <v>901</v>
      </c>
      <c r="B681" s="33" t="s">
        <v>88</v>
      </c>
      <c r="C681" s="33" t="s">
        <v>902</v>
      </c>
      <c r="D681" s="33" t="s">
        <v>909</v>
      </c>
      <c r="E681" s="33" t="s">
        <v>2843</v>
      </c>
      <c r="F681" s="38" t="s">
        <v>56</v>
      </c>
    </row>
    <row r="682" spans="1:6" ht="14.5" hidden="1" customHeight="1" x14ac:dyDescent="0.35">
      <c r="A682" s="33" t="s">
        <v>901</v>
      </c>
      <c r="B682" s="33" t="s">
        <v>90</v>
      </c>
      <c r="C682" s="33" t="s">
        <v>902</v>
      </c>
      <c r="D682" s="33" t="s">
        <v>910</v>
      </c>
      <c r="E682" s="33" t="s">
        <v>2859</v>
      </c>
      <c r="F682" s="38" t="s">
        <v>56</v>
      </c>
    </row>
    <row r="683" spans="1:6" ht="14.5" hidden="1" customHeight="1" x14ac:dyDescent="0.35">
      <c r="A683" s="33" t="s">
        <v>901</v>
      </c>
      <c r="B683" s="33" t="s">
        <v>91</v>
      </c>
      <c r="C683" s="33" t="s">
        <v>902</v>
      </c>
      <c r="D683" s="33" t="s">
        <v>911</v>
      </c>
      <c r="E683" s="33" t="s">
        <v>2843</v>
      </c>
      <c r="F683" s="38" t="s">
        <v>56</v>
      </c>
    </row>
    <row r="684" spans="1:6" ht="14.5" hidden="1" customHeight="1" x14ac:dyDescent="0.35">
      <c r="A684" s="33" t="s">
        <v>912</v>
      </c>
      <c r="B684" s="33" t="s">
        <v>80</v>
      </c>
      <c r="C684" s="33" t="s">
        <v>913</v>
      </c>
      <c r="D684" s="33" t="s">
        <v>914</v>
      </c>
      <c r="E684" s="33" t="s">
        <v>2843</v>
      </c>
      <c r="F684" s="38" t="s">
        <v>56</v>
      </c>
    </row>
    <row r="685" spans="1:6" ht="14.5" hidden="1" customHeight="1" x14ac:dyDescent="0.35">
      <c r="A685" s="33" t="s">
        <v>912</v>
      </c>
      <c r="B685" s="33" t="s">
        <v>82</v>
      </c>
      <c r="C685" s="33" t="s">
        <v>913</v>
      </c>
      <c r="D685" s="33" t="s">
        <v>915</v>
      </c>
      <c r="E685" s="33" t="s">
        <v>2861</v>
      </c>
      <c r="F685" s="38" t="s">
        <v>2740</v>
      </c>
    </row>
    <row r="686" spans="1:6" ht="14.5" hidden="1" customHeight="1" x14ac:dyDescent="0.35">
      <c r="A686" s="33" t="s">
        <v>912</v>
      </c>
      <c r="B686" s="33" t="s">
        <v>19</v>
      </c>
      <c r="C686" s="33" t="s">
        <v>913</v>
      </c>
      <c r="D686" s="33" t="s">
        <v>916</v>
      </c>
      <c r="E686" s="33" t="s">
        <v>2870</v>
      </c>
      <c r="F686" s="38" t="s">
        <v>56</v>
      </c>
    </row>
    <row r="687" spans="1:6" ht="14.5" hidden="1" customHeight="1" x14ac:dyDescent="0.35">
      <c r="A687" s="33" t="s">
        <v>912</v>
      </c>
      <c r="B687" s="33" t="s">
        <v>84</v>
      </c>
      <c r="C687" s="33" t="s">
        <v>913</v>
      </c>
      <c r="D687" s="33" t="s">
        <v>917</v>
      </c>
      <c r="E687" s="33" t="s">
        <v>2845</v>
      </c>
      <c r="F687" s="38" t="s">
        <v>50</v>
      </c>
    </row>
    <row r="688" spans="1:6" ht="14.5" hidden="1" customHeight="1" x14ac:dyDescent="0.35">
      <c r="A688" s="33" t="s">
        <v>912</v>
      </c>
      <c r="B688" s="33" t="s">
        <v>85</v>
      </c>
      <c r="C688" s="33" t="s">
        <v>913</v>
      </c>
      <c r="D688" s="33" t="s">
        <v>918</v>
      </c>
      <c r="E688" s="33" t="s">
        <v>2843</v>
      </c>
      <c r="F688" s="38" t="s">
        <v>56</v>
      </c>
    </row>
    <row r="689" spans="1:6" ht="14.5" hidden="1" customHeight="1" x14ac:dyDescent="0.35">
      <c r="A689" s="33" t="s">
        <v>912</v>
      </c>
      <c r="B689" s="33" t="s">
        <v>89</v>
      </c>
      <c r="C689" s="33" t="s">
        <v>913</v>
      </c>
      <c r="D689" s="33" t="s">
        <v>919</v>
      </c>
      <c r="E689" s="33" t="s">
        <v>2861</v>
      </c>
      <c r="F689" s="38" t="s">
        <v>2740</v>
      </c>
    </row>
    <row r="690" spans="1:6" ht="14.5" hidden="1" customHeight="1" x14ac:dyDescent="0.35">
      <c r="A690" s="33" t="s">
        <v>912</v>
      </c>
      <c r="B690" s="33" t="s">
        <v>88</v>
      </c>
      <c r="C690" s="33" t="s">
        <v>913</v>
      </c>
      <c r="D690" s="33" t="s">
        <v>920</v>
      </c>
      <c r="E690" s="33" t="s">
        <v>2843</v>
      </c>
      <c r="F690" s="38" t="s">
        <v>56</v>
      </c>
    </row>
    <row r="691" spans="1:6" ht="14.5" hidden="1" customHeight="1" x14ac:dyDescent="0.35">
      <c r="A691" s="33" t="s">
        <v>912</v>
      </c>
      <c r="B691" s="33" t="s">
        <v>109</v>
      </c>
      <c r="C691" s="33" t="s">
        <v>913</v>
      </c>
      <c r="D691" s="33" t="s">
        <v>921</v>
      </c>
      <c r="E691" s="33" t="s">
        <v>2845</v>
      </c>
      <c r="F691" s="38" t="s">
        <v>50</v>
      </c>
    </row>
    <row r="692" spans="1:6" ht="14.5" hidden="1" customHeight="1" x14ac:dyDescent="0.35">
      <c r="A692" s="33" t="s">
        <v>912</v>
      </c>
      <c r="B692" s="33" t="s">
        <v>90</v>
      </c>
      <c r="C692" s="33" t="s">
        <v>913</v>
      </c>
      <c r="D692" s="33" t="s">
        <v>922</v>
      </c>
      <c r="E692" s="33" t="s">
        <v>2859</v>
      </c>
      <c r="F692" s="38" t="s">
        <v>56</v>
      </c>
    </row>
    <row r="693" spans="1:6" ht="14.5" hidden="1" customHeight="1" x14ac:dyDescent="0.35">
      <c r="A693" s="33" t="s">
        <v>912</v>
      </c>
      <c r="B693" s="33" t="s">
        <v>91</v>
      </c>
      <c r="C693" s="33" t="s">
        <v>913</v>
      </c>
      <c r="D693" s="33" t="s">
        <v>920</v>
      </c>
      <c r="E693" s="33" t="s">
        <v>2843</v>
      </c>
      <c r="F693" s="38" t="s">
        <v>56</v>
      </c>
    </row>
    <row r="694" spans="1:6" ht="14.5" hidden="1" customHeight="1" x14ac:dyDescent="0.35">
      <c r="A694" s="33" t="s">
        <v>923</v>
      </c>
      <c r="B694" s="33" t="s">
        <v>80</v>
      </c>
      <c r="C694" s="33" t="s">
        <v>924</v>
      </c>
      <c r="D694" s="33" t="s">
        <v>914</v>
      </c>
      <c r="E694" s="33" t="s">
        <v>2843</v>
      </c>
      <c r="F694" s="38" t="s">
        <v>56</v>
      </c>
    </row>
    <row r="695" spans="1:6" ht="14.5" hidden="1" customHeight="1" x14ac:dyDescent="0.35">
      <c r="A695" s="33" t="s">
        <v>923</v>
      </c>
      <c r="B695" s="33" t="s">
        <v>82</v>
      </c>
      <c r="C695" s="33" t="s">
        <v>924</v>
      </c>
      <c r="D695" s="33" t="s">
        <v>915</v>
      </c>
      <c r="E695" s="33" t="s">
        <v>2861</v>
      </c>
      <c r="F695" s="38" t="s">
        <v>2740</v>
      </c>
    </row>
    <row r="696" spans="1:6" ht="14.5" hidden="1" customHeight="1" x14ac:dyDescent="0.35">
      <c r="A696" s="33" t="s">
        <v>923</v>
      </c>
      <c r="B696" s="33" t="s">
        <v>19</v>
      </c>
      <c r="C696" s="33" t="s">
        <v>924</v>
      </c>
      <c r="D696" s="33" t="s">
        <v>916</v>
      </c>
      <c r="E696" s="33" t="s">
        <v>2870</v>
      </c>
      <c r="F696" s="38" t="s">
        <v>56</v>
      </c>
    </row>
    <row r="697" spans="1:6" ht="14.5" hidden="1" customHeight="1" x14ac:dyDescent="0.35">
      <c r="A697" s="33" t="s">
        <v>923</v>
      </c>
      <c r="B697" s="33" t="s">
        <v>84</v>
      </c>
      <c r="C697" s="33" t="s">
        <v>924</v>
      </c>
      <c r="D697" s="33" t="s">
        <v>917</v>
      </c>
      <c r="E697" s="33" t="s">
        <v>2845</v>
      </c>
      <c r="F697" s="38" t="s">
        <v>50</v>
      </c>
    </row>
    <row r="698" spans="1:6" ht="14.5" hidden="1" customHeight="1" x14ac:dyDescent="0.35">
      <c r="A698" s="33" t="s">
        <v>923</v>
      </c>
      <c r="B698" s="33" t="s">
        <v>85</v>
      </c>
      <c r="C698" s="33" t="s">
        <v>924</v>
      </c>
      <c r="D698" s="33" t="s">
        <v>918</v>
      </c>
      <c r="E698" s="33" t="s">
        <v>2843</v>
      </c>
      <c r="F698" s="38" t="s">
        <v>56</v>
      </c>
    </row>
    <row r="699" spans="1:6" ht="14.5" hidden="1" customHeight="1" x14ac:dyDescent="0.35">
      <c r="A699" s="33" t="s">
        <v>923</v>
      </c>
      <c r="B699" s="33" t="s">
        <v>89</v>
      </c>
      <c r="C699" s="33" t="s">
        <v>924</v>
      </c>
      <c r="D699" s="33" t="s">
        <v>919</v>
      </c>
      <c r="E699" s="33" t="s">
        <v>2861</v>
      </c>
      <c r="F699" s="38" t="s">
        <v>2740</v>
      </c>
    </row>
    <row r="700" spans="1:6" ht="14.5" hidden="1" customHeight="1" x14ac:dyDescent="0.35">
      <c r="A700" s="33" t="s">
        <v>923</v>
      </c>
      <c r="B700" s="33" t="s">
        <v>88</v>
      </c>
      <c r="C700" s="33" t="s">
        <v>924</v>
      </c>
      <c r="D700" s="33" t="s">
        <v>920</v>
      </c>
      <c r="E700" s="33" t="s">
        <v>2843</v>
      </c>
      <c r="F700" s="38" t="s">
        <v>56</v>
      </c>
    </row>
    <row r="701" spans="1:6" ht="14.5" hidden="1" customHeight="1" x14ac:dyDescent="0.35">
      <c r="A701" s="33" t="s">
        <v>923</v>
      </c>
      <c r="B701" s="33" t="s">
        <v>109</v>
      </c>
      <c r="C701" s="33" t="s">
        <v>924</v>
      </c>
      <c r="D701" s="33" t="s">
        <v>921</v>
      </c>
      <c r="E701" s="33" t="s">
        <v>2845</v>
      </c>
      <c r="F701" s="38" t="s">
        <v>50</v>
      </c>
    </row>
    <row r="702" spans="1:6" ht="14.5" hidden="1" customHeight="1" x14ac:dyDescent="0.35">
      <c r="A702" s="33" t="s">
        <v>923</v>
      </c>
      <c r="B702" s="33" t="s">
        <v>90</v>
      </c>
      <c r="C702" s="33" t="s">
        <v>924</v>
      </c>
      <c r="D702" s="33" t="s">
        <v>922</v>
      </c>
      <c r="E702" s="33" t="s">
        <v>2859</v>
      </c>
      <c r="F702" s="38" t="s">
        <v>56</v>
      </c>
    </row>
    <row r="703" spans="1:6" ht="14.5" hidden="1" customHeight="1" x14ac:dyDescent="0.35">
      <c r="A703" s="33" t="s">
        <v>923</v>
      </c>
      <c r="B703" s="33" t="s">
        <v>91</v>
      </c>
      <c r="C703" s="33" t="s">
        <v>924</v>
      </c>
      <c r="D703" s="33" t="s">
        <v>920</v>
      </c>
      <c r="E703" s="33" t="s">
        <v>2843</v>
      </c>
      <c r="F703" s="38" t="s">
        <v>56</v>
      </c>
    </row>
    <row r="704" spans="1:6" ht="14.5" hidden="1" customHeight="1" x14ac:dyDescent="0.35">
      <c r="A704" s="33" t="s">
        <v>925</v>
      </c>
      <c r="B704" s="33" t="s">
        <v>80</v>
      </c>
      <c r="C704" s="33" t="s">
        <v>926</v>
      </c>
      <c r="D704" s="33" t="s">
        <v>927</v>
      </c>
      <c r="E704" s="33" t="s">
        <v>2865</v>
      </c>
      <c r="F704" s="38" t="s">
        <v>54</v>
      </c>
    </row>
    <row r="705" spans="1:8" ht="14.5" hidden="1" customHeight="1" x14ac:dyDescent="0.35">
      <c r="A705" s="33" t="s">
        <v>925</v>
      </c>
      <c r="B705" s="33" t="s">
        <v>82</v>
      </c>
      <c r="C705" s="33" t="s">
        <v>926</v>
      </c>
      <c r="D705" s="33" t="s">
        <v>928</v>
      </c>
      <c r="E705" s="33" t="s">
        <v>2865</v>
      </c>
      <c r="F705" s="38" t="s">
        <v>54</v>
      </c>
    </row>
    <row r="706" spans="1:8" ht="14.5" hidden="1" customHeight="1" x14ac:dyDescent="0.35">
      <c r="A706" s="33" t="s">
        <v>929</v>
      </c>
      <c r="B706" s="33" t="s">
        <v>93</v>
      </c>
      <c r="C706" s="33" t="s">
        <v>930</v>
      </c>
      <c r="D706" s="33" t="s">
        <v>931</v>
      </c>
      <c r="E706" s="33" t="s">
        <v>2869</v>
      </c>
      <c r="F706" s="38" t="s">
        <v>132</v>
      </c>
    </row>
    <row r="707" spans="1:8" ht="14.5" hidden="1" customHeight="1" x14ac:dyDescent="0.35">
      <c r="A707" s="33" t="s">
        <v>929</v>
      </c>
      <c r="B707" s="33" t="s">
        <v>96</v>
      </c>
      <c r="C707" s="33" t="s">
        <v>930</v>
      </c>
      <c r="D707" s="33" t="s">
        <v>932</v>
      </c>
      <c r="E707" s="33" t="s">
        <v>2844</v>
      </c>
      <c r="F707" s="38" t="s">
        <v>48</v>
      </c>
    </row>
    <row r="708" spans="1:8" ht="14.5" hidden="1" customHeight="1" x14ac:dyDescent="0.35">
      <c r="A708" s="33" t="s">
        <v>929</v>
      </c>
      <c r="B708" s="33" t="s">
        <v>97</v>
      </c>
      <c r="C708" s="33" t="s">
        <v>930</v>
      </c>
      <c r="D708" s="33" t="s">
        <v>933</v>
      </c>
      <c r="E708" s="33" t="s">
        <v>2839</v>
      </c>
      <c r="F708" s="38" t="s">
        <v>48</v>
      </c>
    </row>
    <row r="709" spans="1:8" ht="14.5" hidden="1" customHeight="1" x14ac:dyDescent="0.35">
      <c r="A709" s="33" t="s">
        <v>929</v>
      </c>
      <c r="B709" s="33" t="s">
        <v>101</v>
      </c>
      <c r="C709" s="33" t="s">
        <v>930</v>
      </c>
      <c r="D709" s="33" t="s">
        <v>934</v>
      </c>
      <c r="E709" s="33" t="s">
        <v>2869</v>
      </c>
      <c r="F709" s="38" t="s">
        <v>132</v>
      </c>
    </row>
    <row r="710" spans="1:8" ht="14.5" hidden="1" customHeight="1" x14ac:dyDescent="0.35">
      <c r="A710" s="33" t="s">
        <v>929</v>
      </c>
      <c r="B710" s="33" t="s">
        <v>102</v>
      </c>
      <c r="C710" s="33" t="s">
        <v>930</v>
      </c>
      <c r="D710" s="33" t="s">
        <v>935</v>
      </c>
      <c r="E710" s="33" t="s">
        <v>2869</v>
      </c>
      <c r="F710" s="38" t="s">
        <v>132</v>
      </c>
    </row>
    <row r="711" spans="1:8" ht="14.5" hidden="1" customHeight="1" x14ac:dyDescent="0.35">
      <c r="A711" s="33" t="s">
        <v>936</v>
      </c>
      <c r="B711" s="33" t="s">
        <v>94</v>
      </c>
      <c r="C711" s="33" t="s">
        <v>937</v>
      </c>
      <c r="D711" s="33" t="s">
        <v>938</v>
      </c>
      <c r="E711" s="33" t="s">
        <v>2871</v>
      </c>
      <c r="F711" s="38" t="s">
        <v>54</v>
      </c>
    </row>
    <row r="712" spans="1:8" ht="14.5" hidden="1" customHeight="1" x14ac:dyDescent="0.35">
      <c r="A712" s="33" t="s">
        <v>936</v>
      </c>
      <c r="B712" s="33" t="s">
        <v>95</v>
      </c>
      <c r="C712" s="33" t="s">
        <v>937</v>
      </c>
      <c r="D712" s="33" t="s">
        <v>939</v>
      </c>
      <c r="E712" s="33" t="s">
        <v>2871</v>
      </c>
      <c r="F712" s="38" t="s">
        <v>54</v>
      </c>
    </row>
    <row r="713" spans="1:8" ht="14.5" hidden="1" customHeight="1" x14ac:dyDescent="0.35">
      <c r="A713" s="33" t="s">
        <v>936</v>
      </c>
      <c r="B713" s="33" t="s">
        <v>96</v>
      </c>
      <c r="C713" s="33" t="s">
        <v>937</v>
      </c>
      <c r="D713" s="33" t="s">
        <v>940</v>
      </c>
      <c r="E713" s="33" t="s">
        <v>2847</v>
      </c>
      <c r="F713" s="38" t="s">
        <v>54</v>
      </c>
      <c r="H713" s="33"/>
    </row>
    <row r="714" spans="1:8" ht="14.5" hidden="1" customHeight="1" x14ac:dyDescent="0.35">
      <c r="A714" s="33" t="s">
        <v>936</v>
      </c>
      <c r="B714" s="33" t="s">
        <v>97</v>
      </c>
      <c r="C714" s="33" t="s">
        <v>937</v>
      </c>
      <c r="D714" s="33" t="s">
        <v>941</v>
      </c>
      <c r="E714" s="33" t="s">
        <v>2859</v>
      </c>
      <c r="F714" s="38" t="s">
        <v>56</v>
      </c>
    </row>
    <row r="715" spans="1:8" ht="14.5" hidden="1" customHeight="1" x14ac:dyDescent="0.35">
      <c r="A715" s="33" t="s">
        <v>942</v>
      </c>
      <c r="B715" s="33" t="s">
        <v>80</v>
      </c>
      <c r="C715" s="33" t="s">
        <v>943</v>
      </c>
      <c r="D715" s="33" t="s">
        <v>944</v>
      </c>
      <c r="E715" s="33" t="s">
        <v>2843</v>
      </c>
      <c r="F715" s="38" t="s">
        <v>56</v>
      </c>
    </row>
    <row r="716" spans="1:8" ht="14.5" hidden="1" customHeight="1" x14ac:dyDescent="0.35">
      <c r="A716" s="33" t="s">
        <v>942</v>
      </c>
      <c r="B716" s="33" t="s">
        <v>82</v>
      </c>
      <c r="C716" s="33" t="s">
        <v>943</v>
      </c>
      <c r="D716" s="33" t="s">
        <v>945</v>
      </c>
      <c r="E716" s="33" t="s">
        <v>2845</v>
      </c>
      <c r="F716" s="38" t="s">
        <v>50</v>
      </c>
    </row>
    <row r="717" spans="1:8" ht="14.5" hidden="1" customHeight="1" x14ac:dyDescent="0.35">
      <c r="A717" s="33" t="s">
        <v>942</v>
      </c>
      <c r="B717" s="33" t="s">
        <v>215</v>
      </c>
      <c r="C717" s="33" t="s">
        <v>943</v>
      </c>
      <c r="D717" s="33" t="s">
        <v>946</v>
      </c>
      <c r="E717" s="33" t="s">
        <v>2845</v>
      </c>
      <c r="F717" s="38" t="s">
        <v>50</v>
      </c>
    </row>
    <row r="718" spans="1:8" ht="14.5" hidden="1" customHeight="1" x14ac:dyDescent="0.35">
      <c r="A718" s="33" t="s">
        <v>942</v>
      </c>
      <c r="B718" s="33" t="s">
        <v>19</v>
      </c>
      <c r="C718" s="33" t="s">
        <v>943</v>
      </c>
      <c r="D718" s="33" t="s">
        <v>947</v>
      </c>
      <c r="E718" s="33" t="s">
        <v>2845</v>
      </c>
      <c r="F718" s="38" t="s">
        <v>50</v>
      </c>
    </row>
    <row r="719" spans="1:8" ht="14.5" hidden="1" customHeight="1" x14ac:dyDescent="0.35">
      <c r="A719" s="33" t="s">
        <v>942</v>
      </c>
      <c r="B719" s="33" t="s">
        <v>84</v>
      </c>
      <c r="C719" s="33" t="s">
        <v>943</v>
      </c>
      <c r="D719" s="33" t="s">
        <v>948</v>
      </c>
      <c r="E719" s="33" t="s">
        <v>2843</v>
      </c>
      <c r="F719" s="38" t="s">
        <v>56</v>
      </c>
    </row>
    <row r="720" spans="1:8" ht="14.5" hidden="1" customHeight="1" x14ac:dyDescent="0.35">
      <c r="A720" s="33" t="s">
        <v>949</v>
      </c>
      <c r="B720" s="33" t="s">
        <v>80</v>
      </c>
      <c r="C720" s="33" t="s">
        <v>950</v>
      </c>
      <c r="D720" s="33" t="s">
        <v>944</v>
      </c>
      <c r="E720" s="33" t="s">
        <v>2843</v>
      </c>
      <c r="F720" s="38" t="s">
        <v>56</v>
      </c>
    </row>
    <row r="721" spans="1:6" ht="14.5" hidden="1" customHeight="1" x14ac:dyDescent="0.35">
      <c r="A721" s="33" t="s">
        <v>949</v>
      </c>
      <c r="B721" s="33" t="s">
        <v>82</v>
      </c>
      <c r="C721" s="33" t="s">
        <v>950</v>
      </c>
      <c r="D721" s="33" t="s">
        <v>945</v>
      </c>
      <c r="E721" s="33" t="s">
        <v>2845</v>
      </c>
      <c r="F721" s="38" t="s">
        <v>50</v>
      </c>
    </row>
    <row r="722" spans="1:6" ht="14.5" hidden="1" customHeight="1" x14ac:dyDescent="0.35">
      <c r="A722" s="33" t="s">
        <v>949</v>
      </c>
      <c r="B722" s="33" t="s">
        <v>215</v>
      </c>
      <c r="C722" s="33" t="s">
        <v>950</v>
      </c>
      <c r="D722" s="33" t="s">
        <v>946</v>
      </c>
      <c r="E722" s="33" t="s">
        <v>2845</v>
      </c>
      <c r="F722" s="38" t="s">
        <v>50</v>
      </c>
    </row>
    <row r="723" spans="1:6" ht="14.5" hidden="1" customHeight="1" x14ac:dyDescent="0.35">
      <c r="A723" s="33" t="s">
        <v>949</v>
      </c>
      <c r="B723" s="33" t="s">
        <v>19</v>
      </c>
      <c r="C723" s="33" t="s">
        <v>950</v>
      </c>
      <c r="D723" s="33" t="s">
        <v>947</v>
      </c>
      <c r="E723" s="33" t="s">
        <v>2845</v>
      </c>
      <c r="F723" s="38" t="s">
        <v>50</v>
      </c>
    </row>
    <row r="724" spans="1:6" ht="14.5" hidden="1" customHeight="1" x14ac:dyDescent="0.35">
      <c r="A724" s="33" t="s">
        <v>949</v>
      </c>
      <c r="B724" s="33" t="s">
        <v>84</v>
      </c>
      <c r="C724" s="33" t="s">
        <v>950</v>
      </c>
      <c r="D724" s="33" t="s">
        <v>948</v>
      </c>
      <c r="E724" s="33" t="s">
        <v>2843</v>
      </c>
      <c r="F724" s="38" t="s">
        <v>56</v>
      </c>
    </row>
    <row r="725" spans="1:6" ht="14.5" hidden="1" customHeight="1" x14ac:dyDescent="0.35">
      <c r="A725" s="33" t="s">
        <v>951</v>
      </c>
      <c r="B725" s="33" t="s">
        <v>80</v>
      </c>
      <c r="C725" s="33" t="s">
        <v>952</v>
      </c>
      <c r="D725" s="33" t="s">
        <v>953</v>
      </c>
      <c r="E725" s="33" t="s">
        <v>2861</v>
      </c>
      <c r="F725" s="38" t="s">
        <v>2740</v>
      </c>
    </row>
    <row r="726" spans="1:6" ht="14.5" hidden="1" customHeight="1" x14ac:dyDescent="0.35">
      <c r="A726" s="33" t="s">
        <v>951</v>
      </c>
      <c r="B726" s="33" t="s">
        <v>83</v>
      </c>
      <c r="C726" s="33" t="s">
        <v>952</v>
      </c>
      <c r="D726" s="33" t="s">
        <v>954</v>
      </c>
      <c r="E726" s="33" t="s">
        <v>2870</v>
      </c>
      <c r="F726" s="38" t="s">
        <v>56</v>
      </c>
    </row>
    <row r="727" spans="1:6" ht="14.5" hidden="1" customHeight="1" x14ac:dyDescent="0.35">
      <c r="A727" s="33" t="s">
        <v>951</v>
      </c>
      <c r="B727" s="33" t="s">
        <v>215</v>
      </c>
      <c r="C727" s="33" t="s">
        <v>952</v>
      </c>
      <c r="D727" s="33" t="s">
        <v>955</v>
      </c>
      <c r="E727" s="33" t="s">
        <v>2859</v>
      </c>
      <c r="F727" s="38" t="s">
        <v>56</v>
      </c>
    </row>
    <row r="728" spans="1:6" ht="14.5" hidden="1" customHeight="1" x14ac:dyDescent="0.35">
      <c r="A728" s="33" t="s">
        <v>951</v>
      </c>
      <c r="B728" s="33" t="s">
        <v>337</v>
      </c>
      <c r="C728" s="33" t="s">
        <v>952</v>
      </c>
      <c r="D728" s="33" t="s">
        <v>956</v>
      </c>
      <c r="E728" s="33" t="s">
        <v>2845</v>
      </c>
      <c r="F728" s="38" t="s">
        <v>50</v>
      </c>
    </row>
    <row r="729" spans="1:6" ht="14.5" hidden="1" customHeight="1" x14ac:dyDescent="0.35">
      <c r="A729" s="33" t="s">
        <v>951</v>
      </c>
      <c r="B729" s="33" t="s">
        <v>19</v>
      </c>
      <c r="C729" s="33" t="s">
        <v>952</v>
      </c>
      <c r="D729" s="33" t="s">
        <v>957</v>
      </c>
      <c r="E729" s="33" t="s">
        <v>2876</v>
      </c>
      <c r="F729" s="38" t="s">
        <v>50</v>
      </c>
    </row>
    <row r="730" spans="1:6" ht="14.5" hidden="1" customHeight="1" x14ac:dyDescent="0.35">
      <c r="A730" s="33" t="s">
        <v>951</v>
      </c>
      <c r="B730" s="33" t="s">
        <v>84</v>
      </c>
      <c r="C730" s="33" t="s">
        <v>952</v>
      </c>
      <c r="D730" s="33" t="s">
        <v>958</v>
      </c>
      <c r="E730" s="33" t="s">
        <v>2861</v>
      </c>
      <c r="F730" s="38" t="s">
        <v>2740</v>
      </c>
    </row>
    <row r="731" spans="1:6" ht="14.5" hidden="1" customHeight="1" x14ac:dyDescent="0.35">
      <c r="A731" s="33" t="s">
        <v>959</v>
      </c>
      <c r="B731" s="33" t="s">
        <v>80</v>
      </c>
      <c r="C731" s="33" t="s">
        <v>960</v>
      </c>
      <c r="D731" s="33" t="s">
        <v>953</v>
      </c>
      <c r="E731" s="33" t="s">
        <v>2861</v>
      </c>
      <c r="F731" s="38" t="s">
        <v>2740</v>
      </c>
    </row>
    <row r="732" spans="1:6" ht="14.5" hidden="1" customHeight="1" x14ac:dyDescent="0.35">
      <c r="A732" s="33" t="s">
        <v>959</v>
      </c>
      <c r="B732" s="33" t="s">
        <v>83</v>
      </c>
      <c r="C732" s="33" t="s">
        <v>960</v>
      </c>
      <c r="D732" s="33" t="s">
        <v>954</v>
      </c>
      <c r="E732" s="33" t="s">
        <v>2870</v>
      </c>
      <c r="F732" s="38" t="s">
        <v>56</v>
      </c>
    </row>
    <row r="733" spans="1:6" ht="14.5" hidden="1" customHeight="1" x14ac:dyDescent="0.35">
      <c r="A733" s="33" t="s">
        <v>959</v>
      </c>
      <c r="B733" s="33" t="s">
        <v>215</v>
      </c>
      <c r="C733" s="33" t="s">
        <v>960</v>
      </c>
      <c r="D733" s="33" t="s">
        <v>955</v>
      </c>
      <c r="E733" s="33" t="s">
        <v>2859</v>
      </c>
      <c r="F733" s="38" t="s">
        <v>56</v>
      </c>
    </row>
    <row r="734" spans="1:6" ht="14.5" hidden="1" customHeight="1" x14ac:dyDescent="0.35">
      <c r="A734" s="33" t="s">
        <v>959</v>
      </c>
      <c r="B734" s="33" t="s">
        <v>337</v>
      </c>
      <c r="C734" s="33" t="s">
        <v>960</v>
      </c>
      <c r="D734" s="33" t="s">
        <v>956</v>
      </c>
      <c r="E734" s="33" t="s">
        <v>2845</v>
      </c>
      <c r="F734" s="38" t="s">
        <v>50</v>
      </c>
    </row>
    <row r="735" spans="1:6" ht="14.5" hidden="1" customHeight="1" x14ac:dyDescent="0.35">
      <c r="A735" s="33" t="s">
        <v>959</v>
      </c>
      <c r="B735" s="33" t="s">
        <v>19</v>
      </c>
      <c r="C735" s="33" t="s">
        <v>960</v>
      </c>
      <c r="D735" s="33" t="s">
        <v>957</v>
      </c>
      <c r="E735" s="33" t="s">
        <v>2876</v>
      </c>
      <c r="F735" s="38" t="s">
        <v>50</v>
      </c>
    </row>
    <row r="736" spans="1:6" ht="14.5" hidden="1" customHeight="1" x14ac:dyDescent="0.35">
      <c r="A736" s="33" t="s">
        <v>959</v>
      </c>
      <c r="B736" s="33" t="s">
        <v>84</v>
      </c>
      <c r="C736" s="33" t="s">
        <v>960</v>
      </c>
      <c r="D736" s="33" t="s">
        <v>958</v>
      </c>
      <c r="E736" s="33" t="s">
        <v>2861</v>
      </c>
      <c r="F736" s="38" t="s">
        <v>2740</v>
      </c>
    </row>
    <row r="737" spans="1:6" ht="14.5" hidden="1" customHeight="1" x14ac:dyDescent="0.35">
      <c r="A737" s="33" t="s">
        <v>963</v>
      </c>
      <c r="B737" s="33" t="s">
        <v>80</v>
      </c>
      <c r="C737" s="33" t="s">
        <v>964</v>
      </c>
      <c r="D737" s="33" t="s">
        <v>965</v>
      </c>
      <c r="E737" s="33" t="s">
        <v>2861</v>
      </c>
      <c r="F737" s="38" t="s">
        <v>2740</v>
      </c>
    </row>
    <row r="738" spans="1:6" ht="14.5" hidden="1" customHeight="1" x14ac:dyDescent="0.35">
      <c r="A738" s="33" t="s">
        <v>963</v>
      </c>
      <c r="B738" s="33" t="s">
        <v>19</v>
      </c>
      <c r="C738" s="33" t="s">
        <v>964</v>
      </c>
      <c r="D738" s="33" t="s">
        <v>966</v>
      </c>
      <c r="E738" s="33" t="s">
        <v>2870</v>
      </c>
      <c r="F738" s="38" t="s">
        <v>56</v>
      </c>
    </row>
    <row r="739" spans="1:6" ht="14.5" hidden="1" customHeight="1" x14ac:dyDescent="0.35">
      <c r="A739" s="33" t="s">
        <v>963</v>
      </c>
      <c r="B739" s="33" t="s">
        <v>84</v>
      </c>
      <c r="C739" s="33" t="s">
        <v>964</v>
      </c>
      <c r="D739" s="33" t="s">
        <v>967</v>
      </c>
      <c r="E739" s="33" t="s">
        <v>2869</v>
      </c>
      <c r="F739" s="38" t="s">
        <v>132</v>
      </c>
    </row>
    <row r="740" spans="1:6" ht="14.5" hidden="1" customHeight="1" x14ac:dyDescent="0.35">
      <c r="A740" s="33" t="s">
        <v>963</v>
      </c>
      <c r="B740" s="33" t="s">
        <v>85</v>
      </c>
      <c r="C740" s="33" t="s">
        <v>964</v>
      </c>
      <c r="D740" s="33" t="s">
        <v>968</v>
      </c>
      <c r="E740" s="33" t="s">
        <v>2861</v>
      </c>
      <c r="F740" s="38" t="s">
        <v>2740</v>
      </c>
    </row>
    <row r="741" spans="1:6" ht="14.5" hidden="1" customHeight="1" x14ac:dyDescent="0.35">
      <c r="A741" s="33" t="s">
        <v>963</v>
      </c>
      <c r="B741" s="33" t="s">
        <v>86</v>
      </c>
      <c r="C741" s="33" t="s">
        <v>964</v>
      </c>
      <c r="D741" s="33" t="s">
        <v>969</v>
      </c>
      <c r="E741" s="33" t="s">
        <v>2859</v>
      </c>
      <c r="F741" s="38" t="s">
        <v>56</v>
      </c>
    </row>
    <row r="742" spans="1:6" ht="14.5" hidden="1" customHeight="1" x14ac:dyDescent="0.35">
      <c r="A742" s="33" t="s">
        <v>970</v>
      </c>
      <c r="B742" s="33" t="s">
        <v>80</v>
      </c>
      <c r="C742" s="33" t="s">
        <v>971</v>
      </c>
      <c r="D742" s="33" t="s">
        <v>965</v>
      </c>
      <c r="E742" s="33" t="s">
        <v>2861</v>
      </c>
      <c r="F742" s="38" t="s">
        <v>2740</v>
      </c>
    </row>
    <row r="743" spans="1:6" ht="14.5" hidden="1" customHeight="1" x14ac:dyDescent="0.35">
      <c r="A743" s="33" t="s">
        <v>970</v>
      </c>
      <c r="B743" s="33" t="s">
        <v>19</v>
      </c>
      <c r="C743" s="33" t="s">
        <v>971</v>
      </c>
      <c r="D743" s="33" t="s">
        <v>966</v>
      </c>
      <c r="E743" s="33" t="s">
        <v>2870</v>
      </c>
      <c r="F743" s="38" t="s">
        <v>56</v>
      </c>
    </row>
    <row r="744" spans="1:6" ht="14.5" hidden="1" customHeight="1" x14ac:dyDescent="0.35">
      <c r="A744" s="33" t="s">
        <v>970</v>
      </c>
      <c r="B744" s="33" t="s">
        <v>85</v>
      </c>
      <c r="C744" s="33" t="s">
        <v>971</v>
      </c>
      <c r="D744" s="33" t="s">
        <v>968</v>
      </c>
      <c r="E744" s="33" t="s">
        <v>2861</v>
      </c>
      <c r="F744" s="38" t="s">
        <v>2740</v>
      </c>
    </row>
    <row r="745" spans="1:6" ht="14.5" hidden="1" customHeight="1" x14ac:dyDescent="0.35">
      <c r="A745" s="33" t="s">
        <v>970</v>
      </c>
      <c r="B745" s="33" t="s">
        <v>86</v>
      </c>
      <c r="C745" s="33" t="s">
        <v>971</v>
      </c>
      <c r="D745" s="33" t="s">
        <v>969</v>
      </c>
      <c r="E745" s="33" t="s">
        <v>2859</v>
      </c>
      <c r="F745" s="38" t="s">
        <v>56</v>
      </c>
    </row>
    <row r="746" spans="1:6" ht="14.5" hidden="1" customHeight="1" x14ac:dyDescent="0.35">
      <c r="A746" s="33" t="s">
        <v>972</v>
      </c>
      <c r="B746" s="33" t="s">
        <v>80</v>
      </c>
      <c r="C746" s="33" t="s">
        <v>973</v>
      </c>
      <c r="D746" s="33" t="s">
        <v>974</v>
      </c>
      <c r="E746" s="33" t="s">
        <v>2845</v>
      </c>
      <c r="F746" s="38" t="s">
        <v>50</v>
      </c>
    </row>
    <row r="747" spans="1:6" ht="14.5" hidden="1" customHeight="1" x14ac:dyDescent="0.35">
      <c r="A747" s="33" t="s">
        <v>972</v>
      </c>
      <c r="B747" s="33" t="s">
        <v>83</v>
      </c>
      <c r="C747" s="33" t="s">
        <v>973</v>
      </c>
      <c r="D747" s="33" t="s">
        <v>975</v>
      </c>
      <c r="E747" s="33" t="s">
        <v>2854</v>
      </c>
      <c r="F747" s="38" t="s">
        <v>50</v>
      </c>
    </row>
    <row r="748" spans="1:6" ht="14.5" hidden="1" customHeight="1" x14ac:dyDescent="0.35">
      <c r="A748" s="33" t="s">
        <v>972</v>
      </c>
      <c r="B748" s="33" t="s">
        <v>84</v>
      </c>
      <c r="C748" s="33" t="s">
        <v>973</v>
      </c>
      <c r="D748" s="33" t="s">
        <v>976</v>
      </c>
      <c r="E748" s="33" t="s">
        <v>2859</v>
      </c>
      <c r="F748" s="38" t="s">
        <v>56</v>
      </c>
    </row>
    <row r="749" spans="1:6" ht="14.5" hidden="1" customHeight="1" x14ac:dyDescent="0.35">
      <c r="A749" s="33" t="s">
        <v>972</v>
      </c>
      <c r="B749" s="33" t="s">
        <v>85</v>
      </c>
      <c r="C749" s="33" t="s">
        <v>973</v>
      </c>
      <c r="D749" s="33" t="s">
        <v>977</v>
      </c>
      <c r="E749" s="33" t="s">
        <v>2845</v>
      </c>
      <c r="F749" s="38" t="s">
        <v>50</v>
      </c>
    </row>
    <row r="750" spans="1:6" ht="14.5" hidden="1" customHeight="1" x14ac:dyDescent="0.35">
      <c r="A750" s="33" t="s">
        <v>972</v>
      </c>
      <c r="B750" s="33" t="s">
        <v>89</v>
      </c>
      <c r="C750" s="33" t="s">
        <v>973</v>
      </c>
      <c r="D750" s="33" t="s">
        <v>978</v>
      </c>
      <c r="E750" s="33" t="s">
        <v>2859</v>
      </c>
      <c r="F750" s="38" t="s">
        <v>56</v>
      </c>
    </row>
    <row r="751" spans="1:6" ht="14.5" hidden="1" customHeight="1" x14ac:dyDescent="0.35">
      <c r="A751" s="33" t="s">
        <v>979</v>
      </c>
      <c r="B751" s="33" t="s">
        <v>80</v>
      </c>
      <c r="C751" s="33" t="s">
        <v>980</v>
      </c>
      <c r="D751" s="33" t="s">
        <v>974</v>
      </c>
      <c r="E751" s="33" t="s">
        <v>2845</v>
      </c>
      <c r="F751" s="38" t="s">
        <v>50</v>
      </c>
    </row>
    <row r="752" spans="1:6" ht="14.5" hidden="1" customHeight="1" x14ac:dyDescent="0.35">
      <c r="A752" s="33" t="s">
        <v>979</v>
      </c>
      <c r="B752" s="33" t="s">
        <v>83</v>
      </c>
      <c r="C752" s="33" t="s">
        <v>980</v>
      </c>
      <c r="D752" s="33" t="s">
        <v>975</v>
      </c>
      <c r="E752" s="33" t="s">
        <v>2854</v>
      </c>
      <c r="F752" s="38" t="s">
        <v>50</v>
      </c>
    </row>
    <row r="753" spans="1:6" ht="14.5" hidden="1" customHeight="1" x14ac:dyDescent="0.35">
      <c r="A753" s="33" t="s">
        <v>979</v>
      </c>
      <c r="B753" s="33" t="s">
        <v>84</v>
      </c>
      <c r="C753" s="33" t="s">
        <v>980</v>
      </c>
      <c r="D753" s="33" t="s">
        <v>976</v>
      </c>
      <c r="E753" s="33" t="s">
        <v>2859</v>
      </c>
      <c r="F753" s="38" t="s">
        <v>56</v>
      </c>
    </row>
    <row r="754" spans="1:6" ht="14.5" hidden="1" customHeight="1" x14ac:dyDescent="0.35">
      <c r="A754" s="33" t="s">
        <v>979</v>
      </c>
      <c r="B754" s="33" t="s">
        <v>85</v>
      </c>
      <c r="C754" s="33" t="s">
        <v>980</v>
      </c>
      <c r="D754" s="33" t="s">
        <v>977</v>
      </c>
      <c r="E754" s="33" t="s">
        <v>2845</v>
      </c>
      <c r="F754" s="38" t="s">
        <v>50</v>
      </c>
    </row>
    <row r="755" spans="1:6" ht="14.5" hidden="1" customHeight="1" x14ac:dyDescent="0.35">
      <c r="A755" s="33" t="s">
        <v>979</v>
      </c>
      <c r="B755" s="33" t="s">
        <v>89</v>
      </c>
      <c r="C755" s="33" t="s">
        <v>980</v>
      </c>
      <c r="D755" s="33" t="s">
        <v>978</v>
      </c>
      <c r="E755" s="33" t="s">
        <v>2859</v>
      </c>
      <c r="F755" s="38" t="s">
        <v>56</v>
      </c>
    </row>
    <row r="756" spans="1:6" ht="14.5" hidden="1" customHeight="1" x14ac:dyDescent="0.35">
      <c r="A756" s="33" t="s">
        <v>981</v>
      </c>
      <c r="B756" s="33" t="s">
        <v>80</v>
      </c>
      <c r="C756" s="33" t="s">
        <v>982</v>
      </c>
      <c r="D756" s="33" t="s">
        <v>983</v>
      </c>
      <c r="E756" s="33" t="s">
        <v>2861</v>
      </c>
      <c r="F756" s="38" t="s">
        <v>2740</v>
      </c>
    </row>
    <row r="757" spans="1:6" ht="14.5" hidden="1" customHeight="1" x14ac:dyDescent="0.35">
      <c r="A757" s="33" t="s">
        <v>981</v>
      </c>
      <c r="B757" s="33" t="s">
        <v>19</v>
      </c>
      <c r="C757" s="33" t="s">
        <v>982</v>
      </c>
      <c r="D757" s="33" t="s">
        <v>984</v>
      </c>
      <c r="E757" s="33" t="s">
        <v>2869</v>
      </c>
      <c r="F757" s="38" t="s">
        <v>132</v>
      </c>
    </row>
    <row r="758" spans="1:6" ht="14.5" hidden="1" customHeight="1" x14ac:dyDescent="0.35">
      <c r="A758" s="33" t="s">
        <v>981</v>
      </c>
      <c r="B758" s="33" t="s">
        <v>84</v>
      </c>
      <c r="C758" s="33" t="s">
        <v>982</v>
      </c>
      <c r="D758" s="33" t="s">
        <v>985</v>
      </c>
      <c r="E758" s="33" t="s">
        <v>2861</v>
      </c>
      <c r="F758" s="38" t="s">
        <v>2740</v>
      </c>
    </row>
    <row r="759" spans="1:6" ht="14.5" hidden="1" customHeight="1" x14ac:dyDescent="0.35">
      <c r="A759" s="33" t="s">
        <v>981</v>
      </c>
      <c r="B759" s="33" t="s">
        <v>85</v>
      </c>
      <c r="C759" s="33" t="s">
        <v>982</v>
      </c>
      <c r="D759" s="33" t="s">
        <v>986</v>
      </c>
      <c r="E759" s="33" t="s">
        <v>2859</v>
      </c>
      <c r="F759" s="38" t="s">
        <v>56</v>
      </c>
    </row>
    <row r="760" spans="1:6" ht="14.5" hidden="1" customHeight="1" x14ac:dyDescent="0.35">
      <c r="A760" s="33" t="s">
        <v>987</v>
      </c>
      <c r="B760" s="33" t="s">
        <v>80</v>
      </c>
      <c r="C760" s="33" t="s">
        <v>988</v>
      </c>
      <c r="D760" s="33" t="s">
        <v>983</v>
      </c>
      <c r="E760" s="33" t="s">
        <v>2861</v>
      </c>
      <c r="F760" s="38" t="s">
        <v>2740</v>
      </c>
    </row>
    <row r="761" spans="1:6" ht="14.5" hidden="1" customHeight="1" x14ac:dyDescent="0.35">
      <c r="A761" s="33" t="s">
        <v>987</v>
      </c>
      <c r="B761" s="33" t="s">
        <v>84</v>
      </c>
      <c r="C761" s="33" t="s">
        <v>988</v>
      </c>
      <c r="D761" s="33" t="s">
        <v>985</v>
      </c>
      <c r="E761" s="33" t="s">
        <v>2861</v>
      </c>
      <c r="F761" s="38" t="s">
        <v>2740</v>
      </c>
    </row>
    <row r="762" spans="1:6" ht="14.5" hidden="1" customHeight="1" x14ac:dyDescent="0.35">
      <c r="A762" s="33" t="s">
        <v>987</v>
      </c>
      <c r="B762" s="33" t="s">
        <v>85</v>
      </c>
      <c r="C762" s="33" t="s">
        <v>988</v>
      </c>
      <c r="D762" s="33" t="s">
        <v>986</v>
      </c>
      <c r="E762" s="33" t="s">
        <v>2859</v>
      </c>
      <c r="F762" s="38" t="s">
        <v>56</v>
      </c>
    </row>
    <row r="763" spans="1:6" ht="14.5" hidden="1" customHeight="1" x14ac:dyDescent="0.35">
      <c r="A763" s="33" t="s">
        <v>996</v>
      </c>
      <c r="B763" s="33" t="s">
        <v>91</v>
      </c>
      <c r="C763" s="33" t="s">
        <v>997</v>
      </c>
      <c r="D763" s="33" t="s">
        <v>998</v>
      </c>
      <c r="E763" s="33" t="s">
        <v>2843</v>
      </c>
      <c r="F763" s="38" t="s">
        <v>56</v>
      </c>
    </row>
    <row r="764" spans="1:6" ht="14.5" customHeight="1" x14ac:dyDescent="0.35">
      <c r="A764" s="33" t="s">
        <v>996</v>
      </c>
      <c r="B764" s="33" t="s">
        <v>92</v>
      </c>
      <c r="C764" s="33" t="s">
        <v>997</v>
      </c>
      <c r="D764" s="33" t="s">
        <v>999</v>
      </c>
      <c r="E764" s="33" t="s">
        <v>2879</v>
      </c>
      <c r="F764" s="38" t="s">
        <v>1687</v>
      </c>
    </row>
    <row r="765" spans="1:6" ht="14.5" customHeight="1" x14ac:dyDescent="0.35">
      <c r="A765" s="33" t="s">
        <v>996</v>
      </c>
      <c r="B765" s="33" t="s">
        <v>95</v>
      </c>
      <c r="C765" s="33" t="s">
        <v>997</v>
      </c>
      <c r="D765" s="33" t="s">
        <v>1000</v>
      </c>
      <c r="E765" s="33" t="s">
        <v>2879</v>
      </c>
      <c r="F765" s="38" t="s">
        <v>1687</v>
      </c>
    </row>
    <row r="766" spans="1:6" ht="14.5" hidden="1" customHeight="1" x14ac:dyDescent="0.35">
      <c r="A766" s="33" t="s">
        <v>996</v>
      </c>
      <c r="B766" s="33" t="s">
        <v>97</v>
      </c>
      <c r="C766" s="33" t="s">
        <v>997</v>
      </c>
      <c r="D766" s="33" t="s">
        <v>1001</v>
      </c>
      <c r="E766" s="33" t="s">
        <v>2870</v>
      </c>
      <c r="F766" s="38" t="s">
        <v>56</v>
      </c>
    </row>
    <row r="767" spans="1:6" ht="14.5" hidden="1" customHeight="1" x14ac:dyDescent="0.35">
      <c r="A767" s="33" t="s">
        <v>996</v>
      </c>
      <c r="B767" s="33" t="s">
        <v>98</v>
      </c>
      <c r="C767" s="33" t="s">
        <v>997</v>
      </c>
      <c r="D767" s="33" t="s">
        <v>1002</v>
      </c>
      <c r="E767" s="33" t="s">
        <v>2843</v>
      </c>
      <c r="F767" s="38" t="s">
        <v>56</v>
      </c>
    </row>
    <row r="768" spans="1:6" ht="14.5" customHeight="1" x14ac:dyDescent="0.35">
      <c r="A768" s="33" t="s">
        <v>996</v>
      </c>
      <c r="B768" s="33" t="s">
        <v>99</v>
      </c>
      <c r="C768" s="33" t="s">
        <v>997</v>
      </c>
      <c r="D768" s="33" t="s">
        <v>1003</v>
      </c>
      <c r="E768" s="33" t="s">
        <v>2879</v>
      </c>
      <c r="F768" s="38" t="s">
        <v>1687</v>
      </c>
    </row>
    <row r="769" spans="1:6" ht="14.5" hidden="1" customHeight="1" x14ac:dyDescent="0.35">
      <c r="A769" s="33" t="s">
        <v>996</v>
      </c>
      <c r="B769" s="33" t="s">
        <v>100</v>
      </c>
      <c r="C769" s="33" t="s">
        <v>997</v>
      </c>
      <c r="D769" s="33" t="s">
        <v>1004</v>
      </c>
      <c r="E769" s="33" t="s">
        <v>2843</v>
      </c>
      <c r="F769" s="38" t="s">
        <v>56</v>
      </c>
    </row>
    <row r="770" spans="1:6" ht="14.5" hidden="1" customHeight="1" x14ac:dyDescent="0.35">
      <c r="A770" s="33" t="s">
        <v>996</v>
      </c>
      <c r="B770" s="33" t="s">
        <v>101</v>
      </c>
      <c r="C770" s="33" t="s">
        <v>997</v>
      </c>
      <c r="D770" s="33" t="s">
        <v>1005</v>
      </c>
      <c r="E770" s="33" t="s">
        <v>2859</v>
      </c>
      <c r="F770" s="38" t="s">
        <v>56</v>
      </c>
    </row>
    <row r="771" spans="1:6" ht="14.5" hidden="1" customHeight="1" x14ac:dyDescent="0.35">
      <c r="A771" s="33" t="s">
        <v>1006</v>
      </c>
      <c r="B771" s="33" t="s">
        <v>91</v>
      </c>
      <c r="C771" s="33" t="s">
        <v>1007</v>
      </c>
      <c r="D771" s="33" t="s">
        <v>998</v>
      </c>
      <c r="E771" s="33" t="s">
        <v>2843</v>
      </c>
      <c r="F771" s="38" t="s">
        <v>56</v>
      </c>
    </row>
    <row r="772" spans="1:6" ht="14.5" customHeight="1" x14ac:dyDescent="0.35">
      <c r="A772" s="33" t="s">
        <v>1006</v>
      </c>
      <c r="B772" s="33" t="s">
        <v>92</v>
      </c>
      <c r="C772" s="33" t="s">
        <v>1007</v>
      </c>
      <c r="D772" s="33" t="s">
        <v>999</v>
      </c>
      <c r="E772" s="33" t="s">
        <v>2879</v>
      </c>
      <c r="F772" s="38" t="s">
        <v>1687</v>
      </c>
    </row>
    <row r="773" spans="1:6" ht="14.5" customHeight="1" x14ac:dyDescent="0.35">
      <c r="A773" s="33" t="s">
        <v>1006</v>
      </c>
      <c r="B773" s="33" t="s">
        <v>95</v>
      </c>
      <c r="C773" s="33" t="s">
        <v>1007</v>
      </c>
      <c r="D773" s="33" t="s">
        <v>1000</v>
      </c>
      <c r="E773" s="33" t="s">
        <v>2879</v>
      </c>
      <c r="F773" s="38" t="s">
        <v>1687</v>
      </c>
    </row>
    <row r="774" spans="1:6" ht="14.5" hidden="1" customHeight="1" x14ac:dyDescent="0.35">
      <c r="A774" s="33" t="s">
        <v>1006</v>
      </c>
      <c r="B774" s="33" t="s">
        <v>97</v>
      </c>
      <c r="C774" s="33" t="s">
        <v>1007</v>
      </c>
      <c r="D774" s="33" t="s">
        <v>1001</v>
      </c>
      <c r="E774" s="33" t="s">
        <v>2870</v>
      </c>
      <c r="F774" s="38" t="s">
        <v>56</v>
      </c>
    </row>
    <row r="775" spans="1:6" ht="14.5" hidden="1" customHeight="1" x14ac:dyDescent="0.35">
      <c r="A775" s="33" t="s">
        <v>1006</v>
      </c>
      <c r="B775" s="33" t="s">
        <v>98</v>
      </c>
      <c r="C775" s="33" t="s">
        <v>1007</v>
      </c>
      <c r="D775" s="33" t="s">
        <v>1002</v>
      </c>
      <c r="E775" s="33" t="s">
        <v>2843</v>
      </c>
      <c r="F775" s="38" t="s">
        <v>56</v>
      </c>
    </row>
    <row r="776" spans="1:6" ht="14.5" customHeight="1" x14ac:dyDescent="0.35">
      <c r="A776" s="33" t="s">
        <v>1006</v>
      </c>
      <c r="B776" s="33" t="s">
        <v>99</v>
      </c>
      <c r="C776" s="33" t="s">
        <v>1007</v>
      </c>
      <c r="D776" s="33" t="s">
        <v>1003</v>
      </c>
      <c r="E776" s="33" t="s">
        <v>2879</v>
      </c>
      <c r="F776" s="38" t="s">
        <v>1687</v>
      </c>
    </row>
    <row r="777" spans="1:6" ht="14.5" hidden="1" customHeight="1" x14ac:dyDescent="0.35">
      <c r="A777" s="33" t="s">
        <v>1006</v>
      </c>
      <c r="B777" s="33" t="s">
        <v>100</v>
      </c>
      <c r="C777" s="33" t="s">
        <v>1007</v>
      </c>
      <c r="D777" s="33" t="s">
        <v>1004</v>
      </c>
      <c r="E777" s="33" t="s">
        <v>2843</v>
      </c>
      <c r="F777" s="38" t="s">
        <v>56</v>
      </c>
    </row>
    <row r="778" spans="1:6" ht="14.5" hidden="1" customHeight="1" x14ac:dyDescent="0.35">
      <c r="A778" s="33" t="s">
        <v>1006</v>
      </c>
      <c r="B778" s="33" t="s">
        <v>101</v>
      </c>
      <c r="C778" s="33" t="s">
        <v>1007</v>
      </c>
      <c r="D778" s="33" t="s">
        <v>1005</v>
      </c>
      <c r="E778" s="33" t="s">
        <v>2859</v>
      </c>
      <c r="F778" s="38" t="s">
        <v>56</v>
      </c>
    </row>
    <row r="779" spans="1:6" ht="14.5" hidden="1" customHeight="1" x14ac:dyDescent="0.35">
      <c r="A779" s="33" t="s">
        <v>1008</v>
      </c>
      <c r="B779" s="33" t="s">
        <v>91</v>
      </c>
      <c r="C779" s="33" t="s">
        <v>1009</v>
      </c>
      <c r="D779" s="33" t="s">
        <v>998</v>
      </c>
      <c r="E779" s="33" t="s">
        <v>2843</v>
      </c>
      <c r="F779" s="38" t="s">
        <v>56</v>
      </c>
    </row>
    <row r="780" spans="1:6" ht="14.5" customHeight="1" x14ac:dyDescent="0.35">
      <c r="A780" s="33" t="s">
        <v>1008</v>
      </c>
      <c r="B780" s="33" t="s">
        <v>92</v>
      </c>
      <c r="C780" s="33" t="s">
        <v>1009</v>
      </c>
      <c r="D780" s="33" t="s">
        <v>999</v>
      </c>
      <c r="E780" s="33" t="s">
        <v>2879</v>
      </c>
      <c r="F780" s="38" t="s">
        <v>1687</v>
      </c>
    </row>
    <row r="781" spans="1:6" ht="14.5" customHeight="1" x14ac:dyDescent="0.35">
      <c r="A781" s="33" t="s">
        <v>1008</v>
      </c>
      <c r="B781" s="33" t="s">
        <v>95</v>
      </c>
      <c r="C781" s="33" t="s">
        <v>1009</v>
      </c>
      <c r="D781" s="33" t="s">
        <v>1000</v>
      </c>
      <c r="E781" s="33" t="s">
        <v>2879</v>
      </c>
      <c r="F781" s="38" t="s">
        <v>1687</v>
      </c>
    </row>
    <row r="782" spans="1:6" ht="14.5" hidden="1" customHeight="1" x14ac:dyDescent="0.35">
      <c r="A782" s="33" t="s">
        <v>1008</v>
      </c>
      <c r="B782" s="33" t="s">
        <v>97</v>
      </c>
      <c r="C782" s="33" t="s">
        <v>1009</v>
      </c>
      <c r="D782" s="33" t="s">
        <v>1001</v>
      </c>
      <c r="E782" s="33" t="s">
        <v>2870</v>
      </c>
      <c r="F782" s="38" t="s">
        <v>56</v>
      </c>
    </row>
    <row r="783" spans="1:6" ht="14.5" hidden="1" customHeight="1" x14ac:dyDescent="0.35">
      <c r="A783" s="33" t="s">
        <v>1008</v>
      </c>
      <c r="B783" s="33" t="s">
        <v>98</v>
      </c>
      <c r="C783" s="33" t="s">
        <v>1009</v>
      </c>
      <c r="D783" s="33" t="s">
        <v>1002</v>
      </c>
      <c r="E783" s="33" t="s">
        <v>2843</v>
      </c>
      <c r="F783" s="38" t="s">
        <v>56</v>
      </c>
    </row>
    <row r="784" spans="1:6" ht="14.5" customHeight="1" x14ac:dyDescent="0.35">
      <c r="A784" s="33" t="s">
        <v>1008</v>
      </c>
      <c r="B784" s="33" t="s">
        <v>99</v>
      </c>
      <c r="C784" s="33" t="s">
        <v>1009</v>
      </c>
      <c r="D784" s="33" t="s">
        <v>1003</v>
      </c>
      <c r="E784" s="33" t="s">
        <v>2879</v>
      </c>
      <c r="F784" s="38" t="s">
        <v>1687</v>
      </c>
    </row>
    <row r="785" spans="1:6" ht="14.5" hidden="1" customHeight="1" x14ac:dyDescent="0.35">
      <c r="A785" s="33" t="s">
        <v>1008</v>
      </c>
      <c r="B785" s="33" t="s">
        <v>100</v>
      </c>
      <c r="C785" s="33" t="s">
        <v>1009</v>
      </c>
      <c r="D785" s="33" t="s">
        <v>1004</v>
      </c>
      <c r="E785" s="33" t="s">
        <v>2843</v>
      </c>
      <c r="F785" s="38" t="s">
        <v>56</v>
      </c>
    </row>
    <row r="786" spans="1:6" ht="14.5" hidden="1" customHeight="1" x14ac:dyDescent="0.35">
      <c r="A786" s="33" t="s">
        <v>1008</v>
      </c>
      <c r="B786" s="33" t="s">
        <v>101</v>
      </c>
      <c r="C786" s="33" t="s">
        <v>1009</v>
      </c>
      <c r="D786" s="33" t="s">
        <v>1005</v>
      </c>
      <c r="E786" s="33" t="s">
        <v>2859</v>
      </c>
      <c r="F786" s="38" t="s">
        <v>56</v>
      </c>
    </row>
    <row r="787" spans="1:6" ht="14.5" hidden="1" customHeight="1" x14ac:dyDescent="0.35">
      <c r="A787" s="33" t="s">
        <v>1010</v>
      </c>
      <c r="B787" s="33" t="s">
        <v>91</v>
      </c>
      <c r="C787" s="33" t="s">
        <v>1011</v>
      </c>
      <c r="D787" s="33" t="s">
        <v>998</v>
      </c>
      <c r="E787" s="33" t="s">
        <v>2843</v>
      </c>
      <c r="F787" s="38" t="s">
        <v>56</v>
      </c>
    </row>
    <row r="788" spans="1:6" ht="14.5" customHeight="1" x14ac:dyDescent="0.35">
      <c r="A788" s="33" t="s">
        <v>1010</v>
      </c>
      <c r="B788" s="33" t="s">
        <v>92</v>
      </c>
      <c r="C788" s="33" t="s">
        <v>1011</v>
      </c>
      <c r="D788" s="33" t="s">
        <v>999</v>
      </c>
      <c r="E788" s="33" t="s">
        <v>2879</v>
      </c>
      <c r="F788" s="38" t="s">
        <v>1687</v>
      </c>
    </row>
    <row r="789" spans="1:6" ht="14.5" customHeight="1" x14ac:dyDescent="0.35">
      <c r="A789" s="33" t="s">
        <v>1010</v>
      </c>
      <c r="B789" s="33" t="s">
        <v>95</v>
      </c>
      <c r="C789" s="33" t="s">
        <v>1011</v>
      </c>
      <c r="D789" s="33" t="s">
        <v>1000</v>
      </c>
      <c r="E789" s="33" t="s">
        <v>2879</v>
      </c>
      <c r="F789" s="38" t="s">
        <v>1687</v>
      </c>
    </row>
    <row r="790" spans="1:6" ht="14.5" hidden="1" customHeight="1" x14ac:dyDescent="0.35">
      <c r="A790" s="33" t="s">
        <v>1010</v>
      </c>
      <c r="B790" s="33" t="s">
        <v>97</v>
      </c>
      <c r="C790" s="33" t="s">
        <v>1011</v>
      </c>
      <c r="D790" s="33" t="s">
        <v>1001</v>
      </c>
      <c r="E790" s="33" t="s">
        <v>2870</v>
      </c>
      <c r="F790" s="38" t="s">
        <v>56</v>
      </c>
    </row>
    <row r="791" spans="1:6" ht="14.5" hidden="1" customHeight="1" x14ac:dyDescent="0.35">
      <c r="A791" s="33" t="s">
        <v>1010</v>
      </c>
      <c r="B791" s="33" t="s">
        <v>98</v>
      </c>
      <c r="C791" s="33" t="s">
        <v>1011</v>
      </c>
      <c r="D791" s="33" t="s">
        <v>1002</v>
      </c>
      <c r="E791" s="33" t="s">
        <v>2843</v>
      </c>
      <c r="F791" s="38" t="s">
        <v>56</v>
      </c>
    </row>
    <row r="792" spans="1:6" ht="14.5" customHeight="1" x14ac:dyDescent="0.35">
      <c r="A792" s="33" t="s">
        <v>1010</v>
      </c>
      <c r="B792" s="33" t="s">
        <v>99</v>
      </c>
      <c r="C792" s="33" t="s">
        <v>1011</v>
      </c>
      <c r="D792" s="33" t="s">
        <v>1003</v>
      </c>
      <c r="E792" s="33" t="s">
        <v>2879</v>
      </c>
      <c r="F792" s="38" t="s">
        <v>1687</v>
      </c>
    </row>
    <row r="793" spans="1:6" ht="14.5" hidden="1" customHeight="1" x14ac:dyDescent="0.35">
      <c r="A793" s="33" t="s">
        <v>1010</v>
      </c>
      <c r="B793" s="33" t="s">
        <v>100</v>
      </c>
      <c r="C793" s="33" t="s">
        <v>1011</v>
      </c>
      <c r="D793" s="33" t="s">
        <v>1004</v>
      </c>
      <c r="E793" s="33" t="s">
        <v>2843</v>
      </c>
      <c r="F793" s="38" t="s">
        <v>56</v>
      </c>
    </row>
    <row r="794" spans="1:6" ht="14.5" hidden="1" customHeight="1" x14ac:dyDescent="0.35">
      <c r="A794" s="33" t="s">
        <v>1010</v>
      </c>
      <c r="B794" s="33" t="s">
        <v>101</v>
      </c>
      <c r="C794" s="33" t="s">
        <v>1011</v>
      </c>
      <c r="D794" s="33" t="s">
        <v>1005</v>
      </c>
      <c r="E794" s="33" t="s">
        <v>2859</v>
      </c>
      <c r="F794" s="38" t="s">
        <v>56</v>
      </c>
    </row>
    <row r="795" spans="1:6" ht="14.5" hidden="1" customHeight="1" x14ac:dyDescent="0.35">
      <c r="A795" s="33" t="s">
        <v>1012</v>
      </c>
      <c r="B795" s="33" t="s">
        <v>91</v>
      </c>
      <c r="C795" s="33" t="s">
        <v>1013</v>
      </c>
      <c r="D795" s="33" t="s">
        <v>998</v>
      </c>
      <c r="E795" s="33" t="s">
        <v>2843</v>
      </c>
      <c r="F795" s="38" t="s">
        <v>56</v>
      </c>
    </row>
    <row r="796" spans="1:6" ht="14.5" customHeight="1" x14ac:dyDescent="0.35">
      <c r="A796" s="33" t="s">
        <v>1012</v>
      </c>
      <c r="B796" s="33" t="s">
        <v>92</v>
      </c>
      <c r="C796" s="33" t="s">
        <v>1013</v>
      </c>
      <c r="D796" s="33" t="s">
        <v>999</v>
      </c>
      <c r="E796" s="33" t="s">
        <v>2879</v>
      </c>
      <c r="F796" s="38" t="s">
        <v>1687</v>
      </c>
    </row>
    <row r="797" spans="1:6" ht="14.5" customHeight="1" x14ac:dyDescent="0.35">
      <c r="A797" s="33" t="s">
        <v>1012</v>
      </c>
      <c r="B797" s="33" t="s">
        <v>95</v>
      </c>
      <c r="C797" s="33" t="s">
        <v>1013</v>
      </c>
      <c r="D797" s="33" t="s">
        <v>1000</v>
      </c>
      <c r="E797" s="33" t="s">
        <v>2879</v>
      </c>
      <c r="F797" s="38" t="s">
        <v>1687</v>
      </c>
    </row>
    <row r="798" spans="1:6" ht="14.5" hidden="1" customHeight="1" x14ac:dyDescent="0.35">
      <c r="A798" s="33" t="s">
        <v>1012</v>
      </c>
      <c r="B798" s="33" t="s">
        <v>97</v>
      </c>
      <c r="C798" s="33" t="s">
        <v>1013</v>
      </c>
      <c r="D798" s="33" t="s">
        <v>1001</v>
      </c>
      <c r="E798" s="33" t="s">
        <v>2870</v>
      </c>
      <c r="F798" s="38" t="s">
        <v>56</v>
      </c>
    </row>
    <row r="799" spans="1:6" ht="14.5" hidden="1" customHeight="1" x14ac:dyDescent="0.35">
      <c r="A799" s="33" t="s">
        <v>1012</v>
      </c>
      <c r="B799" s="33" t="s">
        <v>98</v>
      </c>
      <c r="C799" s="33" t="s">
        <v>1013</v>
      </c>
      <c r="D799" s="33" t="s">
        <v>1002</v>
      </c>
      <c r="E799" s="33" t="s">
        <v>2843</v>
      </c>
      <c r="F799" s="38" t="s">
        <v>56</v>
      </c>
    </row>
    <row r="800" spans="1:6" ht="14.5" customHeight="1" x14ac:dyDescent="0.35">
      <c r="A800" s="33" t="s">
        <v>1012</v>
      </c>
      <c r="B800" s="33" t="s">
        <v>99</v>
      </c>
      <c r="C800" s="33" t="s">
        <v>1013</v>
      </c>
      <c r="D800" s="33" t="s">
        <v>1003</v>
      </c>
      <c r="E800" s="33" t="s">
        <v>2879</v>
      </c>
      <c r="F800" s="38" t="s">
        <v>1687</v>
      </c>
    </row>
    <row r="801" spans="1:6" ht="14.5" hidden="1" customHeight="1" x14ac:dyDescent="0.35">
      <c r="A801" s="33" t="s">
        <v>1012</v>
      </c>
      <c r="B801" s="33" t="s">
        <v>100</v>
      </c>
      <c r="C801" s="33" t="s">
        <v>1013</v>
      </c>
      <c r="D801" s="33" t="s">
        <v>1004</v>
      </c>
      <c r="E801" s="33" t="s">
        <v>2843</v>
      </c>
      <c r="F801" s="38" t="s">
        <v>56</v>
      </c>
    </row>
    <row r="802" spans="1:6" ht="14.5" hidden="1" customHeight="1" x14ac:dyDescent="0.35">
      <c r="A802" s="33" t="s">
        <v>1012</v>
      </c>
      <c r="B802" s="33" t="s">
        <v>101</v>
      </c>
      <c r="C802" s="33" t="s">
        <v>1013</v>
      </c>
      <c r="D802" s="33" t="s">
        <v>1005</v>
      </c>
      <c r="E802" s="33" t="s">
        <v>2859</v>
      </c>
      <c r="F802" s="38" t="s">
        <v>56</v>
      </c>
    </row>
    <row r="803" spans="1:6" ht="14.5" hidden="1" customHeight="1" x14ac:dyDescent="0.35">
      <c r="A803" s="33" t="s">
        <v>1014</v>
      </c>
      <c r="B803" s="33" t="s">
        <v>91</v>
      </c>
      <c r="C803" s="33" t="s">
        <v>1015</v>
      </c>
      <c r="D803" s="33" t="s">
        <v>998</v>
      </c>
      <c r="E803" s="33" t="s">
        <v>2843</v>
      </c>
      <c r="F803" s="38" t="s">
        <v>56</v>
      </c>
    </row>
    <row r="804" spans="1:6" ht="14.5" customHeight="1" x14ac:dyDescent="0.35">
      <c r="A804" s="33" t="s">
        <v>1014</v>
      </c>
      <c r="B804" s="33" t="s">
        <v>92</v>
      </c>
      <c r="C804" s="33" t="s">
        <v>1015</v>
      </c>
      <c r="D804" s="33" t="s">
        <v>999</v>
      </c>
      <c r="E804" s="33" t="s">
        <v>2879</v>
      </c>
      <c r="F804" s="38" t="s">
        <v>1687</v>
      </c>
    </row>
    <row r="805" spans="1:6" ht="14.5" customHeight="1" x14ac:dyDescent="0.35">
      <c r="A805" s="33" t="s">
        <v>1014</v>
      </c>
      <c r="B805" s="33" t="s">
        <v>95</v>
      </c>
      <c r="C805" s="33" t="s">
        <v>1015</v>
      </c>
      <c r="D805" s="33" t="s">
        <v>1000</v>
      </c>
      <c r="E805" s="33" t="s">
        <v>2879</v>
      </c>
      <c r="F805" s="38" t="s">
        <v>1687</v>
      </c>
    </row>
    <row r="806" spans="1:6" ht="14.5" hidden="1" customHeight="1" x14ac:dyDescent="0.35">
      <c r="A806" s="33" t="s">
        <v>1014</v>
      </c>
      <c r="B806" s="33" t="s">
        <v>97</v>
      </c>
      <c r="C806" s="33" t="s">
        <v>1015</v>
      </c>
      <c r="D806" s="33" t="s">
        <v>1001</v>
      </c>
      <c r="E806" s="33" t="s">
        <v>2870</v>
      </c>
      <c r="F806" s="38" t="s">
        <v>56</v>
      </c>
    </row>
    <row r="807" spans="1:6" ht="14.5" hidden="1" customHeight="1" x14ac:dyDescent="0.35">
      <c r="A807" s="33" t="s">
        <v>1014</v>
      </c>
      <c r="B807" s="33" t="s">
        <v>98</v>
      </c>
      <c r="C807" s="33" t="s">
        <v>1015</v>
      </c>
      <c r="D807" s="33" t="s">
        <v>1002</v>
      </c>
      <c r="E807" s="33" t="s">
        <v>2843</v>
      </c>
      <c r="F807" s="38" t="s">
        <v>56</v>
      </c>
    </row>
    <row r="808" spans="1:6" ht="14.5" customHeight="1" x14ac:dyDescent="0.35">
      <c r="A808" s="33" t="s">
        <v>1014</v>
      </c>
      <c r="B808" s="33" t="s">
        <v>99</v>
      </c>
      <c r="C808" s="33" t="s">
        <v>1015</v>
      </c>
      <c r="D808" s="33" t="s">
        <v>1003</v>
      </c>
      <c r="E808" s="33" t="s">
        <v>2879</v>
      </c>
      <c r="F808" s="38" t="s">
        <v>1687</v>
      </c>
    </row>
    <row r="809" spans="1:6" ht="14.5" hidden="1" customHeight="1" x14ac:dyDescent="0.35">
      <c r="A809" s="33" t="s">
        <v>1014</v>
      </c>
      <c r="B809" s="33" t="s">
        <v>100</v>
      </c>
      <c r="C809" s="33" t="s">
        <v>1015</v>
      </c>
      <c r="D809" s="33" t="s">
        <v>1004</v>
      </c>
      <c r="E809" s="33" t="s">
        <v>2843</v>
      </c>
      <c r="F809" s="38" t="s">
        <v>56</v>
      </c>
    </row>
    <row r="810" spans="1:6" ht="14.5" hidden="1" customHeight="1" x14ac:dyDescent="0.35">
      <c r="A810" s="33" t="s">
        <v>1014</v>
      </c>
      <c r="B810" s="33" t="s">
        <v>101</v>
      </c>
      <c r="C810" s="33" t="s">
        <v>1015</v>
      </c>
      <c r="D810" s="33" t="s">
        <v>1005</v>
      </c>
      <c r="E810" s="33" t="s">
        <v>2859</v>
      </c>
      <c r="F810" s="38" t="s">
        <v>56</v>
      </c>
    </row>
    <row r="811" spans="1:6" ht="14.5" hidden="1" customHeight="1" x14ac:dyDescent="0.35">
      <c r="A811" s="33" t="s">
        <v>1016</v>
      </c>
      <c r="B811" s="33" t="s">
        <v>91</v>
      </c>
      <c r="C811" s="33" t="s">
        <v>1017</v>
      </c>
      <c r="D811" s="33" t="s">
        <v>998</v>
      </c>
      <c r="E811" s="33" t="s">
        <v>2843</v>
      </c>
      <c r="F811" s="38" t="s">
        <v>56</v>
      </c>
    </row>
    <row r="812" spans="1:6" ht="14.5" customHeight="1" x14ac:dyDescent="0.35">
      <c r="A812" s="33" t="s">
        <v>1016</v>
      </c>
      <c r="B812" s="33" t="s">
        <v>92</v>
      </c>
      <c r="C812" s="33" t="s">
        <v>1017</v>
      </c>
      <c r="D812" s="33" t="s">
        <v>999</v>
      </c>
      <c r="E812" s="33" t="s">
        <v>2879</v>
      </c>
      <c r="F812" s="38" t="s">
        <v>1687</v>
      </c>
    </row>
    <row r="813" spans="1:6" ht="14.5" customHeight="1" x14ac:dyDescent="0.35">
      <c r="A813" s="33" t="s">
        <v>1016</v>
      </c>
      <c r="B813" s="33" t="s">
        <v>95</v>
      </c>
      <c r="C813" s="33" t="s">
        <v>1017</v>
      </c>
      <c r="D813" s="33" t="s">
        <v>1000</v>
      </c>
      <c r="E813" s="33" t="s">
        <v>2879</v>
      </c>
      <c r="F813" s="38" t="s">
        <v>1687</v>
      </c>
    </row>
    <row r="814" spans="1:6" ht="14.5" hidden="1" customHeight="1" x14ac:dyDescent="0.35">
      <c r="A814" s="33" t="s">
        <v>1016</v>
      </c>
      <c r="B814" s="33" t="s">
        <v>97</v>
      </c>
      <c r="C814" s="33" t="s">
        <v>1017</v>
      </c>
      <c r="D814" s="33" t="s">
        <v>1001</v>
      </c>
      <c r="E814" s="33" t="s">
        <v>2870</v>
      </c>
      <c r="F814" s="38" t="s">
        <v>56</v>
      </c>
    </row>
    <row r="815" spans="1:6" ht="14.5" hidden="1" customHeight="1" x14ac:dyDescent="0.35">
      <c r="A815" s="33" t="s">
        <v>1016</v>
      </c>
      <c r="B815" s="33" t="s">
        <v>98</v>
      </c>
      <c r="C815" s="33" t="s">
        <v>1017</v>
      </c>
      <c r="D815" s="33" t="s">
        <v>1002</v>
      </c>
      <c r="E815" s="33" t="s">
        <v>2843</v>
      </c>
      <c r="F815" s="38" t="s">
        <v>56</v>
      </c>
    </row>
    <row r="816" spans="1:6" ht="14.5" customHeight="1" x14ac:dyDescent="0.35">
      <c r="A816" s="33" t="s">
        <v>1016</v>
      </c>
      <c r="B816" s="33" t="s">
        <v>99</v>
      </c>
      <c r="C816" s="33" t="s">
        <v>1017</v>
      </c>
      <c r="D816" s="33" t="s">
        <v>1003</v>
      </c>
      <c r="E816" s="33" t="s">
        <v>2879</v>
      </c>
      <c r="F816" s="38" t="s">
        <v>1687</v>
      </c>
    </row>
    <row r="817" spans="1:6" ht="14.5" hidden="1" customHeight="1" x14ac:dyDescent="0.35">
      <c r="A817" s="33" t="s">
        <v>1016</v>
      </c>
      <c r="B817" s="33" t="s">
        <v>100</v>
      </c>
      <c r="C817" s="33" t="s">
        <v>1017</v>
      </c>
      <c r="D817" s="33" t="s">
        <v>1004</v>
      </c>
      <c r="E817" s="33" t="s">
        <v>2843</v>
      </c>
      <c r="F817" s="38" t="s">
        <v>56</v>
      </c>
    </row>
    <row r="818" spans="1:6" ht="14.5" hidden="1" customHeight="1" x14ac:dyDescent="0.35">
      <c r="A818" s="33" t="s">
        <v>1016</v>
      </c>
      <c r="B818" s="33" t="s">
        <v>101</v>
      </c>
      <c r="C818" s="33" t="s">
        <v>1017</v>
      </c>
      <c r="D818" s="33" t="s">
        <v>1005</v>
      </c>
      <c r="E818" s="33" t="s">
        <v>2859</v>
      </c>
      <c r="F818" s="38" t="s">
        <v>56</v>
      </c>
    </row>
    <row r="819" spans="1:6" ht="14.5" hidden="1" customHeight="1" x14ac:dyDescent="0.35">
      <c r="A819" s="33" t="s">
        <v>1018</v>
      </c>
      <c r="B819" s="33" t="s">
        <v>91</v>
      </c>
      <c r="C819" s="33" t="s">
        <v>1019</v>
      </c>
      <c r="D819" s="33" t="s">
        <v>998</v>
      </c>
      <c r="E819" s="33" t="s">
        <v>2843</v>
      </c>
      <c r="F819" s="38" t="s">
        <v>56</v>
      </c>
    </row>
    <row r="820" spans="1:6" ht="14.5" customHeight="1" x14ac:dyDescent="0.35">
      <c r="A820" s="33" t="s">
        <v>1018</v>
      </c>
      <c r="B820" s="33" t="s">
        <v>92</v>
      </c>
      <c r="C820" s="33" t="s">
        <v>1019</v>
      </c>
      <c r="D820" s="33" t="s">
        <v>999</v>
      </c>
      <c r="E820" s="33" t="s">
        <v>2879</v>
      </c>
      <c r="F820" s="38" t="s">
        <v>1687</v>
      </c>
    </row>
    <row r="821" spans="1:6" ht="14.5" customHeight="1" x14ac:dyDescent="0.35">
      <c r="A821" s="33" t="s">
        <v>1018</v>
      </c>
      <c r="B821" s="33" t="s">
        <v>95</v>
      </c>
      <c r="C821" s="33" t="s">
        <v>1019</v>
      </c>
      <c r="D821" s="33" t="s">
        <v>1000</v>
      </c>
      <c r="E821" s="33" t="s">
        <v>2879</v>
      </c>
      <c r="F821" s="38" t="s">
        <v>1687</v>
      </c>
    </row>
    <row r="822" spans="1:6" ht="14.5" hidden="1" customHeight="1" x14ac:dyDescent="0.35">
      <c r="A822" s="33" t="s">
        <v>1018</v>
      </c>
      <c r="B822" s="33" t="s">
        <v>97</v>
      </c>
      <c r="C822" s="33" t="s">
        <v>1019</v>
      </c>
      <c r="D822" s="33" t="s">
        <v>1001</v>
      </c>
      <c r="E822" s="33" t="s">
        <v>2870</v>
      </c>
      <c r="F822" s="38" t="s">
        <v>56</v>
      </c>
    </row>
    <row r="823" spans="1:6" ht="14.5" hidden="1" customHeight="1" x14ac:dyDescent="0.35">
      <c r="A823" s="33" t="s">
        <v>1018</v>
      </c>
      <c r="B823" s="33" t="s">
        <v>98</v>
      </c>
      <c r="C823" s="33" t="s">
        <v>1019</v>
      </c>
      <c r="D823" s="33" t="s">
        <v>1002</v>
      </c>
      <c r="E823" s="33" t="s">
        <v>2843</v>
      </c>
      <c r="F823" s="38" t="s">
        <v>56</v>
      </c>
    </row>
    <row r="824" spans="1:6" ht="14.5" customHeight="1" x14ac:dyDescent="0.35">
      <c r="A824" s="33" t="s">
        <v>1018</v>
      </c>
      <c r="B824" s="33" t="s">
        <v>99</v>
      </c>
      <c r="C824" s="33" t="s">
        <v>1019</v>
      </c>
      <c r="D824" s="33" t="s">
        <v>1003</v>
      </c>
      <c r="E824" s="33" t="s">
        <v>2879</v>
      </c>
      <c r="F824" s="38" t="s">
        <v>1687</v>
      </c>
    </row>
    <row r="825" spans="1:6" ht="14.5" hidden="1" customHeight="1" x14ac:dyDescent="0.35">
      <c r="A825" s="33" t="s">
        <v>1018</v>
      </c>
      <c r="B825" s="33" t="s">
        <v>100</v>
      </c>
      <c r="C825" s="33" t="s">
        <v>1019</v>
      </c>
      <c r="D825" s="33" t="s">
        <v>1004</v>
      </c>
      <c r="E825" s="33" t="s">
        <v>2843</v>
      </c>
      <c r="F825" s="38" t="s">
        <v>56</v>
      </c>
    </row>
    <row r="826" spans="1:6" ht="14.5" hidden="1" customHeight="1" x14ac:dyDescent="0.35">
      <c r="A826" s="33" t="s">
        <v>1018</v>
      </c>
      <c r="B826" s="33" t="s">
        <v>101</v>
      </c>
      <c r="C826" s="33" t="s">
        <v>1019</v>
      </c>
      <c r="D826" s="33" t="s">
        <v>1005</v>
      </c>
      <c r="E826" s="33" t="s">
        <v>2859</v>
      </c>
      <c r="F826" s="38" t="s">
        <v>56</v>
      </c>
    </row>
    <row r="827" spans="1:6" ht="14.5" hidden="1" customHeight="1" x14ac:dyDescent="0.35">
      <c r="A827" s="33" t="s">
        <v>1020</v>
      </c>
      <c r="B827" s="33" t="s">
        <v>91</v>
      </c>
      <c r="C827" s="33" t="s">
        <v>1021</v>
      </c>
      <c r="D827" s="33" t="s">
        <v>998</v>
      </c>
      <c r="E827" s="33" t="s">
        <v>2843</v>
      </c>
      <c r="F827" s="38" t="s">
        <v>56</v>
      </c>
    </row>
    <row r="828" spans="1:6" ht="14.5" customHeight="1" x14ac:dyDescent="0.35">
      <c r="A828" s="33" t="s">
        <v>1020</v>
      </c>
      <c r="B828" s="33" t="s">
        <v>92</v>
      </c>
      <c r="C828" s="33" t="s">
        <v>1021</v>
      </c>
      <c r="D828" s="33" t="s">
        <v>999</v>
      </c>
      <c r="E828" s="33" t="s">
        <v>2879</v>
      </c>
      <c r="F828" s="38" t="s">
        <v>1687</v>
      </c>
    </row>
    <row r="829" spans="1:6" ht="14.5" customHeight="1" x14ac:dyDescent="0.35">
      <c r="A829" s="33" t="s">
        <v>1020</v>
      </c>
      <c r="B829" s="33" t="s">
        <v>95</v>
      </c>
      <c r="C829" s="33" t="s">
        <v>1021</v>
      </c>
      <c r="D829" s="33" t="s">
        <v>1000</v>
      </c>
      <c r="E829" s="33" t="s">
        <v>2879</v>
      </c>
      <c r="F829" s="38" t="s">
        <v>1687</v>
      </c>
    </row>
    <row r="830" spans="1:6" ht="14.5" hidden="1" customHeight="1" x14ac:dyDescent="0.35">
      <c r="A830" s="33" t="s">
        <v>1020</v>
      </c>
      <c r="B830" s="33" t="s">
        <v>97</v>
      </c>
      <c r="C830" s="33" t="s">
        <v>1021</v>
      </c>
      <c r="D830" s="33" t="s">
        <v>1001</v>
      </c>
      <c r="E830" s="33" t="s">
        <v>2870</v>
      </c>
      <c r="F830" s="38" t="s">
        <v>56</v>
      </c>
    </row>
    <row r="831" spans="1:6" ht="14.5" hidden="1" customHeight="1" x14ac:dyDescent="0.35">
      <c r="A831" s="33" t="s">
        <v>1020</v>
      </c>
      <c r="B831" s="33" t="s">
        <v>98</v>
      </c>
      <c r="C831" s="33" t="s">
        <v>1021</v>
      </c>
      <c r="D831" s="33" t="s">
        <v>1002</v>
      </c>
      <c r="E831" s="33" t="s">
        <v>2843</v>
      </c>
      <c r="F831" s="38" t="s">
        <v>56</v>
      </c>
    </row>
    <row r="832" spans="1:6" ht="14.5" customHeight="1" x14ac:dyDescent="0.35">
      <c r="A832" s="33" t="s">
        <v>1020</v>
      </c>
      <c r="B832" s="33" t="s">
        <v>99</v>
      </c>
      <c r="C832" s="33" t="s">
        <v>1021</v>
      </c>
      <c r="D832" s="33" t="s">
        <v>1003</v>
      </c>
      <c r="E832" s="33" t="s">
        <v>2879</v>
      </c>
      <c r="F832" s="38" t="s">
        <v>1687</v>
      </c>
    </row>
    <row r="833" spans="1:6" ht="14.5" hidden="1" customHeight="1" x14ac:dyDescent="0.35">
      <c r="A833" s="33" t="s">
        <v>1020</v>
      </c>
      <c r="B833" s="33" t="s">
        <v>100</v>
      </c>
      <c r="C833" s="33" t="s">
        <v>1021</v>
      </c>
      <c r="D833" s="33" t="s">
        <v>1004</v>
      </c>
      <c r="E833" s="33" t="s">
        <v>2843</v>
      </c>
      <c r="F833" s="38" t="s">
        <v>56</v>
      </c>
    </row>
    <row r="834" spans="1:6" ht="14.5" hidden="1" customHeight="1" x14ac:dyDescent="0.35">
      <c r="A834" s="33" t="s">
        <v>1020</v>
      </c>
      <c r="B834" s="33" t="s">
        <v>101</v>
      </c>
      <c r="C834" s="33" t="s">
        <v>1021</v>
      </c>
      <c r="D834" s="33" t="s">
        <v>1005</v>
      </c>
      <c r="E834" s="33" t="s">
        <v>2859</v>
      </c>
      <c r="F834" s="38" t="s">
        <v>56</v>
      </c>
    </row>
    <row r="835" spans="1:6" ht="14.5" hidden="1" customHeight="1" x14ac:dyDescent="0.35">
      <c r="A835" s="33" t="s">
        <v>1022</v>
      </c>
      <c r="B835" s="33" t="s">
        <v>91</v>
      </c>
      <c r="C835" s="33" t="s">
        <v>1023</v>
      </c>
      <c r="D835" s="33" t="s">
        <v>998</v>
      </c>
      <c r="E835" s="33" t="s">
        <v>2843</v>
      </c>
      <c r="F835" s="38" t="s">
        <v>56</v>
      </c>
    </row>
    <row r="836" spans="1:6" ht="14.5" customHeight="1" x14ac:dyDescent="0.35">
      <c r="A836" s="33" t="s">
        <v>1022</v>
      </c>
      <c r="B836" s="33" t="s">
        <v>92</v>
      </c>
      <c r="C836" s="33" t="s">
        <v>1023</v>
      </c>
      <c r="D836" s="33" t="s">
        <v>999</v>
      </c>
      <c r="E836" s="33" t="s">
        <v>2879</v>
      </c>
      <c r="F836" s="38" t="s">
        <v>1687</v>
      </c>
    </row>
    <row r="837" spans="1:6" ht="14.5" customHeight="1" x14ac:dyDescent="0.35">
      <c r="A837" s="33" t="s">
        <v>1022</v>
      </c>
      <c r="B837" s="33" t="s">
        <v>95</v>
      </c>
      <c r="C837" s="33" t="s">
        <v>1023</v>
      </c>
      <c r="D837" s="33" t="s">
        <v>1000</v>
      </c>
      <c r="E837" s="33" t="s">
        <v>2879</v>
      </c>
      <c r="F837" s="38" t="s">
        <v>1687</v>
      </c>
    </row>
    <row r="838" spans="1:6" ht="14.5" hidden="1" customHeight="1" x14ac:dyDescent="0.35">
      <c r="A838" s="33" t="s">
        <v>1022</v>
      </c>
      <c r="B838" s="33" t="s">
        <v>97</v>
      </c>
      <c r="C838" s="33" t="s">
        <v>1023</v>
      </c>
      <c r="D838" s="33" t="s">
        <v>1001</v>
      </c>
      <c r="E838" s="33" t="s">
        <v>2870</v>
      </c>
      <c r="F838" s="38" t="s">
        <v>56</v>
      </c>
    </row>
    <row r="839" spans="1:6" ht="14.5" hidden="1" customHeight="1" x14ac:dyDescent="0.35">
      <c r="A839" s="33" t="s">
        <v>1022</v>
      </c>
      <c r="B839" s="33" t="s">
        <v>98</v>
      </c>
      <c r="C839" s="33" t="s">
        <v>1023</v>
      </c>
      <c r="D839" s="33" t="s">
        <v>1002</v>
      </c>
      <c r="E839" s="33" t="s">
        <v>2843</v>
      </c>
      <c r="F839" s="38" t="s">
        <v>56</v>
      </c>
    </row>
    <row r="840" spans="1:6" ht="14.5" customHeight="1" x14ac:dyDescent="0.35">
      <c r="A840" s="33" t="s">
        <v>1022</v>
      </c>
      <c r="B840" s="33" t="s">
        <v>99</v>
      </c>
      <c r="C840" s="33" t="s">
        <v>1023</v>
      </c>
      <c r="D840" s="33" t="s">
        <v>1003</v>
      </c>
      <c r="E840" s="33" t="s">
        <v>2879</v>
      </c>
      <c r="F840" s="38" t="s">
        <v>1687</v>
      </c>
    </row>
    <row r="841" spans="1:6" ht="14.5" hidden="1" customHeight="1" x14ac:dyDescent="0.35">
      <c r="A841" s="33" t="s">
        <v>1022</v>
      </c>
      <c r="B841" s="33" t="s">
        <v>100</v>
      </c>
      <c r="C841" s="33" t="s">
        <v>1023</v>
      </c>
      <c r="D841" s="33" t="s">
        <v>1004</v>
      </c>
      <c r="E841" s="33" t="s">
        <v>2843</v>
      </c>
      <c r="F841" s="38" t="s">
        <v>56</v>
      </c>
    </row>
    <row r="842" spans="1:6" ht="14.5" hidden="1" customHeight="1" x14ac:dyDescent="0.35">
      <c r="A842" s="33" t="s">
        <v>1022</v>
      </c>
      <c r="B842" s="33" t="s">
        <v>101</v>
      </c>
      <c r="C842" s="33" t="s">
        <v>1023</v>
      </c>
      <c r="D842" s="33" t="s">
        <v>1005</v>
      </c>
      <c r="E842" s="33" t="s">
        <v>2859</v>
      </c>
      <c r="F842" s="38" t="s">
        <v>56</v>
      </c>
    </row>
    <row r="843" spans="1:6" ht="14.5" hidden="1" customHeight="1" x14ac:dyDescent="0.35">
      <c r="A843" s="33" t="s">
        <v>1024</v>
      </c>
      <c r="B843" s="33" t="s">
        <v>91</v>
      </c>
      <c r="C843" s="33" t="s">
        <v>1025</v>
      </c>
      <c r="D843" s="33" t="s">
        <v>998</v>
      </c>
      <c r="E843" s="33" t="s">
        <v>2843</v>
      </c>
      <c r="F843" s="38" t="s">
        <v>56</v>
      </c>
    </row>
    <row r="844" spans="1:6" ht="14.5" customHeight="1" x14ac:dyDescent="0.35">
      <c r="A844" s="33" t="s">
        <v>1024</v>
      </c>
      <c r="B844" s="33" t="s">
        <v>92</v>
      </c>
      <c r="C844" s="33" t="s">
        <v>1025</v>
      </c>
      <c r="D844" s="33" t="s">
        <v>999</v>
      </c>
      <c r="E844" s="33" t="s">
        <v>2879</v>
      </c>
      <c r="F844" s="38" t="s">
        <v>1687</v>
      </c>
    </row>
    <row r="845" spans="1:6" ht="14.5" customHeight="1" x14ac:dyDescent="0.35">
      <c r="A845" s="33" t="s">
        <v>1024</v>
      </c>
      <c r="B845" s="33" t="s">
        <v>95</v>
      </c>
      <c r="C845" s="33" t="s">
        <v>1025</v>
      </c>
      <c r="D845" s="33" t="s">
        <v>1000</v>
      </c>
      <c r="E845" s="33" t="s">
        <v>2879</v>
      </c>
      <c r="F845" s="38" t="s">
        <v>1687</v>
      </c>
    </row>
    <row r="846" spans="1:6" ht="14.5" hidden="1" customHeight="1" x14ac:dyDescent="0.35">
      <c r="A846" s="33" t="s">
        <v>1024</v>
      </c>
      <c r="B846" s="33" t="s">
        <v>97</v>
      </c>
      <c r="C846" s="33" t="s">
        <v>1025</v>
      </c>
      <c r="D846" s="33" t="s">
        <v>1001</v>
      </c>
      <c r="E846" s="33" t="s">
        <v>2870</v>
      </c>
      <c r="F846" s="38" t="s">
        <v>56</v>
      </c>
    </row>
    <row r="847" spans="1:6" ht="14.5" hidden="1" customHeight="1" x14ac:dyDescent="0.35">
      <c r="A847" s="33" t="s">
        <v>1024</v>
      </c>
      <c r="B847" s="33" t="s">
        <v>98</v>
      </c>
      <c r="C847" s="33" t="s">
        <v>1025</v>
      </c>
      <c r="D847" s="33" t="s">
        <v>1002</v>
      </c>
      <c r="E847" s="33" t="s">
        <v>2843</v>
      </c>
      <c r="F847" s="38" t="s">
        <v>56</v>
      </c>
    </row>
    <row r="848" spans="1:6" ht="14.5" customHeight="1" x14ac:dyDescent="0.35">
      <c r="A848" s="33" t="s">
        <v>1024</v>
      </c>
      <c r="B848" s="33" t="s">
        <v>99</v>
      </c>
      <c r="C848" s="33" t="s">
        <v>1025</v>
      </c>
      <c r="D848" s="33" t="s">
        <v>1003</v>
      </c>
      <c r="E848" s="33" t="s">
        <v>2879</v>
      </c>
      <c r="F848" s="38" t="s">
        <v>1687</v>
      </c>
    </row>
    <row r="849" spans="1:6" ht="14.5" hidden="1" customHeight="1" x14ac:dyDescent="0.35">
      <c r="A849" s="33" t="s">
        <v>1024</v>
      </c>
      <c r="B849" s="33" t="s">
        <v>100</v>
      </c>
      <c r="C849" s="33" t="s">
        <v>1025</v>
      </c>
      <c r="D849" s="33" t="s">
        <v>1004</v>
      </c>
      <c r="E849" s="33" t="s">
        <v>2843</v>
      </c>
      <c r="F849" s="38" t="s">
        <v>56</v>
      </c>
    </row>
    <row r="850" spans="1:6" ht="14.5" hidden="1" customHeight="1" x14ac:dyDescent="0.35">
      <c r="A850" s="33" t="s">
        <v>1024</v>
      </c>
      <c r="B850" s="33" t="s">
        <v>101</v>
      </c>
      <c r="C850" s="33" t="s">
        <v>1025</v>
      </c>
      <c r="D850" s="33" t="s">
        <v>1005</v>
      </c>
      <c r="E850" s="33" t="s">
        <v>2859</v>
      </c>
      <c r="F850" s="38" t="s">
        <v>56</v>
      </c>
    </row>
    <row r="851" spans="1:6" ht="14.5" hidden="1" customHeight="1" x14ac:dyDescent="0.35">
      <c r="A851" s="33" t="s">
        <v>1026</v>
      </c>
      <c r="B851" s="33" t="s">
        <v>91</v>
      </c>
      <c r="C851" s="33" t="s">
        <v>1027</v>
      </c>
      <c r="D851" s="33" t="s">
        <v>998</v>
      </c>
      <c r="E851" s="33" t="s">
        <v>2843</v>
      </c>
      <c r="F851" s="38" t="s">
        <v>56</v>
      </c>
    </row>
    <row r="852" spans="1:6" ht="14.5" customHeight="1" x14ac:dyDescent="0.35">
      <c r="A852" s="33" t="s">
        <v>1026</v>
      </c>
      <c r="B852" s="33" t="s">
        <v>92</v>
      </c>
      <c r="C852" s="33" t="s">
        <v>1027</v>
      </c>
      <c r="D852" s="33" t="s">
        <v>999</v>
      </c>
      <c r="E852" s="33" t="s">
        <v>2879</v>
      </c>
      <c r="F852" s="38" t="s">
        <v>1687</v>
      </c>
    </row>
    <row r="853" spans="1:6" ht="14.5" customHeight="1" x14ac:dyDescent="0.35">
      <c r="A853" s="33" t="s">
        <v>1026</v>
      </c>
      <c r="B853" s="33" t="s">
        <v>95</v>
      </c>
      <c r="C853" s="33" t="s">
        <v>1027</v>
      </c>
      <c r="D853" s="33" t="s">
        <v>1000</v>
      </c>
      <c r="E853" s="33" t="s">
        <v>2879</v>
      </c>
      <c r="F853" s="38" t="s">
        <v>1687</v>
      </c>
    </row>
    <row r="854" spans="1:6" ht="14.5" hidden="1" customHeight="1" x14ac:dyDescent="0.35">
      <c r="A854" s="33" t="s">
        <v>1026</v>
      </c>
      <c r="B854" s="33" t="s">
        <v>97</v>
      </c>
      <c r="C854" s="33" t="s">
        <v>1027</v>
      </c>
      <c r="D854" s="33" t="s">
        <v>1001</v>
      </c>
      <c r="E854" s="33" t="s">
        <v>2870</v>
      </c>
      <c r="F854" s="38" t="s">
        <v>56</v>
      </c>
    </row>
    <row r="855" spans="1:6" ht="14.5" hidden="1" customHeight="1" x14ac:dyDescent="0.35">
      <c r="A855" s="33" t="s">
        <v>1026</v>
      </c>
      <c r="B855" s="33" t="s">
        <v>98</v>
      </c>
      <c r="C855" s="33" t="s">
        <v>1027</v>
      </c>
      <c r="D855" s="33" t="s">
        <v>1002</v>
      </c>
      <c r="E855" s="33" t="s">
        <v>2843</v>
      </c>
      <c r="F855" s="38" t="s">
        <v>56</v>
      </c>
    </row>
    <row r="856" spans="1:6" ht="14.5" customHeight="1" x14ac:dyDescent="0.35">
      <c r="A856" s="33" t="s">
        <v>1026</v>
      </c>
      <c r="B856" s="33" t="s">
        <v>99</v>
      </c>
      <c r="C856" s="33" t="s">
        <v>1027</v>
      </c>
      <c r="D856" s="33" t="s">
        <v>1003</v>
      </c>
      <c r="E856" s="33" t="s">
        <v>2879</v>
      </c>
      <c r="F856" s="38" t="s">
        <v>1687</v>
      </c>
    </row>
    <row r="857" spans="1:6" ht="14.5" hidden="1" customHeight="1" x14ac:dyDescent="0.35">
      <c r="A857" s="33" t="s">
        <v>1026</v>
      </c>
      <c r="B857" s="33" t="s">
        <v>100</v>
      </c>
      <c r="C857" s="33" t="s">
        <v>1027</v>
      </c>
      <c r="D857" s="33" t="s">
        <v>1004</v>
      </c>
      <c r="E857" s="33" t="s">
        <v>2843</v>
      </c>
      <c r="F857" s="38" t="s">
        <v>56</v>
      </c>
    </row>
    <row r="858" spans="1:6" ht="14.5" hidden="1" customHeight="1" x14ac:dyDescent="0.35">
      <c r="A858" s="33" t="s">
        <v>1026</v>
      </c>
      <c r="B858" s="33" t="s">
        <v>101</v>
      </c>
      <c r="C858" s="33" t="s">
        <v>1027</v>
      </c>
      <c r="D858" s="33" t="s">
        <v>1005</v>
      </c>
      <c r="E858" s="33" t="s">
        <v>2859</v>
      </c>
      <c r="F858" s="38" t="s">
        <v>56</v>
      </c>
    </row>
    <row r="859" spans="1:6" ht="14.5" hidden="1" customHeight="1" x14ac:dyDescent="0.35">
      <c r="A859" s="33" t="s">
        <v>1028</v>
      </c>
      <c r="B859" s="33" t="s">
        <v>80</v>
      </c>
      <c r="C859" s="33" t="s">
        <v>1029</v>
      </c>
      <c r="D859" s="33" t="s">
        <v>1030</v>
      </c>
      <c r="E859" s="33" t="s">
        <v>2843</v>
      </c>
      <c r="F859" s="38" t="s">
        <v>56</v>
      </c>
    </row>
    <row r="860" spans="1:6" ht="14.5" hidden="1" customHeight="1" x14ac:dyDescent="0.35">
      <c r="A860" s="33" t="s">
        <v>1028</v>
      </c>
      <c r="B860" s="33" t="s">
        <v>82</v>
      </c>
      <c r="C860" s="33" t="s">
        <v>1029</v>
      </c>
      <c r="D860" s="33" t="s">
        <v>1031</v>
      </c>
      <c r="E860" s="33" t="s">
        <v>2843</v>
      </c>
      <c r="F860" s="38" t="s">
        <v>56</v>
      </c>
    </row>
    <row r="861" spans="1:6" ht="14.5" hidden="1" customHeight="1" x14ac:dyDescent="0.35">
      <c r="A861" s="33" t="s">
        <v>1032</v>
      </c>
      <c r="B861" s="33" t="s">
        <v>80</v>
      </c>
      <c r="C861" s="33" t="s">
        <v>1033</v>
      </c>
      <c r="D861" s="33" t="s">
        <v>1034</v>
      </c>
      <c r="E861" s="33" t="s">
        <v>2882</v>
      </c>
      <c r="F861" s="38" t="s">
        <v>2739</v>
      </c>
    </row>
    <row r="862" spans="1:6" ht="14.5" hidden="1" customHeight="1" x14ac:dyDescent="0.35">
      <c r="A862" s="33" t="s">
        <v>1032</v>
      </c>
      <c r="B862" s="33" t="s">
        <v>83</v>
      </c>
      <c r="C862" s="33" t="s">
        <v>1033</v>
      </c>
      <c r="D862" s="33" t="s">
        <v>1035</v>
      </c>
      <c r="E862" s="33" t="s">
        <v>2882</v>
      </c>
      <c r="F862" s="38" t="s">
        <v>2739</v>
      </c>
    </row>
    <row r="863" spans="1:6" ht="14.5" hidden="1" customHeight="1" x14ac:dyDescent="0.35">
      <c r="A863" s="33" t="s">
        <v>1032</v>
      </c>
      <c r="B863" s="33" t="s">
        <v>443</v>
      </c>
      <c r="C863" s="33" t="s">
        <v>1033</v>
      </c>
      <c r="D863" s="33" t="s">
        <v>1036</v>
      </c>
      <c r="E863" s="33" t="s">
        <v>2882</v>
      </c>
      <c r="F863" s="38" t="s">
        <v>2739</v>
      </c>
    </row>
    <row r="864" spans="1:6" ht="14.5" hidden="1" customHeight="1" x14ac:dyDescent="0.35">
      <c r="A864" s="33" t="s">
        <v>1032</v>
      </c>
      <c r="B864" s="33" t="s">
        <v>19</v>
      </c>
      <c r="C864" s="33" t="s">
        <v>1033</v>
      </c>
      <c r="D864" s="33" t="s">
        <v>1037</v>
      </c>
      <c r="E864" s="33" t="s">
        <v>2870</v>
      </c>
      <c r="F864" s="38" t="s">
        <v>56</v>
      </c>
    </row>
    <row r="865" spans="1:6" ht="14.5" hidden="1" customHeight="1" x14ac:dyDescent="0.35">
      <c r="A865" s="33" t="s">
        <v>1032</v>
      </c>
      <c r="B865" s="33" t="s">
        <v>84</v>
      </c>
      <c r="C865" s="33" t="s">
        <v>1033</v>
      </c>
      <c r="D865" s="33" t="s">
        <v>1038</v>
      </c>
      <c r="E865" s="33" t="s">
        <v>2882</v>
      </c>
      <c r="F865" s="38" t="s">
        <v>2739</v>
      </c>
    </row>
    <row r="866" spans="1:6" ht="14.5" hidden="1" customHeight="1" x14ac:dyDescent="0.35">
      <c r="A866" s="33" t="s">
        <v>1032</v>
      </c>
      <c r="B866" s="33" t="s">
        <v>85</v>
      </c>
      <c r="C866" s="33" t="s">
        <v>1033</v>
      </c>
      <c r="D866" s="33" t="s">
        <v>1039</v>
      </c>
      <c r="E866" s="33" t="s">
        <v>2859</v>
      </c>
      <c r="F866" s="38" t="s">
        <v>56</v>
      </c>
    </row>
    <row r="867" spans="1:6" ht="14.5" hidden="1" customHeight="1" x14ac:dyDescent="0.35">
      <c r="A867" s="33" t="s">
        <v>1040</v>
      </c>
      <c r="B867" s="33" t="s">
        <v>83</v>
      </c>
      <c r="C867" s="33" t="s">
        <v>1041</v>
      </c>
      <c r="D867" s="33" t="s">
        <v>1042</v>
      </c>
      <c r="E867" s="33" t="s">
        <v>2876</v>
      </c>
      <c r="F867" s="38" t="s">
        <v>50</v>
      </c>
    </row>
    <row r="868" spans="1:6" ht="14.5" hidden="1" customHeight="1" x14ac:dyDescent="0.35">
      <c r="A868" s="33" t="s">
        <v>1040</v>
      </c>
      <c r="B868" s="33" t="s">
        <v>19</v>
      </c>
      <c r="C868" s="33" t="s">
        <v>1041</v>
      </c>
      <c r="D868" s="33" t="s">
        <v>1043</v>
      </c>
      <c r="E868" s="33" t="s">
        <v>2869</v>
      </c>
      <c r="F868" s="38" t="s">
        <v>132</v>
      </c>
    </row>
    <row r="869" spans="1:6" ht="14.5" hidden="1" customHeight="1" x14ac:dyDescent="0.35">
      <c r="A869" s="33" t="s">
        <v>1040</v>
      </c>
      <c r="B869" s="33" t="s">
        <v>84</v>
      </c>
      <c r="C869" s="33" t="s">
        <v>1041</v>
      </c>
      <c r="D869" s="33" t="s">
        <v>1044</v>
      </c>
      <c r="E869" s="33" t="s">
        <v>2870</v>
      </c>
      <c r="F869" s="38" t="s">
        <v>56</v>
      </c>
    </row>
    <row r="870" spans="1:6" ht="14.5" hidden="1" customHeight="1" x14ac:dyDescent="0.35">
      <c r="A870" s="33" t="s">
        <v>1040</v>
      </c>
      <c r="B870" s="33" t="s">
        <v>86</v>
      </c>
      <c r="C870" s="33" t="s">
        <v>1041</v>
      </c>
      <c r="D870" s="33" t="s">
        <v>1045</v>
      </c>
      <c r="E870" s="33" t="s">
        <v>2859</v>
      </c>
      <c r="F870" s="38" t="s">
        <v>56</v>
      </c>
    </row>
    <row r="871" spans="1:6" ht="14.5" hidden="1" customHeight="1" x14ac:dyDescent="0.35">
      <c r="A871" s="33" t="s">
        <v>1046</v>
      </c>
      <c r="B871" s="33" t="s">
        <v>19</v>
      </c>
      <c r="C871" s="33" t="s">
        <v>1047</v>
      </c>
      <c r="D871" s="33" t="s">
        <v>1043</v>
      </c>
      <c r="E871" s="33" t="s">
        <v>2869</v>
      </c>
      <c r="F871" s="38" t="s">
        <v>132</v>
      </c>
    </row>
    <row r="872" spans="1:6" ht="14.5" hidden="1" customHeight="1" x14ac:dyDescent="0.35">
      <c r="A872" s="33" t="s">
        <v>1046</v>
      </c>
      <c r="B872" s="33" t="s">
        <v>84</v>
      </c>
      <c r="C872" s="33" t="s">
        <v>1047</v>
      </c>
      <c r="D872" s="33" t="s">
        <v>1044</v>
      </c>
      <c r="E872" s="33" t="s">
        <v>2870</v>
      </c>
      <c r="F872" s="38" t="s">
        <v>56</v>
      </c>
    </row>
    <row r="873" spans="1:6" ht="14.5" hidden="1" customHeight="1" x14ac:dyDescent="0.35">
      <c r="A873" s="33" t="s">
        <v>1046</v>
      </c>
      <c r="B873" s="33" t="s">
        <v>86</v>
      </c>
      <c r="C873" s="33" t="s">
        <v>1047</v>
      </c>
      <c r="D873" s="33" t="s">
        <v>1045</v>
      </c>
      <c r="E873" s="33" t="s">
        <v>2859</v>
      </c>
      <c r="F873" s="38" t="s">
        <v>56</v>
      </c>
    </row>
    <row r="874" spans="1:6" ht="14.5" hidden="1" customHeight="1" x14ac:dyDescent="0.35">
      <c r="A874" s="33" t="s">
        <v>1048</v>
      </c>
      <c r="B874" s="33" t="s">
        <v>83</v>
      </c>
      <c r="C874" s="33" t="s">
        <v>1049</v>
      </c>
      <c r="D874" s="33" t="s">
        <v>1050</v>
      </c>
      <c r="E874" s="33" t="s">
        <v>2859</v>
      </c>
      <c r="F874" s="38" t="s">
        <v>56</v>
      </c>
    </row>
    <row r="875" spans="1:6" ht="14.5" hidden="1" customHeight="1" x14ac:dyDescent="0.35">
      <c r="A875" s="33" t="s">
        <v>1048</v>
      </c>
      <c r="B875" s="33" t="s">
        <v>19</v>
      </c>
      <c r="C875" s="33" t="s">
        <v>1049</v>
      </c>
      <c r="D875" s="33" t="s">
        <v>1051</v>
      </c>
      <c r="E875" s="33" t="s">
        <v>2869</v>
      </c>
      <c r="F875" s="38" t="s">
        <v>132</v>
      </c>
    </row>
    <row r="876" spans="1:6" ht="14.5" hidden="1" customHeight="1" x14ac:dyDescent="0.35">
      <c r="A876" s="33" t="s">
        <v>1048</v>
      </c>
      <c r="B876" s="33" t="s">
        <v>84</v>
      </c>
      <c r="C876" s="33" t="s">
        <v>1049</v>
      </c>
      <c r="D876" s="33" t="s">
        <v>1052</v>
      </c>
      <c r="E876" s="33" t="s">
        <v>2859</v>
      </c>
      <c r="F876" s="38" t="s">
        <v>56</v>
      </c>
    </row>
    <row r="877" spans="1:6" ht="14.5" hidden="1" customHeight="1" x14ac:dyDescent="0.35">
      <c r="A877" s="33" t="s">
        <v>1053</v>
      </c>
      <c r="B877" s="33" t="s">
        <v>83</v>
      </c>
      <c r="C877" s="33" t="s">
        <v>1054</v>
      </c>
      <c r="D877" s="33" t="s">
        <v>1050</v>
      </c>
      <c r="E877" s="33" t="s">
        <v>2859</v>
      </c>
      <c r="F877" s="38" t="s">
        <v>56</v>
      </c>
    </row>
    <row r="878" spans="1:6" ht="14.5" hidden="1" customHeight="1" x14ac:dyDescent="0.35">
      <c r="A878" s="33" t="s">
        <v>1053</v>
      </c>
      <c r="B878" s="33" t="s">
        <v>84</v>
      </c>
      <c r="C878" s="33" t="s">
        <v>1054</v>
      </c>
      <c r="D878" s="33" t="s">
        <v>1052</v>
      </c>
      <c r="E878" s="33" t="s">
        <v>2859</v>
      </c>
      <c r="F878" s="38" t="s">
        <v>56</v>
      </c>
    </row>
    <row r="879" spans="1:6" ht="14.5" hidden="1" customHeight="1" x14ac:dyDescent="0.35">
      <c r="A879" s="33" t="s">
        <v>1055</v>
      </c>
      <c r="B879" s="33" t="s">
        <v>84</v>
      </c>
      <c r="C879" s="33" t="s">
        <v>1056</v>
      </c>
      <c r="D879" s="33" t="s">
        <v>1057</v>
      </c>
      <c r="E879" s="33" t="s">
        <v>2859</v>
      </c>
      <c r="F879" s="38" t="s">
        <v>56</v>
      </c>
    </row>
    <row r="880" spans="1:6" ht="14.5" hidden="1" customHeight="1" x14ac:dyDescent="0.35">
      <c r="A880" s="33" t="s">
        <v>1055</v>
      </c>
      <c r="B880" s="33" t="s">
        <v>85</v>
      </c>
      <c r="C880" s="33" t="s">
        <v>1056</v>
      </c>
      <c r="D880" s="33" t="s">
        <v>1058</v>
      </c>
      <c r="E880" s="33" t="s">
        <v>2882</v>
      </c>
      <c r="F880" s="38" t="s">
        <v>2739</v>
      </c>
    </row>
    <row r="881" spans="1:6" ht="14.5" hidden="1" customHeight="1" x14ac:dyDescent="0.35">
      <c r="A881" s="33" t="s">
        <v>1055</v>
      </c>
      <c r="B881" s="33" t="s">
        <v>86</v>
      </c>
      <c r="C881" s="33" t="s">
        <v>1056</v>
      </c>
      <c r="D881" s="33" t="s">
        <v>1059</v>
      </c>
      <c r="E881" s="33" t="s">
        <v>2859</v>
      </c>
      <c r="F881" s="38" t="s">
        <v>56</v>
      </c>
    </row>
    <row r="882" spans="1:6" ht="14.5" hidden="1" customHeight="1" x14ac:dyDescent="0.35">
      <c r="A882" s="33" t="s">
        <v>1055</v>
      </c>
      <c r="B882" s="33" t="s">
        <v>89</v>
      </c>
      <c r="C882" s="33" t="s">
        <v>1056</v>
      </c>
      <c r="D882" s="33" t="s">
        <v>1060</v>
      </c>
      <c r="E882" s="33" t="s">
        <v>2882</v>
      </c>
      <c r="F882" s="38" t="s">
        <v>2739</v>
      </c>
    </row>
    <row r="883" spans="1:6" ht="14.5" hidden="1" customHeight="1" x14ac:dyDescent="0.35">
      <c r="A883" s="33" t="s">
        <v>1061</v>
      </c>
      <c r="B883" s="33" t="s">
        <v>81</v>
      </c>
      <c r="C883" s="33" t="s">
        <v>1062</v>
      </c>
      <c r="D883" s="33" t="s">
        <v>1063</v>
      </c>
      <c r="E883" s="33" t="s">
        <v>2843</v>
      </c>
      <c r="F883" s="38" t="s">
        <v>56</v>
      </c>
    </row>
    <row r="884" spans="1:6" ht="14.5" hidden="1" customHeight="1" x14ac:dyDescent="0.35">
      <c r="A884" s="33" t="s">
        <v>1061</v>
      </c>
      <c r="B884" s="33" t="s">
        <v>278</v>
      </c>
      <c r="C884" s="33" t="s">
        <v>1062</v>
      </c>
      <c r="D884" s="33" t="s">
        <v>1064</v>
      </c>
      <c r="E884" s="33" t="s">
        <v>2870</v>
      </c>
      <c r="F884" s="38" t="s">
        <v>56</v>
      </c>
    </row>
    <row r="885" spans="1:6" ht="14.5" hidden="1" customHeight="1" x14ac:dyDescent="0.35">
      <c r="A885" s="33" t="s">
        <v>1061</v>
      </c>
      <c r="B885" s="33" t="s">
        <v>80</v>
      </c>
      <c r="C885" s="33" t="s">
        <v>1062</v>
      </c>
      <c r="D885" s="33" t="s">
        <v>1065</v>
      </c>
      <c r="E885" s="33" t="s">
        <v>2869</v>
      </c>
      <c r="F885" s="38" t="s">
        <v>132</v>
      </c>
    </row>
    <row r="886" spans="1:6" ht="14.5" hidden="1" customHeight="1" x14ac:dyDescent="0.35">
      <c r="A886" s="33" t="s">
        <v>1061</v>
      </c>
      <c r="B886" s="33" t="s">
        <v>108</v>
      </c>
      <c r="C886" s="33" t="s">
        <v>1062</v>
      </c>
      <c r="D886" s="33" t="s">
        <v>1066</v>
      </c>
      <c r="E886" s="33" t="s">
        <v>2859</v>
      </c>
      <c r="F886" s="38" t="s">
        <v>56</v>
      </c>
    </row>
    <row r="887" spans="1:6" ht="14.5" hidden="1" customHeight="1" x14ac:dyDescent="0.35">
      <c r="A887" s="33" t="s">
        <v>1061</v>
      </c>
      <c r="B887" s="33" t="s">
        <v>329</v>
      </c>
      <c r="C887" s="33" t="s">
        <v>1062</v>
      </c>
      <c r="D887" s="33" t="s">
        <v>1067</v>
      </c>
      <c r="E887" s="33" t="s">
        <v>2860</v>
      </c>
      <c r="F887" s="38" t="s">
        <v>50</v>
      </c>
    </row>
    <row r="888" spans="1:6" ht="14.5" hidden="1" customHeight="1" x14ac:dyDescent="0.35">
      <c r="A888" s="33" t="s">
        <v>1061</v>
      </c>
      <c r="B888" s="33" t="s">
        <v>330</v>
      </c>
      <c r="C888" s="33" t="s">
        <v>1062</v>
      </c>
      <c r="D888" s="33" t="s">
        <v>1067</v>
      </c>
      <c r="E888" s="33" t="s">
        <v>2845</v>
      </c>
      <c r="F888" s="38" t="s">
        <v>50</v>
      </c>
    </row>
    <row r="889" spans="1:6" ht="14.5" hidden="1" customHeight="1" x14ac:dyDescent="0.35">
      <c r="A889" s="33" t="s">
        <v>1061</v>
      </c>
      <c r="B889" s="33" t="s">
        <v>769</v>
      </c>
      <c r="C889" s="33" t="s">
        <v>1062</v>
      </c>
      <c r="D889" s="33" t="s">
        <v>1068</v>
      </c>
      <c r="E889" s="33" t="s">
        <v>2845</v>
      </c>
      <c r="F889" s="38" t="s">
        <v>50</v>
      </c>
    </row>
    <row r="890" spans="1:6" ht="14.5" hidden="1" customHeight="1" x14ac:dyDescent="0.35">
      <c r="A890" s="33" t="s">
        <v>1061</v>
      </c>
      <c r="B890" s="33" t="s">
        <v>19</v>
      </c>
      <c r="C890" s="33" t="s">
        <v>1062</v>
      </c>
      <c r="D890" s="33" t="s">
        <v>1069</v>
      </c>
      <c r="E890" s="33" t="s">
        <v>2860</v>
      </c>
      <c r="F890" s="38" t="s">
        <v>50</v>
      </c>
    </row>
    <row r="891" spans="1:6" ht="14.5" hidden="1" customHeight="1" x14ac:dyDescent="0.35">
      <c r="A891" s="33" t="s">
        <v>1061</v>
      </c>
      <c r="B891" s="33" t="s">
        <v>85</v>
      </c>
      <c r="C891" s="33" t="s">
        <v>1062</v>
      </c>
      <c r="D891" s="33" t="s">
        <v>1070</v>
      </c>
      <c r="E891" s="33" t="s">
        <v>2844</v>
      </c>
      <c r="F891" s="38" t="s">
        <v>48</v>
      </c>
    </row>
    <row r="892" spans="1:6" ht="14.5" hidden="1" customHeight="1" x14ac:dyDescent="0.35">
      <c r="A892" s="33" t="s">
        <v>1061</v>
      </c>
      <c r="B892" s="33" t="s">
        <v>86</v>
      </c>
      <c r="C892" s="33" t="s">
        <v>1062</v>
      </c>
      <c r="D892" s="33" t="s">
        <v>1071</v>
      </c>
      <c r="E892" s="33" t="s">
        <v>2839</v>
      </c>
      <c r="F892" s="38" t="s">
        <v>48</v>
      </c>
    </row>
    <row r="893" spans="1:6" ht="14.5" hidden="1" customHeight="1" x14ac:dyDescent="0.35">
      <c r="A893" s="33" t="s">
        <v>1061</v>
      </c>
      <c r="B893" s="33" t="s">
        <v>216</v>
      </c>
      <c r="C893" s="33" t="s">
        <v>1062</v>
      </c>
      <c r="D893" s="33" t="s">
        <v>1072</v>
      </c>
      <c r="E893" s="33" t="s">
        <v>2843</v>
      </c>
      <c r="F893" s="38" t="s">
        <v>56</v>
      </c>
    </row>
    <row r="894" spans="1:6" ht="14.5" hidden="1" customHeight="1" x14ac:dyDescent="0.35">
      <c r="A894" s="33" t="s">
        <v>1073</v>
      </c>
      <c r="B894" s="33" t="s">
        <v>82</v>
      </c>
      <c r="C894" s="33" t="s">
        <v>1074</v>
      </c>
      <c r="D894" s="33" t="s">
        <v>1075</v>
      </c>
      <c r="E894" s="33" t="s">
        <v>2879</v>
      </c>
      <c r="F894" s="38" t="s">
        <v>132</v>
      </c>
    </row>
    <row r="895" spans="1:6" ht="14.5" hidden="1" customHeight="1" x14ac:dyDescent="0.35">
      <c r="A895" s="33" t="s">
        <v>1073</v>
      </c>
      <c r="B895" s="33" t="s">
        <v>83</v>
      </c>
      <c r="C895" s="33" t="s">
        <v>1074</v>
      </c>
      <c r="D895" s="33" t="s">
        <v>1076</v>
      </c>
      <c r="E895" s="33" t="s">
        <v>2879</v>
      </c>
      <c r="F895" s="38" t="s">
        <v>132</v>
      </c>
    </row>
    <row r="896" spans="1:6" ht="14.5" hidden="1" customHeight="1" x14ac:dyDescent="0.35">
      <c r="A896" s="33" t="s">
        <v>1073</v>
      </c>
      <c r="B896" s="33" t="s">
        <v>85</v>
      </c>
      <c r="C896" s="33" t="s">
        <v>1074</v>
      </c>
      <c r="D896" s="33" t="s">
        <v>1077</v>
      </c>
      <c r="E896" s="33" t="s">
        <v>2844</v>
      </c>
      <c r="F896" s="38" t="s">
        <v>48</v>
      </c>
    </row>
    <row r="897" spans="1:6" ht="14.5" hidden="1" customHeight="1" x14ac:dyDescent="0.35">
      <c r="A897" s="33" t="s">
        <v>1073</v>
      </c>
      <c r="B897" s="33" t="s">
        <v>378</v>
      </c>
      <c r="C897" s="33" t="s">
        <v>1074</v>
      </c>
      <c r="D897" s="33" t="s">
        <v>1078</v>
      </c>
      <c r="E897" s="33" t="s">
        <v>2839</v>
      </c>
      <c r="F897" s="38" t="s">
        <v>48</v>
      </c>
    </row>
    <row r="898" spans="1:6" ht="14.5" hidden="1" customHeight="1" x14ac:dyDescent="0.35">
      <c r="A898" s="33" t="s">
        <v>1079</v>
      </c>
      <c r="B898" s="33" t="s">
        <v>80</v>
      </c>
      <c r="C898" s="33" t="s">
        <v>1080</v>
      </c>
      <c r="D898" s="33" t="s">
        <v>1081</v>
      </c>
      <c r="E898" s="33" t="s">
        <v>2879</v>
      </c>
      <c r="F898" s="38" t="s">
        <v>132</v>
      </c>
    </row>
    <row r="899" spans="1:6" ht="14.5" hidden="1" customHeight="1" x14ac:dyDescent="0.35">
      <c r="A899" s="33" t="s">
        <v>1079</v>
      </c>
      <c r="B899" s="33" t="s">
        <v>83</v>
      </c>
      <c r="C899" s="33" t="s">
        <v>1080</v>
      </c>
      <c r="D899" s="33" t="s">
        <v>1082</v>
      </c>
      <c r="E899" s="33" t="s">
        <v>2879</v>
      </c>
      <c r="F899" s="38" t="s">
        <v>132</v>
      </c>
    </row>
    <row r="900" spans="1:6" ht="14.5" hidden="1" customHeight="1" x14ac:dyDescent="0.35">
      <c r="A900" s="33" t="s">
        <v>1079</v>
      </c>
      <c r="B900" s="33" t="s">
        <v>85</v>
      </c>
      <c r="C900" s="33" t="s">
        <v>1080</v>
      </c>
      <c r="D900" s="33" t="s">
        <v>1083</v>
      </c>
      <c r="E900" s="33" t="s">
        <v>2838</v>
      </c>
      <c r="F900" s="38" t="s">
        <v>48</v>
      </c>
    </row>
    <row r="901" spans="1:6" ht="14.5" hidden="1" customHeight="1" x14ac:dyDescent="0.35">
      <c r="A901" s="33" t="s">
        <v>1079</v>
      </c>
      <c r="B901" s="33" t="s">
        <v>378</v>
      </c>
      <c r="C901" s="33" t="s">
        <v>1080</v>
      </c>
      <c r="D901" s="33" t="s">
        <v>1084</v>
      </c>
      <c r="E901" s="33" t="s">
        <v>2839</v>
      </c>
      <c r="F901" s="38" t="s">
        <v>48</v>
      </c>
    </row>
    <row r="902" spans="1:6" ht="14.5" hidden="1" customHeight="1" x14ac:dyDescent="0.35">
      <c r="A902" s="33" t="s">
        <v>1079</v>
      </c>
      <c r="B902" s="33" t="s">
        <v>86</v>
      </c>
      <c r="C902" s="33" t="s">
        <v>1080</v>
      </c>
      <c r="D902" s="33" t="s">
        <v>1085</v>
      </c>
      <c r="E902" s="33" t="s">
        <v>2879</v>
      </c>
      <c r="F902" s="38" t="s">
        <v>132</v>
      </c>
    </row>
    <row r="903" spans="1:6" ht="14.5" customHeight="1" x14ac:dyDescent="0.35">
      <c r="A903" s="33" t="s">
        <v>1086</v>
      </c>
      <c r="B903" s="33" t="s">
        <v>82</v>
      </c>
      <c r="C903" s="33" t="s">
        <v>1087</v>
      </c>
      <c r="D903" s="33" t="s">
        <v>1088</v>
      </c>
      <c r="E903" s="33" t="s">
        <v>2879</v>
      </c>
      <c r="F903" s="38" t="s">
        <v>1687</v>
      </c>
    </row>
    <row r="904" spans="1:6" ht="14.5" hidden="1" customHeight="1" x14ac:dyDescent="0.35">
      <c r="A904" s="33" t="s">
        <v>1086</v>
      </c>
      <c r="B904" s="33" t="s">
        <v>19</v>
      </c>
      <c r="C904" s="33" t="s">
        <v>1087</v>
      </c>
      <c r="D904" s="33" t="s">
        <v>1089</v>
      </c>
      <c r="E904" s="33" t="s">
        <v>2844</v>
      </c>
      <c r="F904" s="38" t="s">
        <v>48</v>
      </c>
    </row>
    <row r="905" spans="1:6" ht="14.5" hidden="1" customHeight="1" x14ac:dyDescent="0.35">
      <c r="A905" s="33" t="s">
        <v>1086</v>
      </c>
      <c r="B905" s="33" t="s">
        <v>84</v>
      </c>
      <c r="C905" s="33" t="s">
        <v>1087</v>
      </c>
      <c r="D905" s="33" t="s">
        <v>1090</v>
      </c>
      <c r="E905" s="33" t="s">
        <v>2839</v>
      </c>
      <c r="F905" s="38" t="s">
        <v>48</v>
      </c>
    </row>
    <row r="906" spans="1:6" ht="14.5" customHeight="1" x14ac:dyDescent="0.35">
      <c r="A906" s="33" t="s">
        <v>1086</v>
      </c>
      <c r="B906" s="33" t="s">
        <v>86</v>
      </c>
      <c r="C906" s="33" t="s">
        <v>1087</v>
      </c>
      <c r="D906" s="33" t="s">
        <v>1091</v>
      </c>
      <c r="E906" s="33" t="s">
        <v>2879</v>
      </c>
      <c r="F906" s="38" t="s">
        <v>1687</v>
      </c>
    </row>
    <row r="907" spans="1:6" ht="14.5" hidden="1" customHeight="1" x14ac:dyDescent="0.35">
      <c r="A907" s="33" t="s">
        <v>1092</v>
      </c>
      <c r="B907" s="33" t="s">
        <v>180</v>
      </c>
      <c r="C907" s="33" t="s">
        <v>1093</v>
      </c>
      <c r="D907" s="33" t="s">
        <v>1094</v>
      </c>
      <c r="E907" s="33" t="s">
        <v>2876</v>
      </c>
      <c r="F907" s="38" t="s">
        <v>50</v>
      </c>
    </row>
    <row r="908" spans="1:6" ht="14.5" hidden="1" customHeight="1" x14ac:dyDescent="0.35">
      <c r="A908" s="33" t="s">
        <v>1092</v>
      </c>
      <c r="B908" s="33" t="s">
        <v>1095</v>
      </c>
      <c r="C908" s="33" t="s">
        <v>1093</v>
      </c>
      <c r="D908" s="33" t="s">
        <v>1096</v>
      </c>
      <c r="E908" s="33" t="s">
        <v>2839</v>
      </c>
      <c r="F908" s="38" t="s">
        <v>48</v>
      </c>
    </row>
    <row r="909" spans="1:6" ht="14.5" hidden="1" customHeight="1" x14ac:dyDescent="0.35">
      <c r="A909" s="33" t="s">
        <v>1092</v>
      </c>
      <c r="B909" s="33" t="s">
        <v>81</v>
      </c>
      <c r="C909" s="33" t="s">
        <v>1093</v>
      </c>
      <c r="D909" s="33" t="s">
        <v>1097</v>
      </c>
      <c r="E909" s="33" t="s">
        <v>2844</v>
      </c>
      <c r="F909" s="38" t="s">
        <v>48</v>
      </c>
    </row>
    <row r="910" spans="1:6" ht="14.5" hidden="1" customHeight="1" x14ac:dyDescent="0.35">
      <c r="A910" s="33" t="s">
        <v>1092</v>
      </c>
      <c r="B910" s="33" t="s">
        <v>80</v>
      </c>
      <c r="C910" s="33" t="s">
        <v>1093</v>
      </c>
      <c r="D910" s="33" t="s">
        <v>1098</v>
      </c>
      <c r="E910" s="33" t="s">
        <v>2837</v>
      </c>
      <c r="F910" s="38" t="s">
        <v>742</v>
      </c>
    </row>
    <row r="911" spans="1:6" ht="14.5" hidden="1" customHeight="1" x14ac:dyDescent="0.35">
      <c r="A911" s="33" t="s">
        <v>1092</v>
      </c>
      <c r="B911" s="33" t="s">
        <v>82</v>
      </c>
      <c r="C911" s="33" t="s">
        <v>1093</v>
      </c>
      <c r="D911" s="33" t="s">
        <v>1099</v>
      </c>
      <c r="E911" s="33" t="s">
        <v>2859</v>
      </c>
      <c r="F911" s="38" t="s">
        <v>56</v>
      </c>
    </row>
    <row r="912" spans="1:6" ht="14.5" hidden="1" customHeight="1" x14ac:dyDescent="0.35">
      <c r="A912" s="33" t="s">
        <v>1092</v>
      </c>
      <c r="B912" s="33" t="s">
        <v>83</v>
      </c>
      <c r="C912" s="33" t="s">
        <v>1093</v>
      </c>
      <c r="D912" s="33" t="s">
        <v>1100</v>
      </c>
      <c r="E912" s="33" t="s">
        <v>2843</v>
      </c>
      <c r="F912" s="38" t="s">
        <v>56</v>
      </c>
    </row>
    <row r="913" spans="1:6" ht="14.5" hidden="1" customHeight="1" x14ac:dyDescent="0.35">
      <c r="A913" s="33" t="s">
        <v>1092</v>
      </c>
      <c r="B913" s="33" t="s">
        <v>19</v>
      </c>
      <c r="C913" s="33" t="s">
        <v>1093</v>
      </c>
      <c r="D913" s="33" t="s">
        <v>1101</v>
      </c>
      <c r="E913" s="33" t="s">
        <v>2845</v>
      </c>
      <c r="F913" s="38" t="s">
        <v>50</v>
      </c>
    </row>
    <row r="914" spans="1:6" ht="14.5" hidden="1" customHeight="1" x14ac:dyDescent="0.35">
      <c r="A914" s="33" t="s">
        <v>1092</v>
      </c>
      <c r="B914" s="33" t="s">
        <v>84</v>
      </c>
      <c r="C914" s="33" t="s">
        <v>1093</v>
      </c>
      <c r="D914" s="33" t="s">
        <v>1102</v>
      </c>
      <c r="E914" s="33" t="s">
        <v>2845</v>
      </c>
      <c r="F914" s="38" t="s">
        <v>50</v>
      </c>
    </row>
    <row r="915" spans="1:6" ht="14.5" hidden="1" customHeight="1" x14ac:dyDescent="0.35">
      <c r="A915" s="33" t="s">
        <v>1092</v>
      </c>
      <c r="B915" s="33" t="s">
        <v>85</v>
      </c>
      <c r="C915" s="33" t="s">
        <v>1093</v>
      </c>
      <c r="D915" s="33" t="s">
        <v>1103</v>
      </c>
      <c r="E915" s="33" t="s">
        <v>2845</v>
      </c>
      <c r="F915" s="38" t="s">
        <v>50</v>
      </c>
    </row>
    <row r="916" spans="1:6" ht="14.5" hidden="1" customHeight="1" x14ac:dyDescent="0.35">
      <c r="A916" s="33" t="s">
        <v>1092</v>
      </c>
      <c r="B916" s="33" t="s">
        <v>86</v>
      </c>
      <c r="C916" s="33" t="s">
        <v>1093</v>
      </c>
      <c r="D916" s="33" t="s">
        <v>1103</v>
      </c>
      <c r="E916" s="33" t="s">
        <v>2845</v>
      </c>
      <c r="F916" s="38" t="s">
        <v>50</v>
      </c>
    </row>
    <row r="917" spans="1:6" ht="14.5" hidden="1" customHeight="1" x14ac:dyDescent="0.35">
      <c r="A917" s="33" t="s">
        <v>1092</v>
      </c>
      <c r="B917" s="33" t="s">
        <v>89</v>
      </c>
      <c r="C917" s="33" t="s">
        <v>1093</v>
      </c>
      <c r="D917" s="33" t="s">
        <v>1104</v>
      </c>
      <c r="E917" s="33" t="s">
        <v>2859</v>
      </c>
      <c r="F917" s="38" t="s">
        <v>56</v>
      </c>
    </row>
    <row r="918" spans="1:6" ht="14.5" hidden="1" customHeight="1" x14ac:dyDescent="0.35">
      <c r="A918" s="33" t="s">
        <v>1092</v>
      </c>
      <c r="B918" s="33" t="s">
        <v>87</v>
      </c>
      <c r="C918" s="33" t="s">
        <v>1093</v>
      </c>
      <c r="D918" s="33" t="s">
        <v>1105</v>
      </c>
      <c r="E918" s="33" t="s">
        <v>2837</v>
      </c>
      <c r="F918" s="38" t="s">
        <v>742</v>
      </c>
    </row>
    <row r="919" spans="1:6" ht="14.5" hidden="1" customHeight="1" x14ac:dyDescent="0.35">
      <c r="A919" s="33" t="s">
        <v>1092</v>
      </c>
      <c r="B919" s="33" t="s">
        <v>88</v>
      </c>
      <c r="C919" s="33" t="s">
        <v>1093</v>
      </c>
      <c r="D919" s="33" t="s">
        <v>1106</v>
      </c>
      <c r="E919" s="33" t="s">
        <v>2843</v>
      </c>
      <c r="F919" s="38" t="s">
        <v>56</v>
      </c>
    </row>
    <row r="920" spans="1:6" ht="14.5" hidden="1" customHeight="1" x14ac:dyDescent="0.35">
      <c r="A920" s="33" t="s">
        <v>1107</v>
      </c>
      <c r="B920" s="33" t="s">
        <v>90</v>
      </c>
      <c r="C920" s="33" t="s">
        <v>1108</v>
      </c>
      <c r="D920" s="33" t="s">
        <v>1109</v>
      </c>
      <c r="E920" s="33" t="s">
        <v>2856</v>
      </c>
      <c r="F920" s="38" t="s">
        <v>56</v>
      </c>
    </row>
    <row r="921" spans="1:6" ht="14.5" hidden="1" customHeight="1" x14ac:dyDescent="0.35">
      <c r="A921" s="33" t="s">
        <v>1107</v>
      </c>
      <c r="B921" s="33" t="s">
        <v>91</v>
      </c>
      <c r="C921" s="33" t="s">
        <v>1108</v>
      </c>
      <c r="D921" s="33" t="s">
        <v>1110</v>
      </c>
      <c r="E921" s="33" t="s">
        <v>2856</v>
      </c>
      <c r="F921" s="38" t="s">
        <v>56</v>
      </c>
    </row>
    <row r="922" spans="1:6" ht="14.5" hidden="1" customHeight="1" x14ac:dyDescent="0.35">
      <c r="A922" s="33" t="s">
        <v>1107</v>
      </c>
      <c r="B922" s="33" t="s">
        <v>1111</v>
      </c>
      <c r="C922" s="33" t="s">
        <v>1108</v>
      </c>
      <c r="D922" s="33" t="s">
        <v>1112</v>
      </c>
      <c r="E922" s="33" t="s">
        <v>2847</v>
      </c>
      <c r="F922" s="38" t="s">
        <v>56</v>
      </c>
    </row>
    <row r="923" spans="1:6" ht="14.5" hidden="1" customHeight="1" x14ac:dyDescent="0.35">
      <c r="A923" s="33" t="s">
        <v>1107</v>
      </c>
      <c r="B923" s="33" t="s">
        <v>95</v>
      </c>
      <c r="C923" s="33" t="s">
        <v>1108</v>
      </c>
      <c r="D923" s="33" t="s">
        <v>1113</v>
      </c>
      <c r="E923" s="33" t="s">
        <v>2856</v>
      </c>
      <c r="F923" s="38" t="s">
        <v>56</v>
      </c>
    </row>
    <row r="924" spans="1:6" ht="14.5" hidden="1" customHeight="1" x14ac:dyDescent="0.35">
      <c r="A924" s="33" t="s">
        <v>1107</v>
      </c>
      <c r="B924" s="33" t="s">
        <v>96</v>
      </c>
      <c r="C924" s="33" t="s">
        <v>1108</v>
      </c>
      <c r="D924" s="33" t="s">
        <v>1114</v>
      </c>
      <c r="E924" s="33" t="s">
        <v>2856</v>
      </c>
      <c r="F924" s="38" t="s">
        <v>56</v>
      </c>
    </row>
    <row r="925" spans="1:6" ht="14.5" hidden="1" customHeight="1" x14ac:dyDescent="0.35">
      <c r="A925" s="33" t="s">
        <v>1115</v>
      </c>
      <c r="B925" s="33" t="s">
        <v>90</v>
      </c>
      <c r="C925" s="33" t="s">
        <v>1116</v>
      </c>
      <c r="D925" s="33" t="s">
        <v>1109</v>
      </c>
      <c r="E925" s="33" t="s">
        <v>2856</v>
      </c>
      <c r="F925" s="38" t="s">
        <v>56</v>
      </c>
    </row>
    <row r="926" spans="1:6" ht="14.5" hidden="1" customHeight="1" x14ac:dyDescent="0.35">
      <c r="A926" s="33" t="s">
        <v>1115</v>
      </c>
      <c r="B926" s="33" t="s">
        <v>91</v>
      </c>
      <c r="C926" s="33" t="s">
        <v>1116</v>
      </c>
      <c r="D926" s="33" t="s">
        <v>1110</v>
      </c>
      <c r="E926" s="33" t="s">
        <v>2856</v>
      </c>
      <c r="F926" s="38" t="s">
        <v>56</v>
      </c>
    </row>
    <row r="927" spans="1:6" ht="14.5" hidden="1" customHeight="1" x14ac:dyDescent="0.35">
      <c r="A927" s="33" t="s">
        <v>1115</v>
      </c>
      <c r="B927" s="33" t="s">
        <v>1111</v>
      </c>
      <c r="C927" s="33" t="s">
        <v>1116</v>
      </c>
      <c r="D927" s="33" t="s">
        <v>1112</v>
      </c>
      <c r="E927" s="33" t="s">
        <v>2847</v>
      </c>
      <c r="F927" s="38" t="s">
        <v>56</v>
      </c>
    </row>
    <row r="928" spans="1:6" ht="14.5" hidden="1" customHeight="1" x14ac:dyDescent="0.35">
      <c r="A928" s="33" t="s">
        <v>1115</v>
      </c>
      <c r="B928" s="33" t="s">
        <v>95</v>
      </c>
      <c r="C928" s="33" t="s">
        <v>1116</v>
      </c>
      <c r="D928" s="33" t="s">
        <v>1113</v>
      </c>
      <c r="E928" s="33" t="s">
        <v>2856</v>
      </c>
      <c r="F928" s="38" t="s">
        <v>56</v>
      </c>
    </row>
    <row r="929" spans="1:6" ht="14.5" hidden="1" customHeight="1" x14ac:dyDescent="0.35">
      <c r="A929" s="33" t="s">
        <v>1115</v>
      </c>
      <c r="B929" s="33" t="s">
        <v>96</v>
      </c>
      <c r="C929" s="33" t="s">
        <v>1116</v>
      </c>
      <c r="D929" s="33" t="s">
        <v>1114</v>
      </c>
      <c r="E929" s="33" t="s">
        <v>2856</v>
      </c>
      <c r="F929" s="38" t="s">
        <v>56</v>
      </c>
    </row>
    <row r="930" spans="1:6" ht="14.5" customHeight="1" x14ac:dyDescent="0.35">
      <c r="A930" s="33" t="s">
        <v>1117</v>
      </c>
      <c r="B930" s="33" t="s">
        <v>82</v>
      </c>
      <c r="C930" s="33" t="s">
        <v>1118</v>
      </c>
      <c r="D930" s="33" t="s">
        <v>1119</v>
      </c>
      <c r="E930" s="33" t="s">
        <v>2879</v>
      </c>
      <c r="F930" s="38" t="s">
        <v>1687</v>
      </c>
    </row>
    <row r="931" spans="1:6" ht="14.5" customHeight="1" x14ac:dyDescent="0.35">
      <c r="A931" s="33" t="s">
        <v>1117</v>
      </c>
      <c r="B931" s="33" t="s">
        <v>83</v>
      </c>
      <c r="C931" s="33" t="s">
        <v>1118</v>
      </c>
      <c r="D931" s="33" t="s">
        <v>1120</v>
      </c>
      <c r="E931" s="33" t="s">
        <v>2879</v>
      </c>
      <c r="F931" s="38" t="s">
        <v>1687</v>
      </c>
    </row>
    <row r="932" spans="1:6" ht="14.5" hidden="1" customHeight="1" x14ac:dyDescent="0.35">
      <c r="A932" s="33" t="s">
        <v>1117</v>
      </c>
      <c r="B932" s="33" t="s">
        <v>19</v>
      </c>
      <c r="C932" s="33" t="s">
        <v>1118</v>
      </c>
      <c r="D932" s="33" t="s">
        <v>1121</v>
      </c>
      <c r="E932" s="33" t="s">
        <v>2839</v>
      </c>
      <c r="F932" s="38" t="s">
        <v>48</v>
      </c>
    </row>
    <row r="933" spans="1:6" ht="14.5" hidden="1" customHeight="1" x14ac:dyDescent="0.35">
      <c r="A933" s="33" t="s">
        <v>1117</v>
      </c>
      <c r="B933" s="33" t="s">
        <v>85</v>
      </c>
      <c r="C933" s="33" t="s">
        <v>1118</v>
      </c>
      <c r="D933" s="33" t="s">
        <v>1122</v>
      </c>
      <c r="E933" s="33" t="s">
        <v>2844</v>
      </c>
      <c r="F933" s="38" t="s">
        <v>48</v>
      </c>
    </row>
    <row r="934" spans="1:6" ht="14.5" customHeight="1" x14ac:dyDescent="0.35">
      <c r="A934" s="33" t="s">
        <v>1117</v>
      </c>
      <c r="B934" s="33" t="s">
        <v>86</v>
      </c>
      <c r="C934" s="33" t="s">
        <v>1118</v>
      </c>
      <c r="D934" s="33" t="s">
        <v>1123</v>
      </c>
      <c r="E934" s="33" t="s">
        <v>2879</v>
      </c>
      <c r="F934" s="38" t="s">
        <v>1687</v>
      </c>
    </row>
    <row r="935" spans="1:6" ht="14.5" customHeight="1" x14ac:dyDescent="0.35">
      <c r="A935" s="33" t="s">
        <v>1124</v>
      </c>
      <c r="B935" s="33" t="s">
        <v>80</v>
      </c>
      <c r="C935" s="33" t="s">
        <v>1125</v>
      </c>
      <c r="D935" s="33" t="s">
        <v>1126</v>
      </c>
      <c r="E935" s="33" t="s">
        <v>2879</v>
      </c>
      <c r="F935" s="38" t="s">
        <v>1687</v>
      </c>
    </row>
    <row r="936" spans="1:6" ht="14.5" customHeight="1" x14ac:dyDescent="0.35">
      <c r="A936" s="33" t="s">
        <v>1124</v>
      </c>
      <c r="B936" s="33" t="s">
        <v>19</v>
      </c>
      <c r="C936" s="33" t="s">
        <v>1125</v>
      </c>
      <c r="D936" s="33" t="s">
        <v>1127</v>
      </c>
      <c r="E936" s="33" t="s">
        <v>2879</v>
      </c>
      <c r="F936" s="38" t="s">
        <v>1687</v>
      </c>
    </row>
    <row r="937" spans="1:6" ht="14.5" hidden="1" customHeight="1" x14ac:dyDescent="0.35">
      <c r="A937" s="33" t="s">
        <v>1124</v>
      </c>
      <c r="B937" s="33" t="s">
        <v>85</v>
      </c>
      <c r="C937" s="33" t="s">
        <v>1125</v>
      </c>
      <c r="D937" s="33" t="s">
        <v>1128</v>
      </c>
      <c r="E937" s="33" t="s">
        <v>2844</v>
      </c>
      <c r="F937" s="38" t="s">
        <v>48</v>
      </c>
    </row>
    <row r="938" spans="1:6" ht="14.5" hidden="1" customHeight="1" x14ac:dyDescent="0.35">
      <c r="A938" s="33" t="s">
        <v>1124</v>
      </c>
      <c r="B938" s="33" t="s">
        <v>86</v>
      </c>
      <c r="C938" s="33" t="s">
        <v>1125</v>
      </c>
      <c r="D938" s="33" t="s">
        <v>1129</v>
      </c>
      <c r="E938" s="33" t="s">
        <v>2839</v>
      </c>
      <c r="F938" s="38" t="s">
        <v>48</v>
      </c>
    </row>
    <row r="939" spans="1:6" ht="14.5" customHeight="1" x14ac:dyDescent="0.35">
      <c r="A939" s="33" t="s">
        <v>1124</v>
      </c>
      <c r="B939" s="33" t="s">
        <v>89</v>
      </c>
      <c r="C939" s="33" t="s">
        <v>1125</v>
      </c>
      <c r="D939" s="33" t="s">
        <v>1130</v>
      </c>
      <c r="E939" s="33" t="s">
        <v>2879</v>
      </c>
      <c r="F939" s="38" t="s">
        <v>1687</v>
      </c>
    </row>
    <row r="940" spans="1:6" ht="14.5" hidden="1" customHeight="1" x14ac:dyDescent="0.35">
      <c r="A940" s="33" t="s">
        <v>1131</v>
      </c>
      <c r="B940" s="33" t="s">
        <v>80</v>
      </c>
      <c r="C940" s="33" t="s">
        <v>1132</v>
      </c>
      <c r="D940" s="33" t="s">
        <v>1133</v>
      </c>
      <c r="E940" s="33" t="s">
        <v>2879</v>
      </c>
      <c r="F940" s="38" t="s">
        <v>132</v>
      </c>
    </row>
    <row r="941" spans="1:6" ht="14.5" hidden="1" customHeight="1" x14ac:dyDescent="0.35">
      <c r="A941" s="33" t="s">
        <v>1131</v>
      </c>
      <c r="B941" s="33" t="s">
        <v>83</v>
      </c>
      <c r="C941" s="33" t="s">
        <v>1132</v>
      </c>
      <c r="D941" s="33" t="s">
        <v>1134</v>
      </c>
      <c r="E941" s="33" t="s">
        <v>2879</v>
      </c>
      <c r="F941" s="38" t="s">
        <v>132</v>
      </c>
    </row>
    <row r="942" spans="1:6" ht="14.5" hidden="1" customHeight="1" x14ac:dyDescent="0.35">
      <c r="A942" s="33" t="s">
        <v>1131</v>
      </c>
      <c r="B942" s="33" t="s">
        <v>84</v>
      </c>
      <c r="C942" s="33" t="s">
        <v>1132</v>
      </c>
      <c r="D942" s="33" t="s">
        <v>1135</v>
      </c>
      <c r="E942" s="33" t="s">
        <v>2844</v>
      </c>
      <c r="F942" s="38" t="s">
        <v>48</v>
      </c>
    </row>
    <row r="943" spans="1:6" ht="14.5" hidden="1" customHeight="1" x14ac:dyDescent="0.35">
      <c r="A943" s="33" t="s">
        <v>1131</v>
      </c>
      <c r="B943" s="33" t="s">
        <v>85</v>
      </c>
      <c r="C943" s="33" t="s">
        <v>1132</v>
      </c>
      <c r="D943" s="33" t="s">
        <v>1136</v>
      </c>
      <c r="E943" s="33" t="s">
        <v>2839</v>
      </c>
      <c r="F943" s="38" t="s">
        <v>48</v>
      </c>
    </row>
    <row r="944" spans="1:6" ht="14.5" hidden="1" customHeight="1" x14ac:dyDescent="0.35">
      <c r="A944" s="33" t="s">
        <v>1131</v>
      </c>
      <c r="B944" s="33" t="s">
        <v>86</v>
      </c>
      <c r="C944" s="33" t="s">
        <v>1132</v>
      </c>
      <c r="D944" s="33" t="s">
        <v>1137</v>
      </c>
      <c r="E944" s="33" t="s">
        <v>2879</v>
      </c>
      <c r="F944" s="38" t="s">
        <v>132</v>
      </c>
    </row>
    <row r="945" spans="1:6" ht="14.5" hidden="1" customHeight="1" x14ac:dyDescent="0.35">
      <c r="A945" s="33" t="s">
        <v>1138</v>
      </c>
      <c r="B945" s="33" t="s">
        <v>80</v>
      </c>
      <c r="C945" s="33" t="s">
        <v>1139</v>
      </c>
      <c r="D945" s="33" t="s">
        <v>1140</v>
      </c>
      <c r="E945" s="33" t="s">
        <v>2879</v>
      </c>
      <c r="F945" s="38" t="s">
        <v>132</v>
      </c>
    </row>
    <row r="946" spans="1:6" ht="14.5" hidden="1" customHeight="1" x14ac:dyDescent="0.35">
      <c r="A946" s="33" t="s">
        <v>1138</v>
      </c>
      <c r="B946" s="33" t="s">
        <v>82</v>
      </c>
      <c r="C946" s="33" t="s">
        <v>1139</v>
      </c>
      <c r="D946" s="33" t="s">
        <v>1141</v>
      </c>
      <c r="E946" s="33" t="s">
        <v>2879</v>
      </c>
      <c r="F946" s="38" t="s">
        <v>132</v>
      </c>
    </row>
    <row r="947" spans="1:6" ht="14.5" hidden="1" customHeight="1" x14ac:dyDescent="0.35">
      <c r="A947" s="33" t="s">
        <v>1138</v>
      </c>
      <c r="B947" s="33" t="s">
        <v>19</v>
      </c>
      <c r="C947" s="33" t="s">
        <v>1139</v>
      </c>
      <c r="D947" s="33" t="s">
        <v>1142</v>
      </c>
      <c r="E947" s="33" t="s">
        <v>2838</v>
      </c>
      <c r="F947" s="38" t="s">
        <v>48</v>
      </c>
    </row>
    <row r="948" spans="1:6" ht="14.5" hidden="1" customHeight="1" x14ac:dyDescent="0.35">
      <c r="A948" s="33" t="s">
        <v>1138</v>
      </c>
      <c r="B948" s="33" t="s">
        <v>174</v>
      </c>
      <c r="C948" s="33" t="s">
        <v>1139</v>
      </c>
      <c r="D948" s="33" t="s">
        <v>1143</v>
      </c>
      <c r="E948" s="33" t="s">
        <v>2839</v>
      </c>
      <c r="F948" s="38" t="s">
        <v>48</v>
      </c>
    </row>
    <row r="949" spans="1:6" ht="14.5" hidden="1" customHeight="1" x14ac:dyDescent="0.35">
      <c r="A949" s="33" t="s">
        <v>1138</v>
      </c>
      <c r="B949" s="33" t="s">
        <v>84</v>
      </c>
      <c r="C949" s="33" t="s">
        <v>1139</v>
      </c>
      <c r="D949" s="33" t="s">
        <v>1144</v>
      </c>
      <c r="E949" s="33" t="s">
        <v>2879</v>
      </c>
      <c r="F949" s="38" t="s">
        <v>132</v>
      </c>
    </row>
    <row r="950" spans="1:6" ht="14.5" hidden="1" customHeight="1" x14ac:dyDescent="0.35">
      <c r="A950" s="33" t="s">
        <v>1145</v>
      </c>
      <c r="B950" s="33" t="s">
        <v>82</v>
      </c>
      <c r="C950" s="33" t="s">
        <v>1146</v>
      </c>
      <c r="D950" s="33" t="s">
        <v>1147</v>
      </c>
      <c r="E950" s="33" t="s">
        <v>2879</v>
      </c>
      <c r="F950" s="38" t="s">
        <v>132</v>
      </c>
    </row>
    <row r="951" spans="1:6" ht="14.5" hidden="1" customHeight="1" x14ac:dyDescent="0.35">
      <c r="A951" s="33" t="s">
        <v>1145</v>
      </c>
      <c r="B951" s="33" t="s">
        <v>83</v>
      </c>
      <c r="C951" s="33" t="s">
        <v>1146</v>
      </c>
      <c r="D951" s="33" t="s">
        <v>1148</v>
      </c>
      <c r="E951" s="33" t="s">
        <v>2879</v>
      </c>
      <c r="F951" s="38" t="s">
        <v>132</v>
      </c>
    </row>
    <row r="952" spans="1:6" ht="14.5" hidden="1" customHeight="1" x14ac:dyDescent="0.35">
      <c r="A952" s="33" t="s">
        <v>1145</v>
      </c>
      <c r="B952" s="33" t="s">
        <v>85</v>
      </c>
      <c r="C952" s="33" t="s">
        <v>1146</v>
      </c>
      <c r="D952" s="33" t="s">
        <v>1149</v>
      </c>
      <c r="E952" s="33" t="s">
        <v>2879</v>
      </c>
      <c r="F952" s="38" t="s">
        <v>132</v>
      </c>
    </row>
    <row r="953" spans="1:6" ht="14.5" hidden="1" customHeight="1" x14ac:dyDescent="0.35">
      <c r="A953" s="33" t="s">
        <v>1150</v>
      </c>
      <c r="B953" s="33" t="s">
        <v>82</v>
      </c>
      <c r="C953" s="33" t="s">
        <v>1151</v>
      </c>
      <c r="D953" s="33" t="s">
        <v>1152</v>
      </c>
      <c r="E953" s="33" t="s">
        <v>2879</v>
      </c>
      <c r="F953" s="38" t="s">
        <v>132</v>
      </c>
    </row>
    <row r="954" spans="1:6" ht="14.5" hidden="1" customHeight="1" x14ac:dyDescent="0.35">
      <c r="A954" s="33" t="s">
        <v>1150</v>
      </c>
      <c r="B954" s="33" t="s">
        <v>83</v>
      </c>
      <c r="C954" s="33" t="s">
        <v>1151</v>
      </c>
      <c r="D954" s="33" t="s">
        <v>1153</v>
      </c>
      <c r="E954" s="33" t="s">
        <v>2879</v>
      </c>
      <c r="F954" s="38" t="s">
        <v>132</v>
      </c>
    </row>
    <row r="955" spans="1:6" ht="14.5" hidden="1" customHeight="1" x14ac:dyDescent="0.35">
      <c r="A955" s="33" t="s">
        <v>1150</v>
      </c>
      <c r="B955" s="33" t="s">
        <v>84</v>
      </c>
      <c r="C955" s="33" t="s">
        <v>1151</v>
      </c>
      <c r="D955" s="33" t="s">
        <v>1154</v>
      </c>
      <c r="E955" s="33" t="s">
        <v>2838</v>
      </c>
      <c r="F955" s="38" t="s">
        <v>48</v>
      </c>
    </row>
    <row r="956" spans="1:6" ht="14.5" hidden="1" customHeight="1" x14ac:dyDescent="0.35">
      <c r="A956" s="33" t="s">
        <v>1150</v>
      </c>
      <c r="B956" s="33" t="s">
        <v>85</v>
      </c>
      <c r="C956" s="33" t="s">
        <v>1151</v>
      </c>
      <c r="D956" s="33" t="s">
        <v>1155</v>
      </c>
      <c r="E956" s="33" t="s">
        <v>2841</v>
      </c>
      <c r="F956" s="38" t="s">
        <v>2569</v>
      </c>
    </row>
    <row r="957" spans="1:6" ht="14.5" hidden="1" customHeight="1" x14ac:dyDescent="0.35">
      <c r="A957" s="33" t="s">
        <v>1156</v>
      </c>
      <c r="B957" s="33" t="s">
        <v>82</v>
      </c>
      <c r="C957" s="33" t="s">
        <v>1157</v>
      </c>
      <c r="D957" s="33" t="s">
        <v>1147</v>
      </c>
      <c r="E957" s="33" t="s">
        <v>2879</v>
      </c>
      <c r="F957" s="38" t="s">
        <v>132</v>
      </c>
    </row>
    <row r="958" spans="1:6" ht="14.5" hidden="1" customHeight="1" x14ac:dyDescent="0.35">
      <c r="A958" s="33" t="s">
        <v>1156</v>
      </c>
      <c r="B958" s="33" t="s">
        <v>83</v>
      </c>
      <c r="C958" s="33" t="s">
        <v>1157</v>
      </c>
      <c r="D958" s="33" t="s">
        <v>1148</v>
      </c>
      <c r="E958" s="33" t="s">
        <v>2879</v>
      </c>
      <c r="F958" s="38" t="s">
        <v>132</v>
      </c>
    </row>
    <row r="959" spans="1:6" ht="14.5" hidden="1" customHeight="1" x14ac:dyDescent="0.35">
      <c r="A959" s="33" t="s">
        <v>1156</v>
      </c>
      <c r="B959" s="33" t="s">
        <v>85</v>
      </c>
      <c r="C959" s="33" t="s">
        <v>1157</v>
      </c>
      <c r="D959" s="33" t="s">
        <v>1149</v>
      </c>
      <c r="E959" s="33" t="s">
        <v>2879</v>
      </c>
      <c r="F959" s="38" t="s">
        <v>132</v>
      </c>
    </row>
    <row r="960" spans="1:6" ht="14.5" hidden="1" customHeight="1" x14ac:dyDescent="0.35">
      <c r="A960" s="33" t="s">
        <v>1158</v>
      </c>
      <c r="B960" s="33" t="s">
        <v>80</v>
      </c>
      <c r="C960" s="33" t="s">
        <v>1159</v>
      </c>
      <c r="D960" s="33" t="s">
        <v>1160</v>
      </c>
      <c r="E960" s="33" t="s">
        <v>2841</v>
      </c>
      <c r="F960" s="38" t="s">
        <v>2569</v>
      </c>
    </row>
    <row r="961" spans="1:6" ht="14.5" hidden="1" customHeight="1" x14ac:dyDescent="0.35">
      <c r="A961" s="33" t="s">
        <v>1161</v>
      </c>
      <c r="B961" s="33" t="s">
        <v>81</v>
      </c>
      <c r="C961" s="33" t="s">
        <v>1162</v>
      </c>
      <c r="D961" s="33" t="s">
        <v>1163</v>
      </c>
      <c r="E961" s="33" t="s">
        <v>2843</v>
      </c>
      <c r="F961" s="38" t="s">
        <v>56</v>
      </c>
    </row>
    <row r="962" spans="1:6" ht="14.5" customHeight="1" x14ac:dyDescent="0.35">
      <c r="A962" s="33" t="s">
        <v>1161</v>
      </c>
      <c r="B962" s="33" t="s">
        <v>80</v>
      </c>
      <c r="C962" s="33" t="s">
        <v>1162</v>
      </c>
      <c r="D962" s="33" t="s">
        <v>1164</v>
      </c>
      <c r="E962" s="33" t="s">
        <v>2879</v>
      </c>
      <c r="F962" s="38" t="s">
        <v>1687</v>
      </c>
    </row>
    <row r="963" spans="1:6" ht="14.5" customHeight="1" x14ac:dyDescent="0.35">
      <c r="A963" s="33" t="s">
        <v>1161</v>
      </c>
      <c r="B963" s="33" t="s">
        <v>226</v>
      </c>
      <c r="C963" s="33" t="s">
        <v>1162</v>
      </c>
      <c r="D963" s="33" t="s">
        <v>1165</v>
      </c>
      <c r="E963" s="33" t="s">
        <v>2879</v>
      </c>
      <c r="F963" s="38" t="s">
        <v>1687</v>
      </c>
    </row>
    <row r="964" spans="1:6" ht="14.5" hidden="1" customHeight="1" x14ac:dyDescent="0.35">
      <c r="A964" s="33" t="s">
        <v>1161</v>
      </c>
      <c r="B964" s="33" t="s">
        <v>83</v>
      </c>
      <c r="C964" s="33" t="s">
        <v>1162</v>
      </c>
      <c r="D964" s="33" t="s">
        <v>1166</v>
      </c>
      <c r="E964" s="33" t="s">
        <v>2870</v>
      </c>
      <c r="F964" s="38" t="s">
        <v>56</v>
      </c>
    </row>
    <row r="965" spans="1:6" ht="14.5" hidden="1" customHeight="1" x14ac:dyDescent="0.35">
      <c r="A965" s="33" t="s">
        <v>1161</v>
      </c>
      <c r="B965" s="33" t="s">
        <v>84</v>
      </c>
      <c r="C965" s="33" t="s">
        <v>1162</v>
      </c>
      <c r="D965" s="33" t="s">
        <v>1167</v>
      </c>
      <c r="E965" s="33" t="s">
        <v>2861</v>
      </c>
      <c r="F965" s="38" t="s">
        <v>2740</v>
      </c>
    </row>
    <row r="966" spans="1:6" ht="14.5" customHeight="1" x14ac:dyDescent="0.35">
      <c r="A966" s="33" t="s">
        <v>1161</v>
      </c>
      <c r="B966" s="33" t="s">
        <v>85</v>
      </c>
      <c r="C966" s="33" t="s">
        <v>1162</v>
      </c>
      <c r="D966" s="33" t="s">
        <v>1168</v>
      </c>
      <c r="E966" s="33" t="s">
        <v>2879</v>
      </c>
      <c r="F966" s="38" t="s">
        <v>1687</v>
      </c>
    </row>
    <row r="967" spans="1:6" ht="14.5" hidden="1" customHeight="1" x14ac:dyDescent="0.35">
      <c r="A967" s="33" t="s">
        <v>1161</v>
      </c>
      <c r="B967" s="33" t="s">
        <v>86</v>
      </c>
      <c r="C967" s="33" t="s">
        <v>1162</v>
      </c>
      <c r="D967" s="33" t="s">
        <v>1169</v>
      </c>
      <c r="E967" s="33" t="s">
        <v>2859</v>
      </c>
      <c r="F967" s="38" t="s">
        <v>56</v>
      </c>
    </row>
    <row r="968" spans="1:6" ht="14.5" customHeight="1" x14ac:dyDescent="0.35">
      <c r="A968" s="33" t="s">
        <v>1161</v>
      </c>
      <c r="B968" s="33" t="s">
        <v>89</v>
      </c>
      <c r="C968" s="33" t="s">
        <v>1162</v>
      </c>
      <c r="D968" s="33" t="s">
        <v>1170</v>
      </c>
      <c r="E968" s="33" t="s">
        <v>2879</v>
      </c>
      <c r="F968" s="38" t="s">
        <v>1687</v>
      </c>
    </row>
    <row r="969" spans="1:6" ht="14.5" customHeight="1" x14ac:dyDescent="0.35">
      <c r="A969" s="33" t="s">
        <v>1161</v>
      </c>
      <c r="B969" s="33" t="s">
        <v>87</v>
      </c>
      <c r="C969" s="33" t="s">
        <v>1162</v>
      </c>
      <c r="D969" s="33" t="s">
        <v>1171</v>
      </c>
      <c r="E969" s="33" t="s">
        <v>2879</v>
      </c>
      <c r="F969" s="38" t="s">
        <v>1687</v>
      </c>
    </row>
    <row r="970" spans="1:6" ht="14.5" hidden="1" customHeight="1" x14ac:dyDescent="0.35">
      <c r="A970" s="33" t="s">
        <v>1161</v>
      </c>
      <c r="B970" s="33" t="s">
        <v>88</v>
      </c>
      <c r="C970" s="33" t="s">
        <v>1162</v>
      </c>
      <c r="D970" s="33" t="s">
        <v>1172</v>
      </c>
      <c r="E970" s="33" t="s">
        <v>2843</v>
      </c>
      <c r="F970" s="38" t="s">
        <v>56</v>
      </c>
    </row>
    <row r="971" spans="1:6" ht="14.5" hidden="1" customHeight="1" x14ac:dyDescent="0.35">
      <c r="A971" s="33" t="s">
        <v>1173</v>
      </c>
      <c r="B971" s="33" t="s">
        <v>81</v>
      </c>
      <c r="C971" s="33" t="s">
        <v>1174</v>
      </c>
      <c r="D971" s="33" t="s">
        <v>1163</v>
      </c>
      <c r="E971" s="33" t="s">
        <v>2843</v>
      </c>
      <c r="F971" s="38" t="s">
        <v>56</v>
      </c>
    </row>
    <row r="972" spans="1:6" ht="14.5" customHeight="1" x14ac:dyDescent="0.35">
      <c r="A972" s="33" t="s">
        <v>1173</v>
      </c>
      <c r="B972" s="33" t="s">
        <v>80</v>
      </c>
      <c r="C972" s="33" t="s">
        <v>1174</v>
      </c>
      <c r="D972" s="33" t="s">
        <v>1164</v>
      </c>
      <c r="E972" s="33" t="s">
        <v>2879</v>
      </c>
      <c r="F972" s="38" t="s">
        <v>1687</v>
      </c>
    </row>
    <row r="973" spans="1:6" ht="14.5" customHeight="1" x14ac:dyDescent="0.35">
      <c r="A973" s="33" t="s">
        <v>1173</v>
      </c>
      <c r="B973" s="33" t="s">
        <v>226</v>
      </c>
      <c r="C973" s="33" t="s">
        <v>1174</v>
      </c>
      <c r="D973" s="33" t="s">
        <v>1165</v>
      </c>
      <c r="E973" s="33" t="s">
        <v>2879</v>
      </c>
      <c r="F973" s="38" t="s">
        <v>1687</v>
      </c>
    </row>
    <row r="974" spans="1:6" ht="14.5" hidden="1" customHeight="1" x14ac:dyDescent="0.35">
      <c r="A974" s="33" t="s">
        <v>1173</v>
      </c>
      <c r="B974" s="33" t="s">
        <v>83</v>
      </c>
      <c r="C974" s="33" t="s">
        <v>1174</v>
      </c>
      <c r="D974" s="33" t="s">
        <v>1166</v>
      </c>
      <c r="E974" s="33" t="s">
        <v>2870</v>
      </c>
      <c r="F974" s="38" t="s">
        <v>56</v>
      </c>
    </row>
    <row r="975" spans="1:6" ht="14.5" hidden="1" customHeight="1" x14ac:dyDescent="0.35">
      <c r="A975" s="33" t="s">
        <v>1173</v>
      </c>
      <c r="B975" s="33" t="s">
        <v>84</v>
      </c>
      <c r="C975" s="33" t="s">
        <v>1174</v>
      </c>
      <c r="D975" s="33" t="s">
        <v>1167</v>
      </c>
      <c r="E975" s="33" t="s">
        <v>2861</v>
      </c>
      <c r="F975" s="38" t="s">
        <v>2740</v>
      </c>
    </row>
    <row r="976" spans="1:6" ht="14.5" hidden="1" customHeight="1" x14ac:dyDescent="0.35">
      <c r="A976" s="33" t="s">
        <v>1173</v>
      </c>
      <c r="B976" s="33" t="s">
        <v>85</v>
      </c>
      <c r="C976" s="33" t="s">
        <v>1174</v>
      </c>
      <c r="D976" s="33" t="s">
        <v>1168</v>
      </c>
      <c r="E976" s="33" t="s">
        <v>2861</v>
      </c>
      <c r="F976" s="38" t="s">
        <v>2740</v>
      </c>
    </row>
    <row r="977" spans="1:6" ht="14.5" hidden="1" customHeight="1" x14ac:dyDescent="0.35">
      <c r="A977" s="33" t="s">
        <v>1173</v>
      </c>
      <c r="B977" s="33" t="s">
        <v>86</v>
      </c>
      <c r="C977" s="33" t="s">
        <v>1174</v>
      </c>
      <c r="D977" s="33" t="s">
        <v>1169</v>
      </c>
      <c r="E977" s="33" t="s">
        <v>2859</v>
      </c>
      <c r="F977" s="38" t="s">
        <v>56</v>
      </c>
    </row>
    <row r="978" spans="1:6" ht="14.5" customHeight="1" x14ac:dyDescent="0.35">
      <c r="A978" s="33" t="s">
        <v>1173</v>
      </c>
      <c r="B978" s="33" t="s">
        <v>89</v>
      </c>
      <c r="C978" s="33" t="s">
        <v>1174</v>
      </c>
      <c r="D978" s="33" t="s">
        <v>1170</v>
      </c>
      <c r="E978" s="33" t="s">
        <v>2879</v>
      </c>
      <c r="F978" s="38" t="s">
        <v>1687</v>
      </c>
    </row>
    <row r="979" spans="1:6" ht="14.5" customHeight="1" x14ac:dyDescent="0.35">
      <c r="A979" s="33" t="s">
        <v>1173</v>
      </c>
      <c r="B979" s="33" t="s">
        <v>87</v>
      </c>
      <c r="C979" s="33" t="s">
        <v>1174</v>
      </c>
      <c r="D979" s="33" t="s">
        <v>1171</v>
      </c>
      <c r="E979" s="33" t="s">
        <v>2879</v>
      </c>
      <c r="F979" s="38" t="s">
        <v>1687</v>
      </c>
    </row>
    <row r="980" spans="1:6" ht="14.5" hidden="1" customHeight="1" x14ac:dyDescent="0.35">
      <c r="A980" s="33" t="s">
        <v>1173</v>
      </c>
      <c r="B980" s="33" t="s">
        <v>88</v>
      </c>
      <c r="C980" s="33" t="s">
        <v>1174</v>
      </c>
      <c r="D980" s="33" t="s">
        <v>1172</v>
      </c>
      <c r="E980" s="33" t="s">
        <v>2843</v>
      </c>
      <c r="F980" s="38" t="s">
        <v>56</v>
      </c>
    </row>
    <row r="981" spans="1:6" ht="14.5" hidden="1" customHeight="1" x14ac:dyDescent="0.35">
      <c r="A981" s="33" t="s">
        <v>1175</v>
      </c>
      <c r="B981" s="33" t="s">
        <v>81</v>
      </c>
      <c r="C981" s="33" t="s">
        <v>1176</v>
      </c>
      <c r="D981" s="33" t="s">
        <v>1177</v>
      </c>
      <c r="E981" s="33" t="s">
        <v>2843</v>
      </c>
      <c r="F981" s="38" t="s">
        <v>56</v>
      </c>
    </row>
    <row r="982" spans="1:6" ht="14.5" customHeight="1" x14ac:dyDescent="0.35">
      <c r="A982" s="33" t="s">
        <v>1175</v>
      </c>
      <c r="B982" s="33" t="s">
        <v>80</v>
      </c>
      <c r="C982" s="33" t="s">
        <v>1176</v>
      </c>
      <c r="D982" s="33" t="s">
        <v>1178</v>
      </c>
      <c r="E982" s="33" t="s">
        <v>2879</v>
      </c>
      <c r="F982" s="38" t="s">
        <v>1687</v>
      </c>
    </row>
    <row r="983" spans="1:6" ht="14.5" customHeight="1" x14ac:dyDescent="0.35">
      <c r="A983" s="33" t="s">
        <v>1175</v>
      </c>
      <c r="B983" s="33" t="s">
        <v>620</v>
      </c>
      <c r="C983" s="33" t="s">
        <v>1176</v>
      </c>
      <c r="D983" s="33" t="s">
        <v>1179</v>
      </c>
      <c r="E983" s="33" t="s">
        <v>2879</v>
      </c>
      <c r="F983" s="38" t="s">
        <v>1687</v>
      </c>
    </row>
    <row r="984" spans="1:6" ht="14.5" hidden="1" customHeight="1" x14ac:dyDescent="0.35">
      <c r="A984" s="33" t="s">
        <v>1175</v>
      </c>
      <c r="B984" s="33" t="s">
        <v>226</v>
      </c>
      <c r="C984" s="33" t="s">
        <v>1176</v>
      </c>
      <c r="D984" s="33" t="s">
        <v>1180</v>
      </c>
      <c r="E984" s="33" t="s">
        <v>2869</v>
      </c>
      <c r="F984" s="38" t="s">
        <v>132</v>
      </c>
    </row>
    <row r="985" spans="1:6" ht="14.5" hidden="1" customHeight="1" x14ac:dyDescent="0.35">
      <c r="A985" s="33" t="s">
        <v>1175</v>
      </c>
      <c r="B985" s="33" t="s">
        <v>82</v>
      </c>
      <c r="C985" s="33" t="s">
        <v>1176</v>
      </c>
      <c r="D985" s="33" t="s">
        <v>1181</v>
      </c>
      <c r="E985" s="33" t="s">
        <v>2870</v>
      </c>
      <c r="F985" s="38" t="s">
        <v>56</v>
      </c>
    </row>
    <row r="986" spans="1:6" ht="14.5" hidden="1" customHeight="1" x14ac:dyDescent="0.35">
      <c r="A986" s="33" t="s">
        <v>1175</v>
      </c>
      <c r="B986" s="33" t="s">
        <v>19</v>
      </c>
      <c r="C986" s="33" t="s">
        <v>1176</v>
      </c>
      <c r="D986" s="33" t="s">
        <v>1182</v>
      </c>
      <c r="E986" s="33" t="s">
        <v>2861</v>
      </c>
      <c r="F986" s="38" t="s">
        <v>2740</v>
      </c>
    </row>
    <row r="987" spans="1:6" ht="14.5" hidden="1" customHeight="1" x14ac:dyDescent="0.35">
      <c r="A987" s="33" t="s">
        <v>1175</v>
      </c>
      <c r="B987" s="33" t="s">
        <v>84</v>
      </c>
      <c r="C987" s="33" t="s">
        <v>1176</v>
      </c>
      <c r="D987" s="33" t="s">
        <v>1183</v>
      </c>
      <c r="E987" s="33" t="s">
        <v>2861</v>
      </c>
      <c r="F987" s="38" t="s">
        <v>2740</v>
      </c>
    </row>
    <row r="988" spans="1:6" ht="14.5" hidden="1" customHeight="1" x14ac:dyDescent="0.35">
      <c r="A988" s="33" t="s">
        <v>1175</v>
      </c>
      <c r="B988" s="33" t="s">
        <v>86</v>
      </c>
      <c r="C988" s="33" t="s">
        <v>1176</v>
      </c>
      <c r="D988" s="33" t="s">
        <v>1184</v>
      </c>
      <c r="E988" s="33" t="s">
        <v>2859</v>
      </c>
      <c r="F988" s="38" t="s">
        <v>56</v>
      </c>
    </row>
    <row r="989" spans="1:6" ht="14.5" customHeight="1" x14ac:dyDescent="0.35">
      <c r="A989" s="33" t="s">
        <v>1175</v>
      </c>
      <c r="B989" s="33" t="s">
        <v>89</v>
      </c>
      <c r="C989" s="33" t="s">
        <v>1176</v>
      </c>
      <c r="D989" s="33" t="s">
        <v>1185</v>
      </c>
      <c r="E989" s="33" t="s">
        <v>2879</v>
      </c>
      <c r="F989" s="38" t="s">
        <v>1687</v>
      </c>
    </row>
    <row r="990" spans="1:6" ht="14.5" customHeight="1" x14ac:dyDescent="0.35">
      <c r="A990" s="33" t="s">
        <v>1175</v>
      </c>
      <c r="B990" s="33" t="s">
        <v>92</v>
      </c>
      <c r="C990" s="33" t="s">
        <v>1176</v>
      </c>
      <c r="D990" s="33" t="s">
        <v>1186</v>
      </c>
      <c r="E990" s="33" t="s">
        <v>2879</v>
      </c>
      <c r="F990" s="38" t="s">
        <v>1687</v>
      </c>
    </row>
    <row r="991" spans="1:6" ht="14.5" hidden="1" customHeight="1" x14ac:dyDescent="0.35">
      <c r="A991" s="33" t="s">
        <v>1175</v>
      </c>
      <c r="B991" s="33" t="s">
        <v>93</v>
      </c>
      <c r="C991" s="33" t="s">
        <v>1176</v>
      </c>
      <c r="D991" s="33" t="s">
        <v>1187</v>
      </c>
      <c r="E991" s="33" t="s">
        <v>2843</v>
      </c>
      <c r="F991" s="38" t="s">
        <v>56</v>
      </c>
    </row>
    <row r="992" spans="1:6" ht="14.5" hidden="1" customHeight="1" x14ac:dyDescent="0.35">
      <c r="A992" s="33" t="s">
        <v>1188</v>
      </c>
      <c r="B992" s="33" t="s">
        <v>81</v>
      </c>
      <c r="C992" s="33" t="s">
        <v>1189</v>
      </c>
      <c r="D992" s="33" t="s">
        <v>1177</v>
      </c>
      <c r="E992" s="33" t="s">
        <v>2843</v>
      </c>
      <c r="F992" s="38" t="s">
        <v>56</v>
      </c>
    </row>
    <row r="993" spans="1:6" ht="14.5" customHeight="1" x14ac:dyDescent="0.35">
      <c r="A993" s="33" t="s">
        <v>1188</v>
      </c>
      <c r="B993" s="33" t="s">
        <v>80</v>
      </c>
      <c r="C993" s="33" t="s">
        <v>1189</v>
      </c>
      <c r="D993" s="33" t="s">
        <v>1178</v>
      </c>
      <c r="E993" s="33" t="s">
        <v>2879</v>
      </c>
      <c r="F993" s="38" t="s">
        <v>1687</v>
      </c>
    </row>
    <row r="994" spans="1:6" ht="14.5" customHeight="1" x14ac:dyDescent="0.35">
      <c r="A994" s="33" t="s">
        <v>1188</v>
      </c>
      <c r="B994" s="33" t="s">
        <v>620</v>
      </c>
      <c r="C994" s="33" t="s">
        <v>1189</v>
      </c>
      <c r="D994" s="33" t="s">
        <v>1179</v>
      </c>
      <c r="E994" s="33" t="s">
        <v>2879</v>
      </c>
      <c r="F994" s="38" t="s">
        <v>1687</v>
      </c>
    </row>
    <row r="995" spans="1:6" ht="14.5" hidden="1" customHeight="1" x14ac:dyDescent="0.35">
      <c r="A995" s="33" t="s">
        <v>1188</v>
      </c>
      <c r="B995" s="33" t="s">
        <v>82</v>
      </c>
      <c r="C995" s="33" t="s">
        <v>1189</v>
      </c>
      <c r="D995" s="33" t="s">
        <v>1181</v>
      </c>
      <c r="E995" s="33" t="s">
        <v>2870</v>
      </c>
      <c r="F995" s="38" t="s">
        <v>56</v>
      </c>
    </row>
    <row r="996" spans="1:6" ht="14.5" hidden="1" customHeight="1" x14ac:dyDescent="0.35">
      <c r="A996" s="33" t="s">
        <v>1188</v>
      </c>
      <c r="B996" s="33" t="s">
        <v>19</v>
      </c>
      <c r="C996" s="33" t="s">
        <v>1189</v>
      </c>
      <c r="D996" s="33" t="s">
        <v>1182</v>
      </c>
      <c r="E996" s="33" t="s">
        <v>2861</v>
      </c>
      <c r="F996" s="38" t="s">
        <v>2740</v>
      </c>
    </row>
    <row r="997" spans="1:6" ht="14.5" hidden="1" customHeight="1" x14ac:dyDescent="0.35">
      <c r="A997" s="33" t="s">
        <v>1188</v>
      </c>
      <c r="B997" s="33" t="s">
        <v>84</v>
      </c>
      <c r="C997" s="33" t="s">
        <v>1189</v>
      </c>
      <c r="D997" s="33" t="s">
        <v>1183</v>
      </c>
      <c r="E997" s="33" t="s">
        <v>2861</v>
      </c>
      <c r="F997" s="38" t="s">
        <v>2740</v>
      </c>
    </row>
    <row r="998" spans="1:6" ht="14.5" hidden="1" customHeight="1" x14ac:dyDescent="0.35">
      <c r="A998" s="33" t="s">
        <v>1188</v>
      </c>
      <c r="B998" s="33" t="s">
        <v>86</v>
      </c>
      <c r="C998" s="33" t="s">
        <v>1189</v>
      </c>
      <c r="D998" s="33" t="s">
        <v>1184</v>
      </c>
      <c r="E998" s="33" t="s">
        <v>2859</v>
      </c>
      <c r="F998" s="38" t="s">
        <v>56</v>
      </c>
    </row>
    <row r="999" spans="1:6" ht="14.5" customHeight="1" x14ac:dyDescent="0.35">
      <c r="A999" s="33" t="s">
        <v>1188</v>
      </c>
      <c r="B999" s="33" t="s">
        <v>89</v>
      </c>
      <c r="C999" s="33" t="s">
        <v>1189</v>
      </c>
      <c r="D999" s="33" t="s">
        <v>1185</v>
      </c>
      <c r="E999" s="33" t="s">
        <v>2879</v>
      </c>
      <c r="F999" s="38" t="s">
        <v>1687</v>
      </c>
    </row>
    <row r="1000" spans="1:6" ht="14.5" customHeight="1" x14ac:dyDescent="0.35">
      <c r="A1000" s="33" t="s">
        <v>1188</v>
      </c>
      <c r="B1000" s="33" t="s">
        <v>92</v>
      </c>
      <c r="C1000" s="33" t="s">
        <v>1189</v>
      </c>
      <c r="D1000" s="33" t="s">
        <v>1186</v>
      </c>
      <c r="E1000" s="33" t="s">
        <v>2879</v>
      </c>
      <c r="F1000" s="38" t="s">
        <v>1687</v>
      </c>
    </row>
    <row r="1001" spans="1:6" ht="14.5" hidden="1" customHeight="1" x14ac:dyDescent="0.35">
      <c r="A1001" s="33" t="s">
        <v>1188</v>
      </c>
      <c r="B1001" s="33" t="s">
        <v>93</v>
      </c>
      <c r="C1001" s="33" t="s">
        <v>1189</v>
      </c>
      <c r="D1001" s="33" t="s">
        <v>1187</v>
      </c>
      <c r="E1001" s="33" t="s">
        <v>2843</v>
      </c>
      <c r="F1001" s="38" t="s">
        <v>56</v>
      </c>
    </row>
    <row r="1002" spans="1:6" ht="14.5" hidden="1" customHeight="1" x14ac:dyDescent="0.35">
      <c r="A1002" s="33" t="s">
        <v>1190</v>
      </c>
      <c r="B1002" s="33" t="s">
        <v>82</v>
      </c>
      <c r="C1002" s="33" t="s">
        <v>1191</v>
      </c>
      <c r="D1002" s="33" t="s">
        <v>1192</v>
      </c>
      <c r="E1002" s="33" t="s">
        <v>2845</v>
      </c>
      <c r="F1002" s="38" t="s">
        <v>50</v>
      </c>
    </row>
    <row r="1003" spans="1:6" ht="14.5" hidden="1" customHeight="1" x14ac:dyDescent="0.35">
      <c r="A1003" s="33" t="s">
        <v>1190</v>
      </c>
      <c r="B1003" s="33" t="s">
        <v>83</v>
      </c>
      <c r="C1003" s="33" t="s">
        <v>1191</v>
      </c>
      <c r="D1003" s="33" t="s">
        <v>1193</v>
      </c>
      <c r="E1003" s="33" t="s">
        <v>2845</v>
      </c>
      <c r="F1003" s="38" t="s">
        <v>50</v>
      </c>
    </row>
    <row r="1004" spans="1:6" ht="14.5" hidden="1" customHeight="1" x14ac:dyDescent="0.35">
      <c r="A1004" s="33" t="s">
        <v>1190</v>
      </c>
      <c r="B1004" s="33" t="s">
        <v>84</v>
      </c>
      <c r="C1004" s="33" t="s">
        <v>1191</v>
      </c>
      <c r="D1004" s="33" t="s">
        <v>1194</v>
      </c>
      <c r="E1004" s="33" t="s">
        <v>2873</v>
      </c>
      <c r="F1004" s="38" t="s">
        <v>132</v>
      </c>
    </row>
    <row r="1005" spans="1:6" ht="14.5" hidden="1" customHeight="1" x14ac:dyDescent="0.35">
      <c r="A1005" s="33" t="s">
        <v>1190</v>
      </c>
      <c r="B1005" s="33" t="s">
        <v>85</v>
      </c>
      <c r="C1005" s="33" t="s">
        <v>1191</v>
      </c>
      <c r="D1005" s="33" t="s">
        <v>1195</v>
      </c>
      <c r="E1005" s="33" t="s">
        <v>2845</v>
      </c>
      <c r="F1005" s="38" t="s">
        <v>50</v>
      </c>
    </row>
    <row r="1006" spans="1:6" ht="14.5" hidden="1" customHeight="1" x14ac:dyDescent="0.35">
      <c r="A1006" s="33" t="s">
        <v>1190</v>
      </c>
      <c r="B1006" s="33" t="s">
        <v>86</v>
      </c>
      <c r="C1006" s="33" t="s">
        <v>1191</v>
      </c>
      <c r="D1006" s="33" t="s">
        <v>1196</v>
      </c>
      <c r="E1006" s="33" t="s">
        <v>2873</v>
      </c>
      <c r="F1006" s="38" t="s">
        <v>132</v>
      </c>
    </row>
    <row r="1007" spans="1:6" ht="14.5" hidden="1" customHeight="1" x14ac:dyDescent="0.35">
      <c r="A1007" s="33" t="s">
        <v>1190</v>
      </c>
      <c r="B1007" s="33" t="s">
        <v>89</v>
      </c>
      <c r="C1007" s="33" t="s">
        <v>1191</v>
      </c>
      <c r="D1007" s="33" t="s">
        <v>1197</v>
      </c>
      <c r="E1007" s="33" t="s">
        <v>2873</v>
      </c>
      <c r="F1007" s="38" t="s">
        <v>132</v>
      </c>
    </row>
    <row r="1008" spans="1:6" ht="14.5" customHeight="1" x14ac:dyDescent="0.35">
      <c r="A1008" s="33" t="s">
        <v>1198</v>
      </c>
      <c r="B1008" s="33" t="s">
        <v>80</v>
      </c>
      <c r="C1008" s="33" t="s">
        <v>1199</v>
      </c>
      <c r="D1008" s="33" t="s">
        <v>1200</v>
      </c>
      <c r="E1008" s="33" t="s">
        <v>2879</v>
      </c>
      <c r="F1008" s="38" t="s">
        <v>1687</v>
      </c>
    </row>
    <row r="1009" spans="1:6" ht="14.5" customHeight="1" x14ac:dyDescent="0.35">
      <c r="A1009" s="33" t="s">
        <v>1198</v>
      </c>
      <c r="B1009" s="33" t="s">
        <v>85</v>
      </c>
      <c r="C1009" s="33" t="s">
        <v>1199</v>
      </c>
      <c r="D1009" s="33" t="s">
        <v>1201</v>
      </c>
      <c r="E1009" s="33" t="s">
        <v>2879</v>
      </c>
      <c r="F1009" s="38" t="s">
        <v>1687</v>
      </c>
    </row>
    <row r="1010" spans="1:6" ht="14.5" hidden="1" customHeight="1" x14ac:dyDescent="0.35">
      <c r="A1010" s="33" t="s">
        <v>1202</v>
      </c>
      <c r="B1010" s="33" t="s">
        <v>80</v>
      </c>
      <c r="C1010" s="33" t="s">
        <v>1203</v>
      </c>
      <c r="D1010" s="33" t="s">
        <v>903</v>
      </c>
      <c r="E1010" s="33" t="s">
        <v>2843</v>
      </c>
      <c r="F1010" s="38" t="s">
        <v>56</v>
      </c>
    </row>
    <row r="1011" spans="1:6" ht="14.5" hidden="1" customHeight="1" x14ac:dyDescent="0.35">
      <c r="A1011" s="33" t="s">
        <v>1202</v>
      </c>
      <c r="B1011" s="33" t="s">
        <v>82</v>
      </c>
      <c r="C1011" s="33" t="s">
        <v>1203</v>
      </c>
      <c r="D1011" s="33" t="s">
        <v>904</v>
      </c>
      <c r="E1011" s="33" t="s">
        <v>2861</v>
      </c>
      <c r="F1011" s="38" t="s">
        <v>2740</v>
      </c>
    </row>
    <row r="1012" spans="1:6" ht="14.5" hidden="1" customHeight="1" x14ac:dyDescent="0.35">
      <c r="A1012" s="33" t="s">
        <v>1202</v>
      </c>
      <c r="B1012" s="33" t="s">
        <v>84</v>
      </c>
      <c r="C1012" s="33" t="s">
        <v>1203</v>
      </c>
      <c r="D1012" s="33" t="s">
        <v>906</v>
      </c>
      <c r="E1012" s="33" t="s">
        <v>2870</v>
      </c>
      <c r="F1012" s="38" t="s">
        <v>56</v>
      </c>
    </row>
    <row r="1013" spans="1:6" ht="14.5" hidden="1" customHeight="1" x14ac:dyDescent="0.35">
      <c r="A1013" s="33" t="s">
        <v>1202</v>
      </c>
      <c r="B1013" s="33" t="s">
        <v>85</v>
      </c>
      <c r="C1013" s="33" t="s">
        <v>1203</v>
      </c>
      <c r="D1013" s="33" t="s">
        <v>907</v>
      </c>
      <c r="E1013" s="33" t="s">
        <v>2843</v>
      </c>
      <c r="F1013" s="38" t="s">
        <v>56</v>
      </c>
    </row>
    <row r="1014" spans="1:6" ht="14.5" hidden="1" customHeight="1" x14ac:dyDescent="0.35">
      <c r="A1014" s="33" t="s">
        <v>1202</v>
      </c>
      <c r="B1014" s="33" t="s">
        <v>89</v>
      </c>
      <c r="C1014" s="33" t="s">
        <v>1203</v>
      </c>
      <c r="D1014" s="33" t="s">
        <v>908</v>
      </c>
      <c r="E1014" s="33" t="s">
        <v>2861</v>
      </c>
      <c r="F1014" s="38" t="s">
        <v>2740</v>
      </c>
    </row>
    <row r="1015" spans="1:6" ht="14.5" hidden="1" customHeight="1" x14ac:dyDescent="0.35">
      <c r="A1015" s="33" t="s">
        <v>1202</v>
      </c>
      <c r="B1015" s="33" t="s">
        <v>88</v>
      </c>
      <c r="C1015" s="33" t="s">
        <v>1203</v>
      </c>
      <c r="D1015" s="33" t="s">
        <v>909</v>
      </c>
      <c r="E1015" s="33" t="s">
        <v>2843</v>
      </c>
      <c r="F1015" s="38" t="s">
        <v>56</v>
      </c>
    </row>
    <row r="1016" spans="1:6" ht="14.5" hidden="1" customHeight="1" x14ac:dyDescent="0.35">
      <c r="A1016" s="33" t="s">
        <v>1202</v>
      </c>
      <c r="B1016" s="33" t="s">
        <v>90</v>
      </c>
      <c r="C1016" s="33" t="s">
        <v>1203</v>
      </c>
      <c r="D1016" s="33" t="s">
        <v>910</v>
      </c>
      <c r="E1016" s="33" t="s">
        <v>2859</v>
      </c>
      <c r="F1016" s="38" t="s">
        <v>56</v>
      </c>
    </row>
    <row r="1017" spans="1:6" ht="14.5" hidden="1" customHeight="1" x14ac:dyDescent="0.35">
      <c r="A1017" s="33" t="s">
        <v>1202</v>
      </c>
      <c r="B1017" s="33" t="s">
        <v>91</v>
      </c>
      <c r="C1017" s="33" t="s">
        <v>1203</v>
      </c>
      <c r="D1017" s="33" t="s">
        <v>911</v>
      </c>
      <c r="E1017" s="33" t="s">
        <v>2843</v>
      </c>
      <c r="F1017" s="38" t="s">
        <v>56</v>
      </c>
    </row>
    <row r="1018" spans="1:6" ht="14.5" hidden="1" customHeight="1" x14ac:dyDescent="0.35">
      <c r="A1018" s="33" t="s">
        <v>1204</v>
      </c>
      <c r="B1018" s="33" t="s">
        <v>80</v>
      </c>
      <c r="C1018" s="33" t="s">
        <v>1205</v>
      </c>
      <c r="D1018" s="33" t="s">
        <v>903</v>
      </c>
      <c r="E1018" s="33" t="s">
        <v>2843</v>
      </c>
      <c r="F1018" s="38" t="s">
        <v>56</v>
      </c>
    </row>
    <row r="1019" spans="1:6" ht="14.5" hidden="1" customHeight="1" x14ac:dyDescent="0.35">
      <c r="A1019" s="33" t="s">
        <v>1204</v>
      </c>
      <c r="B1019" s="33" t="s">
        <v>82</v>
      </c>
      <c r="C1019" s="33" t="s">
        <v>1205</v>
      </c>
      <c r="D1019" s="33" t="s">
        <v>904</v>
      </c>
      <c r="E1019" s="33" t="s">
        <v>2861</v>
      </c>
      <c r="F1019" s="38" t="s">
        <v>2740</v>
      </c>
    </row>
    <row r="1020" spans="1:6" ht="14.5" hidden="1" customHeight="1" x14ac:dyDescent="0.35">
      <c r="A1020" s="33" t="s">
        <v>1204</v>
      </c>
      <c r="B1020" s="33" t="s">
        <v>84</v>
      </c>
      <c r="C1020" s="33" t="s">
        <v>1205</v>
      </c>
      <c r="D1020" s="33" t="s">
        <v>906</v>
      </c>
      <c r="E1020" s="33" t="s">
        <v>2870</v>
      </c>
      <c r="F1020" s="38" t="s">
        <v>56</v>
      </c>
    </row>
    <row r="1021" spans="1:6" ht="14.5" hidden="1" customHeight="1" x14ac:dyDescent="0.35">
      <c r="A1021" s="33" t="s">
        <v>1204</v>
      </c>
      <c r="B1021" s="33" t="s">
        <v>85</v>
      </c>
      <c r="C1021" s="33" t="s">
        <v>1205</v>
      </c>
      <c r="D1021" s="33" t="s">
        <v>907</v>
      </c>
      <c r="E1021" s="33" t="s">
        <v>2843</v>
      </c>
      <c r="F1021" s="38" t="s">
        <v>56</v>
      </c>
    </row>
    <row r="1022" spans="1:6" ht="14.5" hidden="1" customHeight="1" x14ac:dyDescent="0.35">
      <c r="A1022" s="33" t="s">
        <v>1204</v>
      </c>
      <c r="B1022" s="33" t="s">
        <v>89</v>
      </c>
      <c r="C1022" s="33" t="s">
        <v>1205</v>
      </c>
      <c r="D1022" s="33" t="s">
        <v>908</v>
      </c>
      <c r="E1022" s="33" t="s">
        <v>2861</v>
      </c>
      <c r="F1022" s="38" t="s">
        <v>2740</v>
      </c>
    </row>
    <row r="1023" spans="1:6" ht="14.5" hidden="1" customHeight="1" x14ac:dyDescent="0.35">
      <c r="A1023" s="33" t="s">
        <v>1204</v>
      </c>
      <c r="B1023" s="33" t="s">
        <v>88</v>
      </c>
      <c r="C1023" s="33" t="s">
        <v>1205</v>
      </c>
      <c r="D1023" s="33" t="s">
        <v>909</v>
      </c>
      <c r="E1023" s="33" t="s">
        <v>2843</v>
      </c>
      <c r="F1023" s="38" t="s">
        <v>56</v>
      </c>
    </row>
    <row r="1024" spans="1:6" ht="14.5" hidden="1" customHeight="1" x14ac:dyDescent="0.35">
      <c r="A1024" s="33" t="s">
        <v>1204</v>
      </c>
      <c r="B1024" s="33" t="s">
        <v>90</v>
      </c>
      <c r="C1024" s="33" t="s">
        <v>1205</v>
      </c>
      <c r="D1024" s="33" t="s">
        <v>910</v>
      </c>
      <c r="E1024" s="33" t="s">
        <v>2859</v>
      </c>
      <c r="F1024" s="38" t="s">
        <v>56</v>
      </c>
    </row>
    <row r="1025" spans="1:6" ht="14.5" hidden="1" customHeight="1" x14ac:dyDescent="0.35">
      <c r="A1025" s="33" t="s">
        <v>1204</v>
      </c>
      <c r="B1025" s="33" t="s">
        <v>91</v>
      </c>
      <c r="C1025" s="33" t="s">
        <v>1205</v>
      </c>
      <c r="D1025" s="33" t="s">
        <v>911</v>
      </c>
      <c r="E1025" s="33" t="s">
        <v>2843</v>
      </c>
      <c r="F1025" s="38" t="s">
        <v>56</v>
      </c>
    </row>
    <row r="1026" spans="1:6" ht="14.5" hidden="1" customHeight="1" x14ac:dyDescent="0.35">
      <c r="A1026" s="33" t="s">
        <v>1206</v>
      </c>
      <c r="B1026" s="33" t="s">
        <v>82</v>
      </c>
      <c r="C1026" s="33" t="s">
        <v>1207</v>
      </c>
      <c r="D1026" s="33" t="s">
        <v>1208</v>
      </c>
      <c r="E1026" s="33" t="s">
        <v>2844</v>
      </c>
      <c r="F1026" s="38" t="s">
        <v>48</v>
      </c>
    </row>
    <row r="1027" spans="1:6" ht="14.5" hidden="1" customHeight="1" x14ac:dyDescent="0.35">
      <c r="A1027" s="33" t="s">
        <v>1206</v>
      </c>
      <c r="B1027" s="33" t="s">
        <v>83</v>
      </c>
      <c r="C1027" s="33" t="s">
        <v>1207</v>
      </c>
      <c r="D1027" s="33" t="s">
        <v>1209</v>
      </c>
      <c r="E1027" s="33" t="s">
        <v>2839</v>
      </c>
      <c r="F1027" s="38" t="s">
        <v>48</v>
      </c>
    </row>
    <row r="1028" spans="1:6" ht="14.5" hidden="1" customHeight="1" x14ac:dyDescent="0.35">
      <c r="A1028" s="33" t="s">
        <v>1206</v>
      </c>
      <c r="B1028" s="33" t="s">
        <v>86</v>
      </c>
      <c r="C1028" s="33" t="s">
        <v>1207</v>
      </c>
      <c r="D1028" s="33" t="s">
        <v>1208</v>
      </c>
      <c r="E1028" s="33" t="s">
        <v>2844</v>
      </c>
      <c r="F1028" s="38" t="s">
        <v>48</v>
      </c>
    </row>
    <row r="1029" spans="1:6" ht="14.5" hidden="1" customHeight="1" x14ac:dyDescent="0.35">
      <c r="A1029" s="33" t="s">
        <v>1206</v>
      </c>
      <c r="B1029" s="33" t="s">
        <v>89</v>
      </c>
      <c r="C1029" s="33" t="s">
        <v>1207</v>
      </c>
      <c r="D1029" s="33" t="s">
        <v>1209</v>
      </c>
      <c r="E1029" s="33" t="s">
        <v>2839</v>
      </c>
      <c r="F1029" s="38" t="s">
        <v>48</v>
      </c>
    </row>
    <row r="1030" spans="1:6" ht="14.5" hidden="1" customHeight="1" x14ac:dyDescent="0.35">
      <c r="A1030" s="33" t="s">
        <v>1210</v>
      </c>
      <c r="B1030" s="33" t="s">
        <v>80</v>
      </c>
      <c r="C1030" s="33" t="s">
        <v>1211</v>
      </c>
      <c r="D1030" s="33" t="s">
        <v>1212</v>
      </c>
      <c r="E1030" s="33" t="s">
        <v>2838</v>
      </c>
      <c r="F1030" s="38" t="s">
        <v>48</v>
      </c>
    </row>
    <row r="1031" spans="1:6" ht="14.5" hidden="1" customHeight="1" x14ac:dyDescent="0.35">
      <c r="A1031" s="33" t="s">
        <v>1210</v>
      </c>
      <c r="B1031" s="33" t="s">
        <v>83</v>
      </c>
      <c r="C1031" s="33" t="s">
        <v>1211</v>
      </c>
      <c r="D1031" s="33" t="s">
        <v>1213</v>
      </c>
      <c r="E1031" s="33" t="s">
        <v>2838</v>
      </c>
      <c r="F1031" s="38" t="s">
        <v>48</v>
      </c>
    </row>
    <row r="1032" spans="1:6" ht="14.5" hidden="1" customHeight="1" x14ac:dyDescent="0.35">
      <c r="A1032" s="33" t="s">
        <v>1210</v>
      </c>
      <c r="B1032" s="33" t="s">
        <v>85</v>
      </c>
      <c r="C1032" s="33" t="s">
        <v>1211</v>
      </c>
      <c r="D1032" s="33" t="s">
        <v>1212</v>
      </c>
      <c r="E1032" s="33" t="s">
        <v>2844</v>
      </c>
      <c r="F1032" s="38" t="s">
        <v>48</v>
      </c>
    </row>
    <row r="1033" spans="1:6" ht="14.5" hidden="1" customHeight="1" x14ac:dyDescent="0.35">
      <c r="A1033" s="33" t="s">
        <v>1210</v>
      </c>
      <c r="B1033" s="33" t="s">
        <v>89</v>
      </c>
      <c r="C1033" s="33" t="s">
        <v>1211</v>
      </c>
      <c r="D1033" s="33" t="s">
        <v>1213</v>
      </c>
      <c r="E1033" s="33" t="s">
        <v>2839</v>
      </c>
      <c r="F1033" s="38" t="s">
        <v>48</v>
      </c>
    </row>
    <row r="1034" spans="1:6" ht="14.5" hidden="1" customHeight="1" x14ac:dyDescent="0.35">
      <c r="A1034" s="33" t="s">
        <v>1214</v>
      </c>
      <c r="B1034" s="33" t="s">
        <v>80</v>
      </c>
      <c r="C1034" s="33" t="s">
        <v>1215</v>
      </c>
      <c r="D1034" s="33" t="s">
        <v>1212</v>
      </c>
      <c r="E1034" s="33" t="s">
        <v>2838</v>
      </c>
      <c r="F1034" s="38" t="s">
        <v>48</v>
      </c>
    </row>
    <row r="1035" spans="1:6" ht="14.5" hidden="1" customHeight="1" x14ac:dyDescent="0.35">
      <c r="A1035" s="33" t="s">
        <v>1214</v>
      </c>
      <c r="B1035" s="33" t="s">
        <v>83</v>
      </c>
      <c r="C1035" s="33" t="s">
        <v>1215</v>
      </c>
      <c r="D1035" s="33" t="s">
        <v>1213</v>
      </c>
      <c r="E1035" s="33" t="s">
        <v>2838</v>
      </c>
      <c r="F1035" s="38" t="s">
        <v>48</v>
      </c>
    </row>
    <row r="1036" spans="1:6" ht="14.5" hidden="1" customHeight="1" x14ac:dyDescent="0.35">
      <c r="A1036" s="33" t="s">
        <v>1214</v>
      </c>
      <c r="B1036" s="33" t="s">
        <v>85</v>
      </c>
      <c r="C1036" s="33" t="s">
        <v>1215</v>
      </c>
      <c r="D1036" s="33" t="s">
        <v>1212</v>
      </c>
      <c r="E1036" s="33" t="s">
        <v>2844</v>
      </c>
      <c r="F1036" s="38" t="s">
        <v>48</v>
      </c>
    </row>
    <row r="1037" spans="1:6" ht="14.5" hidden="1" customHeight="1" x14ac:dyDescent="0.35">
      <c r="A1037" s="33" t="s">
        <v>1214</v>
      </c>
      <c r="B1037" s="33" t="s">
        <v>89</v>
      </c>
      <c r="C1037" s="33" t="s">
        <v>1215</v>
      </c>
      <c r="D1037" s="33" t="s">
        <v>1213</v>
      </c>
      <c r="E1037" s="33" t="s">
        <v>2839</v>
      </c>
      <c r="F1037" s="38" t="s">
        <v>48</v>
      </c>
    </row>
    <row r="1038" spans="1:6" ht="14.5" hidden="1" customHeight="1" x14ac:dyDescent="0.35">
      <c r="A1038" s="33" t="s">
        <v>1214</v>
      </c>
      <c r="B1038" s="33" t="s">
        <v>87</v>
      </c>
      <c r="C1038" s="33" t="s">
        <v>1215</v>
      </c>
      <c r="D1038" s="33" t="s">
        <v>1216</v>
      </c>
      <c r="E1038" s="33" t="s">
        <v>2856</v>
      </c>
      <c r="F1038" s="38" t="s">
        <v>56</v>
      </c>
    </row>
    <row r="1039" spans="1:6" ht="14.5" hidden="1" customHeight="1" x14ac:dyDescent="0.35">
      <c r="A1039" s="33" t="s">
        <v>1217</v>
      </c>
      <c r="B1039" s="33" t="s">
        <v>80</v>
      </c>
      <c r="C1039" s="33" t="s">
        <v>1218</v>
      </c>
      <c r="D1039" s="33" t="s">
        <v>1219</v>
      </c>
      <c r="E1039" s="33" t="s">
        <v>2837</v>
      </c>
      <c r="F1039" s="38" t="s">
        <v>742</v>
      </c>
    </row>
    <row r="1040" spans="1:6" ht="14.5" customHeight="1" x14ac:dyDescent="0.35">
      <c r="A1040" s="33" t="s">
        <v>1220</v>
      </c>
      <c r="B1040" s="33" t="s">
        <v>80</v>
      </c>
      <c r="C1040" s="33" t="s">
        <v>1221</v>
      </c>
      <c r="D1040" s="33" t="s">
        <v>1222</v>
      </c>
      <c r="E1040" s="33" t="s">
        <v>2879</v>
      </c>
      <c r="F1040" s="38" t="s">
        <v>1687</v>
      </c>
    </row>
    <row r="1041" spans="1:6" ht="14.5" hidden="1" customHeight="1" x14ac:dyDescent="0.35">
      <c r="A1041" s="33" t="s">
        <v>1220</v>
      </c>
      <c r="B1041" s="33" t="s">
        <v>82</v>
      </c>
      <c r="C1041" s="33" t="s">
        <v>1221</v>
      </c>
      <c r="D1041" s="33" t="s">
        <v>1223</v>
      </c>
      <c r="E1041" s="33" t="s">
        <v>2870</v>
      </c>
      <c r="F1041" s="38" t="s">
        <v>56</v>
      </c>
    </row>
    <row r="1042" spans="1:6" ht="14.5" hidden="1" customHeight="1" x14ac:dyDescent="0.35">
      <c r="A1042" s="33" t="s">
        <v>1220</v>
      </c>
      <c r="B1042" s="33" t="s">
        <v>83</v>
      </c>
      <c r="C1042" s="33" t="s">
        <v>1221</v>
      </c>
      <c r="D1042" s="33" t="s">
        <v>1224</v>
      </c>
      <c r="E1042" s="33" t="s">
        <v>2859</v>
      </c>
      <c r="F1042" s="38" t="s">
        <v>56</v>
      </c>
    </row>
    <row r="1043" spans="1:6" ht="14.5" customHeight="1" x14ac:dyDescent="0.35">
      <c r="A1043" s="33" t="s">
        <v>1220</v>
      </c>
      <c r="B1043" s="33" t="s">
        <v>19</v>
      </c>
      <c r="C1043" s="33" t="s">
        <v>1221</v>
      </c>
      <c r="D1043" s="33" t="s">
        <v>1225</v>
      </c>
      <c r="E1043" s="33" t="s">
        <v>2879</v>
      </c>
      <c r="F1043" s="38" t="s">
        <v>1687</v>
      </c>
    </row>
    <row r="1044" spans="1:6" ht="14.5" hidden="1" customHeight="1" x14ac:dyDescent="0.35">
      <c r="A1044" s="33" t="s">
        <v>1226</v>
      </c>
      <c r="B1044" s="33" t="s">
        <v>80</v>
      </c>
      <c r="C1044" s="33" t="s">
        <v>1227</v>
      </c>
      <c r="D1044" s="33" t="s">
        <v>1228</v>
      </c>
      <c r="E1044" s="33" t="s">
        <v>2843</v>
      </c>
      <c r="F1044" s="38" t="s">
        <v>56</v>
      </c>
    </row>
    <row r="1045" spans="1:6" ht="14.5" customHeight="1" x14ac:dyDescent="0.35">
      <c r="A1045" s="33" t="s">
        <v>1226</v>
      </c>
      <c r="B1045" s="33" t="s">
        <v>82</v>
      </c>
      <c r="C1045" s="33" t="s">
        <v>1227</v>
      </c>
      <c r="D1045" s="33" t="s">
        <v>1229</v>
      </c>
      <c r="E1045" s="33" t="s">
        <v>2879</v>
      </c>
      <c r="F1045" s="38" t="s">
        <v>1687</v>
      </c>
    </row>
    <row r="1046" spans="1:6" ht="14.5" customHeight="1" x14ac:dyDescent="0.35">
      <c r="A1046" s="33" t="s">
        <v>1226</v>
      </c>
      <c r="B1046" s="33" t="s">
        <v>83</v>
      </c>
      <c r="C1046" s="33" t="s">
        <v>1227</v>
      </c>
      <c r="D1046" s="33" t="s">
        <v>1230</v>
      </c>
      <c r="E1046" s="33" t="s">
        <v>2879</v>
      </c>
      <c r="F1046" s="38" t="s">
        <v>1687</v>
      </c>
    </row>
    <row r="1047" spans="1:6" ht="14.5" hidden="1" customHeight="1" x14ac:dyDescent="0.35">
      <c r="A1047" s="33" t="s">
        <v>1226</v>
      </c>
      <c r="B1047" s="33" t="s">
        <v>84</v>
      </c>
      <c r="C1047" s="33" t="s">
        <v>1227</v>
      </c>
      <c r="D1047" s="33" t="s">
        <v>1231</v>
      </c>
      <c r="E1047" s="33" t="s">
        <v>2844</v>
      </c>
      <c r="F1047" s="38" t="s">
        <v>48</v>
      </c>
    </row>
    <row r="1048" spans="1:6" ht="14.5" hidden="1" customHeight="1" x14ac:dyDescent="0.35">
      <c r="A1048" s="33" t="s">
        <v>1226</v>
      </c>
      <c r="B1048" s="33" t="s">
        <v>85</v>
      </c>
      <c r="C1048" s="33" t="s">
        <v>1227</v>
      </c>
      <c r="D1048" s="33" t="s">
        <v>1232</v>
      </c>
      <c r="E1048" s="33" t="s">
        <v>2839</v>
      </c>
      <c r="F1048" s="38" t="s">
        <v>48</v>
      </c>
    </row>
    <row r="1049" spans="1:6" ht="14.5" hidden="1" customHeight="1" x14ac:dyDescent="0.35">
      <c r="A1049" s="33" t="s">
        <v>1226</v>
      </c>
      <c r="B1049" s="33" t="s">
        <v>86</v>
      </c>
      <c r="C1049" s="33" t="s">
        <v>1227</v>
      </c>
      <c r="D1049" s="33" t="s">
        <v>1233</v>
      </c>
      <c r="E1049" s="33" t="s">
        <v>2870</v>
      </c>
      <c r="F1049" s="38" t="s">
        <v>56</v>
      </c>
    </row>
    <row r="1050" spans="1:6" ht="14.5" hidden="1" customHeight="1" x14ac:dyDescent="0.35">
      <c r="A1050" s="33" t="s">
        <v>1226</v>
      </c>
      <c r="B1050" s="33" t="s">
        <v>89</v>
      </c>
      <c r="C1050" s="33" t="s">
        <v>1227</v>
      </c>
      <c r="D1050" s="33" t="s">
        <v>1234</v>
      </c>
      <c r="E1050" s="33" t="s">
        <v>2859</v>
      </c>
      <c r="F1050" s="38" t="s">
        <v>56</v>
      </c>
    </row>
    <row r="1051" spans="1:6" ht="14.5" customHeight="1" x14ac:dyDescent="0.35">
      <c r="A1051" s="33" t="s">
        <v>1226</v>
      </c>
      <c r="B1051" s="33" t="s">
        <v>87</v>
      </c>
      <c r="C1051" s="33" t="s">
        <v>1227</v>
      </c>
      <c r="D1051" s="33" t="s">
        <v>1235</v>
      </c>
      <c r="E1051" s="33" t="s">
        <v>2879</v>
      </c>
      <c r="F1051" s="38" t="s">
        <v>1687</v>
      </c>
    </row>
    <row r="1052" spans="1:6" ht="14.5" customHeight="1" x14ac:dyDescent="0.35">
      <c r="A1052" s="33" t="s">
        <v>1226</v>
      </c>
      <c r="B1052" s="33" t="s">
        <v>88</v>
      </c>
      <c r="C1052" s="33" t="s">
        <v>1227</v>
      </c>
      <c r="D1052" s="33" t="s">
        <v>1236</v>
      </c>
      <c r="E1052" s="33" t="s">
        <v>2879</v>
      </c>
      <c r="F1052" s="38" t="s">
        <v>1687</v>
      </c>
    </row>
    <row r="1053" spans="1:6" ht="14.5" hidden="1" customHeight="1" x14ac:dyDescent="0.35">
      <c r="A1053" s="33" t="s">
        <v>1226</v>
      </c>
      <c r="B1053" s="33" t="s">
        <v>91</v>
      </c>
      <c r="C1053" s="33" t="s">
        <v>1227</v>
      </c>
      <c r="D1053" s="33" t="s">
        <v>1237</v>
      </c>
      <c r="E1053" s="33" t="s">
        <v>2844</v>
      </c>
      <c r="F1053" s="38" t="s">
        <v>48</v>
      </c>
    </row>
    <row r="1054" spans="1:6" ht="14.5" hidden="1" customHeight="1" x14ac:dyDescent="0.35">
      <c r="A1054" s="33" t="s">
        <v>1226</v>
      </c>
      <c r="B1054" s="33" t="s">
        <v>92</v>
      </c>
      <c r="C1054" s="33" t="s">
        <v>1227</v>
      </c>
      <c r="D1054" s="33" t="s">
        <v>1238</v>
      </c>
      <c r="E1054" s="33" t="s">
        <v>2839</v>
      </c>
      <c r="F1054" s="38" t="s">
        <v>48</v>
      </c>
    </row>
    <row r="1055" spans="1:6" ht="14.5" hidden="1" customHeight="1" x14ac:dyDescent="0.35">
      <c r="A1055" s="33" t="s">
        <v>1226</v>
      </c>
      <c r="B1055" s="33" t="s">
        <v>94</v>
      </c>
      <c r="C1055" s="33" t="s">
        <v>1227</v>
      </c>
      <c r="D1055" s="33" t="s">
        <v>1239</v>
      </c>
      <c r="E1055" s="33" t="s">
        <v>2843</v>
      </c>
      <c r="F1055" s="38" t="s">
        <v>56</v>
      </c>
    </row>
    <row r="1056" spans="1:6" ht="14.5" hidden="1" customHeight="1" x14ac:dyDescent="0.35">
      <c r="A1056" s="33" t="s">
        <v>1246</v>
      </c>
      <c r="B1056" s="33" t="s">
        <v>80</v>
      </c>
      <c r="C1056" s="33" t="s">
        <v>1247</v>
      </c>
      <c r="D1056" s="33" t="s">
        <v>1248</v>
      </c>
      <c r="E1056" s="33" t="s">
        <v>2871</v>
      </c>
      <c r="F1056" s="38" t="s">
        <v>54</v>
      </c>
    </row>
    <row r="1057" spans="1:6" ht="14.5" hidden="1" customHeight="1" x14ac:dyDescent="0.35">
      <c r="A1057" s="33" t="s">
        <v>1249</v>
      </c>
      <c r="B1057" s="33" t="s">
        <v>80</v>
      </c>
      <c r="C1057" s="33" t="s">
        <v>1250</v>
      </c>
      <c r="D1057" s="33" t="s">
        <v>1251</v>
      </c>
      <c r="E1057" s="33" t="s">
        <v>2860</v>
      </c>
      <c r="F1057" s="38" t="s">
        <v>50</v>
      </c>
    </row>
    <row r="1058" spans="1:6" ht="14.5" hidden="1" customHeight="1" x14ac:dyDescent="0.35">
      <c r="A1058" s="33" t="s">
        <v>1249</v>
      </c>
      <c r="B1058" s="33" t="s">
        <v>82</v>
      </c>
      <c r="C1058" s="33" t="s">
        <v>1250</v>
      </c>
      <c r="D1058" s="33" t="s">
        <v>1252</v>
      </c>
      <c r="E1058" s="33" t="s">
        <v>2859</v>
      </c>
      <c r="F1058" s="38" t="s">
        <v>56</v>
      </c>
    </row>
    <row r="1059" spans="1:6" ht="14.5" hidden="1" customHeight="1" x14ac:dyDescent="0.35">
      <c r="A1059" s="33" t="s">
        <v>1249</v>
      </c>
      <c r="B1059" s="33" t="s">
        <v>83</v>
      </c>
      <c r="C1059" s="33" t="s">
        <v>1250</v>
      </c>
      <c r="D1059" s="33" t="s">
        <v>1253</v>
      </c>
      <c r="E1059" s="33" t="s">
        <v>2860</v>
      </c>
      <c r="F1059" s="38" t="s">
        <v>50</v>
      </c>
    </row>
    <row r="1060" spans="1:6" ht="14.5" hidden="1" customHeight="1" x14ac:dyDescent="0.35">
      <c r="A1060" s="33" t="s">
        <v>1249</v>
      </c>
      <c r="B1060" s="33" t="s">
        <v>19</v>
      </c>
      <c r="C1060" s="33" t="s">
        <v>1250</v>
      </c>
      <c r="D1060" s="33" t="s">
        <v>1254</v>
      </c>
      <c r="E1060" s="33" t="s">
        <v>2859</v>
      </c>
      <c r="F1060" s="38" t="s">
        <v>56</v>
      </c>
    </row>
    <row r="1061" spans="1:6" ht="14.5" customHeight="1" x14ac:dyDescent="0.35">
      <c r="A1061" s="33" t="s">
        <v>1255</v>
      </c>
      <c r="B1061" s="33" t="s">
        <v>80</v>
      </c>
      <c r="C1061" s="33" t="s">
        <v>1256</v>
      </c>
      <c r="D1061" s="33" t="s">
        <v>1257</v>
      </c>
      <c r="E1061" s="33" t="s">
        <v>2879</v>
      </c>
      <c r="F1061" s="38" t="s">
        <v>1687</v>
      </c>
    </row>
    <row r="1062" spans="1:6" ht="14.5" customHeight="1" x14ac:dyDescent="0.35">
      <c r="A1062" s="33" t="s">
        <v>1255</v>
      </c>
      <c r="B1062" s="33" t="s">
        <v>19</v>
      </c>
      <c r="C1062" s="33" t="s">
        <v>1256</v>
      </c>
      <c r="D1062" s="33" t="s">
        <v>1258</v>
      </c>
      <c r="E1062" s="33" t="s">
        <v>2879</v>
      </c>
      <c r="F1062" s="38" t="s">
        <v>1687</v>
      </c>
    </row>
    <row r="1063" spans="1:6" ht="14.5" hidden="1" customHeight="1" x14ac:dyDescent="0.35">
      <c r="A1063" s="33" t="s">
        <v>1259</v>
      </c>
      <c r="B1063" s="33" t="s">
        <v>80</v>
      </c>
      <c r="C1063" s="33" t="s">
        <v>1260</v>
      </c>
      <c r="D1063" s="33" t="s">
        <v>1261</v>
      </c>
      <c r="E1063" s="33" t="s">
        <v>2882</v>
      </c>
      <c r="F1063" s="38" t="s">
        <v>2739</v>
      </c>
    </row>
    <row r="1064" spans="1:6" ht="14.5" hidden="1" customHeight="1" x14ac:dyDescent="0.35">
      <c r="A1064" s="33" t="s">
        <v>1259</v>
      </c>
      <c r="B1064" s="33" t="s">
        <v>82</v>
      </c>
      <c r="C1064" s="33" t="s">
        <v>1260</v>
      </c>
      <c r="D1064" s="33" t="s">
        <v>1262</v>
      </c>
      <c r="E1064" s="33" t="s">
        <v>2843</v>
      </c>
      <c r="F1064" s="38" t="s">
        <v>56</v>
      </c>
    </row>
    <row r="1065" spans="1:6" ht="14.5" hidden="1" customHeight="1" x14ac:dyDescent="0.35">
      <c r="A1065" s="33" t="s">
        <v>1259</v>
      </c>
      <c r="B1065" s="33" t="s">
        <v>83</v>
      </c>
      <c r="C1065" s="33" t="s">
        <v>1260</v>
      </c>
      <c r="D1065" s="33" t="s">
        <v>1263</v>
      </c>
      <c r="E1065" s="33" t="s">
        <v>2850</v>
      </c>
      <c r="F1065" s="38" t="s">
        <v>2739</v>
      </c>
    </row>
    <row r="1066" spans="1:6" ht="14.5" hidden="1" customHeight="1" x14ac:dyDescent="0.35">
      <c r="A1066" s="33" t="s">
        <v>1259</v>
      </c>
      <c r="B1066" s="33" t="s">
        <v>432</v>
      </c>
      <c r="C1066" s="33" t="s">
        <v>1260</v>
      </c>
      <c r="D1066" s="33" t="s">
        <v>1265</v>
      </c>
      <c r="E1066" s="33" t="s">
        <v>2855</v>
      </c>
      <c r="F1066" s="38" t="s">
        <v>54</v>
      </c>
    </row>
    <row r="1067" spans="1:6" ht="14.5" hidden="1" customHeight="1" x14ac:dyDescent="0.35">
      <c r="A1067" s="33" t="s">
        <v>1259</v>
      </c>
      <c r="B1067" s="33" t="s">
        <v>85</v>
      </c>
      <c r="C1067" s="33" t="s">
        <v>1260</v>
      </c>
      <c r="D1067" s="33" t="s">
        <v>1266</v>
      </c>
      <c r="E1067" s="33" t="s">
        <v>2859</v>
      </c>
      <c r="F1067" s="38" t="s">
        <v>56</v>
      </c>
    </row>
    <row r="1068" spans="1:6" ht="14.5" hidden="1" customHeight="1" x14ac:dyDescent="0.35">
      <c r="A1068" s="33" t="s">
        <v>1259</v>
      </c>
      <c r="B1068" s="33" t="s">
        <v>86</v>
      </c>
      <c r="C1068" s="33" t="s">
        <v>1260</v>
      </c>
      <c r="D1068" s="33" t="s">
        <v>1267</v>
      </c>
      <c r="E1068" s="33" t="s">
        <v>2855</v>
      </c>
      <c r="F1068" s="38" t="s">
        <v>54</v>
      </c>
    </row>
    <row r="1069" spans="1:6" ht="14.5" hidden="1" customHeight="1" x14ac:dyDescent="0.35">
      <c r="A1069" s="33" t="s">
        <v>1259</v>
      </c>
      <c r="B1069" s="33" t="s">
        <v>89</v>
      </c>
      <c r="C1069" s="33" t="s">
        <v>1260</v>
      </c>
      <c r="D1069" s="33" t="s">
        <v>1268</v>
      </c>
      <c r="E1069" s="33" t="s">
        <v>2859</v>
      </c>
      <c r="F1069" s="38" t="s">
        <v>56</v>
      </c>
    </row>
    <row r="1070" spans="1:6" ht="14.5" hidden="1" customHeight="1" x14ac:dyDescent="0.35">
      <c r="A1070" s="33" t="s">
        <v>1259</v>
      </c>
      <c r="B1070" s="33" t="s">
        <v>774</v>
      </c>
      <c r="C1070" s="33" t="s">
        <v>1260</v>
      </c>
      <c r="D1070" s="33" t="s">
        <v>1269</v>
      </c>
      <c r="E1070" s="33" t="s">
        <v>2855</v>
      </c>
      <c r="F1070" s="38" t="s">
        <v>54</v>
      </c>
    </row>
    <row r="1071" spans="1:6" ht="14.5" hidden="1" customHeight="1" x14ac:dyDescent="0.35">
      <c r="A1071" s="33" t="s">
        <v>1259</v>
      </c>
      <c r="B1071" s="33" t="s">
        <v>87</v>
      </c>
      <c r="C1071" s="33" t="s">
        <v>1260</v>
      </c>
      <c r="D1071" s="33" t="s">
        <v>1270</v>
      </c>
      <c r="E1071" s="33" t="s">
        <v>2855</v>
      </c>
      <c r="F1071" s="38" t="s">
        <v>54</v>
      </c>
    </row>
    <row r="1072" spans="1:6" ht="14.5" hidden="1" customHeight="1" x14ac:dyDescent="0.35">
      <c r="A1072" s="33" t="s">
        <v>1259</v>
      </c>
      <c r="B1072" s="33" t="s">
        <v>90</v>
      </c>
      <c r="C1072" s="33" t="s">
        <v>1260</v>
      </c>
      <c r="D1072" s="33" t="s">
        <v>1271</v>
      </c>
      <c r="E1072" s="33" t="s">
        <v>2859</v>
      </c>
      <c r="F1072" s="38" t="s">
        <v>56</v>
      </c>
    </row>
    <row r="1073" spans="1:6" ht="14.5" hidden="1" customHeight="1" x14ac:dyDescent="0.35">
      <c r="A1073" s="33" t="s">
        <v>1259</v>
      </c>
      <c r="B1073" s="33" t="s">
        <v>92</v>
      </c>
      <c r="C1073" s="33" t="s">
        <v>1260</v>
      </c>
      <c r="D1073" s="33" t="s">
        <v>1272</v>
      </c>
      <c r="E1073" s="33" t="s">
        <v>2882</v>
      </c>
      <c r="F1073" s="38" t="s">
        <v>2739</v>
      </c>
    </row>
    <row r="1074" spans="1:6" ht="14.5" hidden="1" customHeight="1" x14ac:dyDescent="0.35">
      <c r="A1074" s="33" t="s">
        <v>1273</v>
      </c>
      <c r="B1074" s="33" t="s">
        <v>93</v>
      </c>
      <c r="C1074" s="33" t="s">
        <v>1274</v>
      </c>
      <c r="D1074" s="33" t="s">
        <v>931</v>
      </c>
      <c r="E1074" s="33" t="s">
        <v>2869</v>
      </c>
      <c r="F1074" s="38" t="s">
        <v>132</v>
      </c>
    </row>
    <row r="1075" spans="1:6" ht="14.5" hidden="1" customHeight="1" x14ac:dyDescent="0.35">
      <c r="A1075" s="33" t="s">
        <v>1273</v>
      </c>
      <c r="B1075" s="33" t="s">
        <v>96</v>
      </c>
      <c r="C1075" s="33" t="s">
        <v>1274</v>
      </c>
      <c r="D1075" s="33" t="s">
        <v>932</v>
      </c>
      <c r="E1075" s="33" t="s">
        <v>2844</v>
      </c>
      <c r="F1075" s="38" t="s">
        <v>48</v>
      </c>
    </row>
    <row r="1076" spans="1:6" ht="14.5" hidden="1" customHeight="1" x14ac:dyDescent="0.35">
      <c r="A1076" s="33" t="s">
        <v>1273</v>
      </c>
      <c r="B1076" s="33" t="s">
        <v>97</v>
      </c>
      <c r="C1076" s="33" t="s">
        <v>1274</v>
      </c>
      <c r="D1076" s="33" t="s">
        <v>1275</v>
      </c>
      <c r="E1076" s="33" t="s">
        <v>2839</v>
      </c>
      <c r="F1076" s="38" t="s">
        <v>48</v>
      </c>
    </row>
    <row r="1077" spans="1:6" ht="14.5" hidden="1" customHeight="1" x14ac:dyDescent="0.35">
      <c r="A1077" s="33" t="s">
        <v>1273</v>
      </c>
      <c r="B1077" s="33" t="s">
        <v>101</v>
      </c>
      <c r="C1077" s="33" t="s">
        <v>1274</v>
      </c>
      <c r="D1077" s="33" t="s">
        <v>934</v>
      </c>
      <c r="E1077" s="33" t="s">
        <v>2869</v>
      </c>
      <c r="F1077" s="38" t="s">
        <v>132</v>
      </c>
    </row>
    <row r="1078" spans="1:6" ht="14.5" hidden="1" customHeight="1" x14ac:dyDescent="0.35">
      <c r="A1078" s="33" t="s">
        <v>1276</v>
      </c>
      <c r="B1078" s="33" t="s">
        <v>93</v>
      </c>
      <c r="C1078" s="33" t="s">
        <v>1277</v>
      </c>
      <c r="D1078" s="33" t="s">
        <v>931</v>
      </c>
      <c r="E1078" s="33" t="s">
        <v>2865</v>
      </c>
      <c r="F1078" s="38" t="s">
        <v>54</v>
      </c>
    </row>
    <row r="1079" spans="1:6" ht="14.5" hidden="1" customHeight="1" x14ac:dyDescent="0.35">
      <c r="A1079" s="33" t="s">
        <v>1276</v>
      </c>
      <c r="B1079" s="33" t="s">
        <v>96</v>
      </c>
      <c r="C1079" s="33" t="s">
        <v>1277</v>
      </c>
      <c r="D1079" s="33" t="s">
        <v>932</v>
      </c>
      <c r="E1079" s="33" t="s">
        <v>2844</v>
      </c>
      <c r="F1079" s="38" t="s">
        <v>48</v>
      </c>
    </row>
    <row r="1080" spans="1:6" ht="14.5" hidden="1" customHeight="1" x14ac:dyDescent="0.35">
      <c r="A1080" s="33" t="s">
        <v>1276</v>
      </c>
      <c r="B1080" s="33" t="s">
        <v>97</v>
      </c>
      <c r="C1080" s="33" t="s">
        <v>1277</v>
      </c>
      <c r="D1080" s="33" t="s">
        <v>933</v>
      </c>
      <c r="E1080" s="33" t="s">
        <v>2839</v>
      </c>
      <c r="F1080" s="38" t="s">
        <v>48</v>
      </c>
    </row>
    <row r="1081" spans="1:6" ht="14.5" hidden="1" customHeight="1" x14ac:dyDescent="0.35">
      <c r="A1081" s="33" t="s">
        <v>1276</v>
      </c>
      <c r="B1081" s="33" t="s">
        <v>101</v>
      </c>
      <c r="C1081" s="33" t="s">
        <v>1277</v>
      </c>
      <c r="D1081" s="33" t="s">
        <v>934</v>
      </c>
      <c r="E1081" s="33" t="s">
        <v>2865</v>
      </c>
      <c r="F1081" s="38" t="s">
        <v>54</v>
      </c>
    </row>
    <row r="1082" spans="1:6" ht="14.5" hidden="1" customHeight="1" x14ac:dyDescent="0.35">
      <c r="A1082" s="33" t="s">
        <v>1278</v>
      </c>
      <c r="B1082" s="33" t="s">
        <v>80</v>
      </c>
      <c r="C1082" s="33" t="s">
        <v>1279</v>
      </c>
      <c r="D1082" s="33" t="s">
        <v>1248</v>
      </c>
      <c r="E1082" s="33" t="s">
        <v>2871</v>
      </c>
      <c r="F1082" s="38" t="s">
        <v>54</v>
      </c>
    </row>
    <row r="1083" spans="1:6" ht="14.5" hidden="1" customHeight="1" x14ac:dyDescent="0.35">
      <c r="A1083" s="33" t="s">
        <v>1280</v>
      </c>
      <c r="B1083" s="33" t="s">
        <v>80</v>
      </c>
      <c r="C1083" s="33" t="s">
        <v>1281</v>
      </c>
      <c r="D1083" s="33" t="s">
        <v>1282</v>
      </c>
      <c r="E1083" s="33" t="s">
        <v>2873</v>
      </c>
      <c r="F1083" s="38" t="s">
        <v>132</v>
      </c>
    </row>
    <row r="1084" spans="1:6" ht="14.5" hidden="1" customHeight="1" x14ac:dyDescent="0.35">
      <c r="A1084" s="33" t="s">
        <v>1283</v>
      </c>
      <c r="B1084" s="33" t="s">
        <v>80</v>
      </c>
      <c r="C1084" s="33" t="s">
        <v>1284</v>
      </c>
      <c r="D1084" s="33" t="s">
        <v>820</v>
      </c>
      <c r="E1084" s="33" t="s">
        <v>2873</v>
      </c>
      <c r="F1084" s="38" t="s">
        <v>132</v>
      </c>
    </row>
    <row r="1085" spans="1:6" ht="14.5" hidden="1" customHeight="1" x14ac:dyDescent="0.35">
      <c r="A1085" s="33" t="s">
        <v>1285</v>
      </c>
      <c r="B1085" s="33" t="s">
        <v>80</v>
      </c>
      <c r="C1085" s="33" t="s">
        <v>1286</v>
      </c>
      <c r="D1085" s="33" t="s">
        <v>1261</v>
      </c>
      <c r="E1085" s="33" t="s">
        <v>2882</v>
      </c>
      <c r="F1085" s="38" t="s">
        <v>2739</v>
      </c>
    </row>
    <row r="1086" spans="1:6" ht="14.5" hidden="1" customHeight="1" x14ac:dyDescent="0.35">
      <c r="A1086" s="33" t="s">
        <v>1285</v>
      </c>
      <c r="B1086" s="33" t="s">
        <v>82</v>
      </c>
      <c r="C1086" s="33" t="s">
        <v>1286</v>
      </c>
      <c r="D1086" s="33" t="s">
        <v>1262</v>
      </c>
      <c r="E1086" s="33" t="s">
        <v>2843</v>
      </c>
      <c r="F1086" s="38" t="s">
        <v>56</v>
      </c>
    </row>
    <row r="1087" spans="1:6" ht="14.5" hidden="1" customHeight="1" x14ac:dyDescent="0.35">
      <c r="A1087" s="33" t="s">
        <v>1285</v>
      </c>
      <c r="B1087" s="33" t="s">
        <v>83</v>
      </c>
      <c r="C1087" s="33" t="s">
        <v>1286</v>
      </c>
      <c r="D1087" s="33" t="s">
        <v>1263</v>
      </c>
      <c r="E1087" s="33" t="s">
        <v>2850</v>
      </c>
      <c r="F1087" s="38" t="s">
        <v>2739</v>
      </c>
    </row>
    <row r="1088" spans="1:6" ht="14.5" hidden="1" customHeight="1" x14ac:dyDescent="0.35">
      <c r="A1088" s="33" t="s">
        <v>1285</v>
      </c>
      <c r="B1088" s="33" t="s">
        <v>84</v>
      </c>
      <c r="C1088" s="33" t="s">
        <v>1286</v>
      </c>
      <c r="D1088" s="33" t="s">
        <v>1264</v>
      </c>
      <c r="E1088" s="33" t="s">
        <v>2869</v>
      </c>
      <c r="F1088" s="38" t="s">
        <v>132</v>
      </c>
    </row>
    <row r="1089" spans="1:6" ht="14.5" hidden="1" customHeight="1" x14ac:dyDescent="0.35">
      <c r="A1089" s="33" t="s">
        <v>1285</v>
      </c>
      <c r="B1089" s="33" t="s">
        <v>432</v>
      </c>
      <c r="C1089" s="33" t="s">
        <v>1286</v>
      </c>
      <c r="D1089" s="33" t="s">
        <v>1265</v>
      </c>
      <c r="E1089" s="33" t="s">
        <v>2882</v>
      </c>
      <c r="F1089" s="38" t="s">
        <v>2739</v>
      </c>
    </row>
    <row r="1090" spans="1:6" ht="14.5" hidden="1" customHeight="1" x14ac:dyDescent="0.35">
      <c r="A1090" s="33" t="s">
        <v>1285</v>
      </c>
      <c r="B1090" s="33" t="s">
        <v>85</v>
      </c>
      <c r="C1090" s="33" t="s">
        <v>1286</v>
      </c>
      <c r="D1090" s="33" t="s">
        <v>1266</v>
      </c>
      <c r="E1090" s="33" t="s">
        <v>2859</v>
      </c>
      <c r="F1090" s="38" t="s">
        <v>56</v>
      </c>
    </row>
    <row r="1091" spans="1:6" ht="14.5" hidden="1" customHeight="1" x14ac:dyDescent="0.35">
      <c r="A1091" s="33" t="s">
        <v>1285</v>
      </c>
      <c r="B1091" s="33" t="s">
        <v>86</v>
      </c>
      <c r="C1091" s="33" t="s">
        <v>1286</v>
      </c>
      <c r="D1091" s="33" t="s">
        <v>1267</v>
      </c>
      <c r="E1091" s="33" t="s">
        <v>2882</v>
      </c>
      <c r="F1091" s="38" t="s">
        <v>2739</v>
      </c>
    </row>
    <row r="1092" spans="1:6" ht="14.5" hidden="1" customHeight="1" x14ac:dyDescent="0.35">
      <c r="A1092" s="33" t="s">
        <v>1285</v>
      </c>
      <c r="B1092" s="33" t="s">
        <v>89</v>
      </c>
      <c r="C1092" s="33" t="s">
        <v>1286</v>
      </c>
      <c r="D1092" s="33" t="s">
        <v>1268</v>
      </c>
      <c r="E1092" s="33" t="s">
        <v>2859</v>
      </c>
      <c r="F1092" s="38" t="s">
        <v>56</v>
      </c>
    </row>
    <row r="1093" spans="1:6" ht="14.5" hidden="1" customHeight="1" x14ac:dyDescent="0.35">
      <c r="A1093" s="33" t="s">
        <v>1285</v>
      </c>
      <c r="B1093" s="33" t="s">
        <v>774</v>
      </c>
      <c r="C1093" s="33" t="s">
        <v>1286</v>
      </c>
      <c r="D1093" s="33" t="s">
        <v>1269</v>
      </c>
      <c r="E1093" s="33" t="s">
        <v>2882</v>
      </c>
      <c r="F1093" s="38" t="s">
        <v>2739</v>
      </c>
    </row>
    <row r="1094" spans="1:6" ht="14.5" hidden="1" customHeight="1" x14ac:dyDescent="0.35">
      <c r="A1094" s="33" t="s">
        <v>1285</v>
      </c>
      <c r="B1094" s="33" t="s">
        <v>87</v>
      </c>
      <c r="C1094" s="33" t="s">
        <v>1286</v>
      </c>
      <c r="D1094" s="33" t="s">
        <v>1270</v>
      </c>
      <c r="E1094" s="33" t="s">
        <v>2882</v>
      </c>
      <c r="F1094" s="38" t="s">
        <v>2739</v>
      </c>
    </row>
    <row r="1095" spans="1:6" ht="14.5" hidden="1" customHeight="1" x14ac:dyDescent="0.35">
      <c r="A1095" s="33" t="s">
        <v>1285</v>
      </c>
      <c r="B1095" s="33" t="s">
        <v>90</v>
      </c>
      <c r="C1095" s="33" t="s">
        <v>1286</v>
      </c>
      <c r="D1095" s="33" t="s">
        <v>1271</v>
      </c>
      <c r="E1095" s="33" t="s">
        <v>2859</v>
      </c>
      <c r="F1095" s="38" t="s">
        <v>56</v>
      </c>
    </row>
    <row r="1096" spans="1:6" ht="14.5" hidden="1" customHeight="1" x14ac:dyDescent="0.35">
      <c r="A1096" s="33" t="s">
        <v>1285</v>
      </c>
      <c r="B1096" s="33" t="s">
        <v>92</v>
      </c>
      <c r="C1096" s="33" t="s">
        <v>1286</v>
      </c>
      <c r="D1096" s="33" t="s">
        <v>1272</v>
      </c>
      <c r="E1096" s="33" t="s">
        <v>2843</v>
      </c>
      <c r="F1096" s="38" t="s">
        <v>56</v>
      </c>
    </row>
    <row r="1097" spans="1:6" ht="14.5" customHeight="1" x14ac:dyDescent="0.35">
      <c r="A1097" s="33" t="s">
        <v>1287</v>
      </c>
      <c r="B1097" s="33" t="s">
        <v>80</v>
      </c>
      <c r="C1097" s="33" t="s">
        <v>1288</v>
      </c>
      <c r="D1097" s="33" t="s">
        <v>1289</v>
      </c>
      <c r="E1097" s="33" t="s">
        <v>2879</v>
      </c>
      <c r="F1097" s="38" t="s">
        <v>1687</v>
      </c>
    </row>
    <row r="1098" spans="1:6" ht="14.5" hidden="1" customHeight="1" x14ac:dyDescent="0.35">
      <c r="A1098" s="33" t="s">
        <v>1287</v>
      </c>
      <c r="B1098" s="33" t="s">
        <v>84</v>
      </c>
      <c r="C1098" s="33" t="s">
        <v>1288</v>
      </c>
      <c r="D1098" s="33" t="s">
        <v>1290</v>
      </c>
      <c r="E1098" s="33" t="s">
        <v>2870</v>
      </c>
      <c r="F1098" s="38" t="s">
        <v>56</v>
      </c>
    </row>
    <row r="1099" spans="1:6" ht="14.5" hidden="1" customHeight="1" x14ac:dyDescent="0.35">
      <c r="A1099" s="33" t="s">
        <v>1287</v>
      </c>
      <c r="B1099" s="33" t="s">
        <v>85</v>
      </c>
      <c r="C1099" s="33" t="s">
        <v>1288</v>
      </c>
      <c r="D1099" s="33" t="s">
        <v>1291</v>
      </c>
      <c r="E1099" s="33" t="s">
        <v>2843</v>
      </c>
      <c r="F1099" s="38" t="s">
        <v>56</v>
      </c>
    </row>
    <row r="1100" spans="1:6" ht="14.5" customHeight="1" x14ac:dyDescent="0.35">
      <c r="A1100" s="33" t="s">
        <v>1287</v>
      </c>
      <c r="B1100" s="33" t="s">
        <v>86</v>
      </c>
      <c r="C1100" s="33" t="s">
        <v>1288</v>
      </c>
      <c r="D1100" s="33" t="s">
        <v>1292</v>
      </c>
      <c r="E1100" s="33" t="s">
        <v>2879</v>
      </c>
      <c r="F1100" s="38" t="s">
        <v>1687</v>
      </c>
    </row>
    <row r="1101" spans="1:6" ht="14.5" customHeight="1" x14ac:dyDescent="0.35">
      <c r="A1101" s="33" t="s">
        <v>1287</v>
      </c>
      <c r="B1101" s="33" t="s">
        <v>89</v>
      </c>
      <c r="C1101" s="33" t="s">
        <v>1288</v>
      </c>
      <c r="D1101" s="33" t="s">
        <v>1293</v>
      </c>
      <c r="E1101" s="33" t="s">
        <v>2879</v>
      </c>
      <c r="F1101" s="38" t="s">
        <v>1687</v>
      </c>
    </row>
    <row r="1102" spans="1:6" ht="14.5" hidden="1" customHeight="1" x14ac:dyDescent="0.35">
      <c r="A1102" s="33" t="s">
        <v>1287</v>
      </c>
      <c r="B1102" s="33" t="s">
        <v>87</v>
      </c>
      <c r="C1102" s="33" t="s">
        <v>1288</v>
      </c>
      <c r="D1102" s="33" t="s">
        <v>1294</v>
      </c>
      <c r="E1102" s="33" t="s">
        <v>2843</v>
      </c>
      <c r="F1102" s="38" t="s">
        <v>56</v>
      </c>
    </row>
    <row r="1103" spans="1:6" ht="14.5" hidden="1" customHeight="1" x14ac:dyDescent="0.35">
      <c r="A1103" s="33" t="s">
        <v>1287</v>
      </c>
      <c r="B1103" s="33" t="s">
        <v>88</v>
      </c>
      <c r="C1103" s="33" t="s">
        <v>1288</v>
      </c>
      <c r="D1103" s="33" t="s">
        <v>1295</v>
      </c>
      <c r="E1103" s="33" t="s">
        <v>2859</v>
      </c>
      <c r="F1103" s="38" t="s">
        <v>56</v>
      </c>
    </row>
    <row r="1104" spans="1:6" ht="14.5" hidden="1" customHeight="1" x14ac:dyDescent="0.35">
      <c r="A1104" s="33" t="s">
        <v>1296</v>
      </c>
      <c r="B1104" s="33" t="s">
        <v>80</v>
      </c>
      <c r="C1104" s="33" t="s">
        <v>1297</v>
      </c>
      <c r="D1104" s="33" t="s">
        <v>1298</v>
      </c>
      <c r="E1104" s="33" t="s">
        <v>2865</v>
      </c>
      <c r="F1104" s="38" t="s">
        <v>54</v>
      </c>
    </row>
    <row r="1105" spans="1:6" ht="14.5" hidden="1" customHeight="1" x14ac:dyDescent="0.35">
      <c r="A1105" s="33" t="s">
        <v>1296</v>
      </c>
      <c r="B1105" s="33" t="s">
        <v>82</v>
      </c>
      <c r="C1105" s="33" t="s">
        <v>1297</v>
      </c>
      <c r="D1105" s="33" t="s">
        <v>1299</v>
      </c>
      <c r="E1105" s="33" t="s">
        <v>2865</v>
      </c>
      <c r="F1105" s="38" t="s">
        <v>54</v>
      </c>
    </row>
    <row r="1106" spans="1:6" ht="14.5" customHeight="1" x14ac:dyDescent="0.35">
      <c r="A1106" s="33" t="s">
        <v>1300</v>
      </c>
      <c r="B1106" s="33" t="s">
        <v>83</v>
      </c>
      <c r="C1106" s="33" t="s">
        <v>1301</v>
      </c>
      <c r="D1106" s="33" t="s">
        <v>407</v>
      </c>
      <c r="E1106" s="33" t="s">
        <v>2879</v>
      </c>
      <c r="F1106" s="38" t="s">
        <v>1687</v>
      </c>
    </row>
    <row r="1107" spans="1:6" ht="14.5" hidden="1" customHeight="1" x14ac:dyDescent="0.35">
      <c r="A1107" s="33" t="s">
        <v>1300</v>
      </c>
      <c r="B1107" s="33" t="s">
        <v>19</v>
      </c>
      <c r="C1107" s="33" t="s">
        <v>1301</v>
      </c>
      <c r="D1107" s="33" t="s">
        <v>408</v>
      </c>
      <c r="E1107" s="33" t="s">
        <v>2843</v>
      </c>
      <c r="F1107" s="38" t="s">
        <v>56</v>
      </c>
    </row>
    <row r="1108" spans="1:6" ht="14.5" hidden="1" customHeight="1" x14ac:dyDescent="0.35">
      <c r="A1108" s="33" t="s">
        <v>1300</v>
      </c>
      <c r="B1108" s="33" t="s">
        <v>85</v>
      </c>
      <c r="C1108" s="33" t="s">
        <v>1301</v>
      </c>
      <c r="D1108" s="33" t="s">
        <v>410</v>
      </c>
      <c r="E1108" s="33" t="s">
        <v>2869</v>
      </c>
      <c r="F1108" s="38" t="s">
        <v>132</v>
      </c>
    </row>
    <row r="1109" spans="1:6" ht="14.5" hidden="1" customHeight="1" x14ac:dyDescent="0.35">
      <c r="A1109" s="33" t="s">
        <v>1300</v>
      </c>
      <c r="B1109" s="33" t="s">
        <v>89</v>
      </c>
      <c r="C1109" s="33" t="s">
        <v>1301</v>
      </c>
      <c r="D1109" s="33" t="s">
        <v>411</v>
      </c>
      <c r="E1109" s="33" t="s">
        <v>2859</v>
      </c>
      <c r="F1109" s="38" t="s">
        <v>56</v>
      </c>
    </row>
    <row r="1110" spans="1:6" ht="14.5" hidden="1" customHeight="1" x14ac:dyDescent="0.35">
      <c r="A1110" s="33" t="s">
        <v>1300</v>
      </c>
      <c r="B1110" s="33" t="s">
        <v>1303</v>
      </c>
      <c r="C1110" s="33" t="s">
        <v>1301</v>
      </c>
      <c r="D1110" s="33" t="s">
        <v>412</v>
      </c>
      <c r="E1110" s="33" t="s">
        <v>2878</v>
      </c>
      <c r="F1110" s="38" t="s">
        <v>132</v>
      </c>
    </row>
    <row r="1111" spans="1:6" ht="14.5" hidden="1" customHeight="1" x14ac:dyDescent="0.35">
      <c r="A1111" s="33" t="s">
        <v>1300</v>
      </c>
      <c r="B1111" s="33" t="s">
        <v>88</v>
      </c>
      <c r="C1111" s="33" t="s">
        <v>1301</v>
      </c>
      <c r="D1111" s="33" t="s">
        <v>414</v>
      </c>
      <c r="E1111" s="33" t="s">
        <v>2843</v>
      </c>
      <c r="F1111" s="38" t="s">
        <v>56</v>
      </c>
    </row>
    <row r="1112" spans="1:6" ht="14.5" customHeight="1" x14ac:dyDescent="0.35">
      <c r="A1112" s="33" t="s">
        <v>1300</v>
      </c>
      <c r="B1112" s="33" t="s">
        <v>90</v>
      </c>
      <c r="C1112" s="33" t="s">
        <v>1301</v>
      </c>
      <c r="D1112" s="33" t="s">
        <v>415</v>
      </c>
      <c r="E1112" s="33" t="s">
        <v>2879</v>
      </c>
      <c r="F1112" s="38" t="s">
        <v>1687</v>
      </c>
    </row>
    <row r="1113" spans="1:6" ht="14.5" hidden="1" customHeight="1" x14ac:dyDescent="0.35">
      <c r="A1113" s="33" t="s">
        <v>1304</v>
      </c>
      <c r="B1113" s="33" t="s">
        <v>82</v>
      </c>
      <c r="C1113" s="33" t="s">
        <v>1305</v>
      </c>
      <c r="D1113" s="33" t="s">
        <v>1306</v>
      </c>
      <c r="E1113" s="33" t="s">
        <v>2844</v>
      </c>
      <c r="F1113" s="38" t="s">
        <v>48</v>
      </c>
    </row>
    <row r="1114" spans="1:6" ht="14.5" hidden="1" customHeight="1" x14ac:dyDescent="0.35">
      <c r="A1114" s="33" t="s">
        <v>1304</v>
      </c>
      <c r="B1114" s="33" t="s">
        <v>83</v>
      </c>
      <c r="C1114" s="33" t="s">
        <v>1305</v>
      </c>
      <c r="D1114" s="33" t="s">
        <v>1307</v>
      </c>
      <c r="E1114" s="33" t="s">
        <v>2840</v>
      </c>
      <c r="F1114" s="38" t="s">
        <v>132</v>
      </c>
    </row>
    <row r="1115" spans="1:6" ht="14.5" hidden="1" customHeight="1" x14ac:dyDescent="0.35">
      <c r="A1115" s="33" t="s">
        <v>1304</v>
      </c>
      <c r="B1115" s="33" t="s">
        <v>84</v>
      </c>
      <c r="C1115" s="33" t="s">
        <v>1305</v>
      </c>
      <c r="D1115" s="33" t="s">
        <v>1308</v>
      </c>
      <c r="E1115" s="33" t="s">
        <v>2840</v>
      </c>
      <c r="F1115" s="38" t="s">
        <v>132</v>
      </c>
    </row>
    <row r="1116" spans="1:6" ht="14.5" hidden="1" customHeight="1" x14ac:dyDescent="0.35">
      <c r="A1116" s="33" t="s">
        <v>1304</v>
      </c>
      <c r="B1116" s="33" t="s">
        <v>86</v>
      </c>
      <c r="C1116" s="33" t="s">
        <v>1305</v>
      </c>
      <c r="D1116" s="33" t="s">
        <v>1309</v>
      </c>
      <c r="E1116" s="33" t="s">
        <v>2859</v>
      </c>
      <c r="F1116" s="38" t="s">
        <v>56</v>
      </c>
    </row>
    <row r="1117" spans="1:6" ht="14.5" hidden="1" customHeight="1" x14ac:dyDescent="0.35">
      <c r="A1117" s="33" t="s">
        <v>1304</v>
      </c>
      <c r="B1117" s="33" t="s">
        <v>88</v>
      </c>
      <c r="C1117" s="33" t="s">
        <v>1305</v>
      </c>
      <c r="D1117" s="33" t="s">
        <v>1310</v>
      </c>
      <c r="E1117" s="33" t="s">
        <v>2844</v>
      </c>
      <c r="F1117" s="38" t="s">
        <v>48</v>
      </c>
    </row>
    <row r="1118" spans="1:6" ht="14.5" hidden="1" customHeight="1" x14ac:dyDescent="0.35">
      <c r="A1118" s="33" t="s">
        <v>1311</v>
      </c>
      <c r="B1118" s="33" t="s">
        <v>19</v>
      </c>
      <c r="C1118" s="33" t="s">
        <v>1312</v>
      </c>
      <c r="D1118" s="33" t="s">
        <v>1313</v>
      </c>
      <c r="E1118" s="33" t="s">
        <v>2841</v>
      </c>
      <c r="F1118" s="38" t="s">
        <v>2569</v>
      </c>
    </row>
    <row r="1119" spans="1:6" ht="14.5" hidden="1" customHeight="1" x14ac:dyDescent="0.35">
      <c r="A1119" s="33" t="s">
        <v>1314</v>
      </c>
      <c r="B1119" s="33" t="s">
        <v>80</v>
      </c>
      <c r="C1119" s="33" t="s">
        <v>1315</v>
      </c>
      <c r="D1119" s="33" t="s">
        <v>1316</v>
      </c>
      <c r="E1119" s="33" t="s">
        <v>2855</v>
      </c>
      <c r="F1119" s="38" t="s">
        <v>54</v>
      </c>
    </row>
    <row r="1120" spans="1:6" ht="14.5" hidden="1" customHeight="1" x14ac:dyDescent="0.35">
      <c r="A1120" s="33" t="s">
        <v>1314</v>
      </c>
      <c r="B1120" s="33" t="s">
        <v>83</v>
      </c>
      <c r="C1120" s="33" t="s">
        <v>1315</v>
      </c>
      <c r="D1120" s="33" t="s">
        <v>1317</v>
      </c>
      <c r="E1120" s="33" t="s">
        <v>2859</v>
      </c>
      <c r="F1120" s="38" t="s">
        <v>56</v>
      </c>
    </row>
    <row r="1121" spans="1:6" ht="14.5" hidden="1" customHeight="1" x14ac:dyDescent="0.35">
      <c r="A1121" s="33" t="s">
        <v>1314</v>
      </c>
      <c r="B1121" s="33" t="s">
        <v>19</v>
      </c>
      <c r="C1121" s="33" t="s">
        <v>1315</v>
      </c>
      <c r="D1121" s="33" t="s">
        <v>1318</v>
      </c>
      <c r="E1121" s="33" t="s">
        <v>2855</v>
      </c>
      <c r="F1121" s="38" t="s">
        <v>54</v>
      </c>
    </row>
    <row r="1122" spans="1:6" ht="14.5" hidden="1" customHeight="1" x14ac:dyDescent="0.35">
      <c r="A1122" s="33" t="s">
        <v>1314</v>
      </c>
      <c r="B1122" s="33" t="s">
        <v>84</v>
      </c>
      <c r="C1122" s="33" t="s">
        <v>1315</v>
      </c>
      <c r="D1122" s="33" t="s">
        <v>1319</v>
      </c>
      <c r="E1122" s="33" t="s">
        <v>2859</v>
      </c>
      <c r="F1122" s="38" t="s">
        <v>56</v>
      </c>
    </row>
    <row r="1123" spans="1:6" ht="14.5" hidden="1" customHeight="1" x14ac:dyDescent="0.35">
      <c r="A1123" s="33" t="s">
        <v>1314</v>
      </c>
      <c r="B1123" s="33" t="s">
        <v>85</v>
      </c>
      <c r="C1123" s="33" t="s">
        <v>1315</v>
      </c>
      <c r="D1123" s="33" t="s">
        <v>1320</v>
      </c>
      <c r="E1123" s="33" t="s">
        <v>2855</v>
      </c>
      <c r="F1123" s="38" t="s">
        <v>54</v>
      </c>
    </row>
    <row r="1124" spans="1:6" ht="14.5" hidden="1" customHeight="1" x14ac:dyDescent="0.35">
      <c r="A1124" s="33" t="s">
        <v>1335</v>
      </c>
      <c r="B1124" s="33" t="s">
        <v>80</v>
      </c>
      <c r="C1124" s="33" t="s">
        <v>1336</v>
      </c>
      <c r="D1124" s="33" t="s">
        <v>1337</v>
      </c>
      <c r="E1124" s="33" t="s">
        <v>2856</v>
      </c>
      <c r="F1124" s="38" t="s">
        <v>56</v>
      </c>
    </row>
    <row r="1125" spans="1:6" ht="14.5" hidden="1" customHeight="1" x14ac:dyDescent="0.35">
      <c r="A1125" s="33" t="s">
        <v>1335</v>
      </c>
      <c r="B1125" s="33" t="s">
        <v>82</v>
      </c>
      <c r="C1125" s="33" t="s">
        <v>1336</v>
      </c>
      <c r="D1125" s="33" t="s">
        <v>1338</v>
      </c>
      <c r="E1125" s="33" t="s">
        <v>2845</v>
      </c>
      <c r="F1125" s="38" t="s">
        <v>50</v>
      </c>
    </row>
    <row r="1126" spans="1:6" ht="14.5" hidden="1" customHeight="1" x14ac:dyDescent="0.35">
      <c r="A1126" s="33" t="s">
        <v>1335</v>
      </c>
      <c r="B1126" s="33" t="s">
        <v>83</v>
      </c>
      <c r="C1126" s="33" t="s">
        <v>1336</v>
      </c>
      <c r="D1126" s="33" t="s">
        <v>1339</v>
      </c>
      <c r="E1126" s="33" t="s">
        <v>2856</v>
      </c>
      <c r="F1126" s="38" t="s">
        <v>56</v>
      </c>
    </row>
    <row r="1127" spans="1:6" ht="14.5" hidden="1" customHeight="1" x14ac:dyDescent="0.35">
      <c r="A1127" s="33" t="s">
        <v>1340</v>
      </c>
      <c r="B1127" s="33" t="s">
        <v>80</v>
      </c>
      <c r="C1127" s="33" t="s">
        <v>1341</v>
      </c>
      <c r="D1127" s="33" t="s">
        <v>1323</v>
      </c>
      <c r="E1127" s="33" t="s">
        <v>2856</v>
      </c>
      <c r="F1127" s="38" t="s">
        <v>56</v>
      </c>
    </row>
    <row r="1128" spans="1:6" ht="14.5" hidden="1" customHeight="1" x14ac:dyDescent="0.35">
      <c r="A1128" s="33" t="s">
        <v>1340</v>
      </c>
      <c r="B1128" s="33" t="s">
        <v>83</v>
      </c>
      <c r="C1128" s="33" t="s">
        <v>1341</v>
      </c>
      <c r="D1128" s="33" t="s">
        <v>1324</v>
      </c>
      <c r="E1128" s="33" t="s">
        <v>2845</v>
      </c>
      <c r="F1128" s="38" t="s">
        <v>50</v>
      </c>
    </row>
    <row r="1129" spans="1:6" ht="14.5" hidden="1" customHeight="1" x14ac:dyDescent="0.35">
      <c r="A1129" s="33" t="s">
        <v>1340</v>
      </c>
      <c r="B1129" s="33" t="s">
        <v>85</v>
      </c>
      <c r="C1129" s="33" t="s">
        <v>1341</v>
      </c>
      <c r="D1129" s="33" t="s">
        <v>1325</v>
      </c>
      <c r="E1129" s="33" t="s">
        <v>2856</v>
      </c>
      <c r="F1129" s="38" t="s">
        <v>56</v>
      </c>
    </row>
    <row r="1130" spans="1:6" ht="14.5" hidden="1" customHeight="1" x14ac:dyDescent="0.35">
      <c r="A1130" s="33" t="s">
        <v>1342</v>
      </c>
      <c r="B1130" s="33" t="s">
        <v>80</v>
      </c>
      <c r="C1130" s="33" t="s">
        <v>1343</v>
      </c>
      <c r="D1130" s="33" t="s">
        <v>1344</v>
      </c>
      <c r="E1130" s="33" t="s">
        <v>2844</v>
      </c>
      <c r="F1130" s="38" t="s">
        <v>48</v>
      </c>
    </row>
    <row r="1131" spans="1:6" ht="14.5" hidden="1" customHeight="1" x14ac:dyDescent="0.35">
      <c r="A1131" s="33" t="s">
        <v>1342</v>
      </c>
      <c r="B1131" s="33" t="s">
        <v>83</v>
      </c>
      <c r="C1131" s="33" t="s">
        <v>1343</v>
      </c>
      <c r="D1131" s="33" t="s">
        <v>1345</v>
      </c>
      <c r="E1131" s="33" t="s">
        <v>2839</v>
      </c>
      <c r="F1131" s="38" t="s">
        <v>48</v>
      </c>
    </row>
    <row r="1132" spans="1:6" ht="14.5" hidden="1" customHeight="1" x14ac:dyDescent="0.35">
      <c r="A1132" s="33" t="s">
        <v>1342</v>
      </c>
      <c r="B1132" s="33" t="s">
        <v>85</v>
      </c>
      <c r="C1132" s="33" t="s">
        <v>1343</v>
      </c>
      <c r="D1132" s="33" t="s">
        <v>1344</v>
      </c>
      <c r="E1132" s="33" t="s">
        <v>2844</v>
      </c>
      <c r="F1132" s="38" t="s">
        <v>48</v>
      </c>
    </row>
    <row r="1133" spans="1:6" ht="14.5" hidden="1" customHeight="1" x14ac:dyDescent="0.35">
      <c r="A1133" s="33" t="s">
        <v>1342</v>
      </c>
      <c r="B1133" s="33" t="s">
        <v>89</v>
      </c>
      <c r="C1133" s="33" t="s">
        <v>1343</v>
      </c>
      <c r="D1133" s="33" t="s">
        <v>1345</v>
      </c>
      <c r="E1133" s="33" t="s">
        <v>2839</v>
      </c>
      <c r="F1133" s="38" t="s">
        <v>48</v>
      </c>
    </row>
    <row r="1134" spans="1:6" ht="14.5" hidden="1" customHeight="1" x14ac:dyDescent="0.35">
      <c r="A1134" s="33" t="s">
        <v>1346</v>
      </c>
      <c r="B1134" s="33" t="s">
        <v>80</v>
      </c>
      <c r="C1134" s="33" t="s">
        <v>1347</v>
      </c>
      <c r="D1134" s="33" t="s">
        <v>1348</v>
      </c>
      <c r="E1134" s="33" t="s">
        <v>2837</v>
      </c>
      <c r="F1134" s="38" t="s">
        <v>742</v>
      </c>
    </row>
    <row r="1135" spans="1:6" ht="14.5" hidden="1" customHeight="1" x14ac:dyDescent="0.35">
      <c r="A1135" s="33" t="s">
        <v>1346</v>
      </c>
      <c r="B1135" s="33" t="s">
        <v>82</v>
      </c>
      <c r="C1135" s="33" t="s">
        <v>1347</v>
      </c>
      <c r="D1135" s="33" t="s">
        <v>1349</v>
      </c>
      <c r="E1135" s="33" t="s">
        <v>2837</v>
      </c>
      <c r="F1135" s="38" t="s">
        <v>742</v>
      </c>
    </row>
    <row r="1136" spans="1:6" ht="14.5" hidden="1" customHeight="1" x14ac:dyDescent="0.35">
      <c r="A1136" s="33" t="s">
        <v>1346</v>
      </c>
      <c r="B1136" s="33" t="s">
        <v>83</v>
      </c>
      <c r="C1136" s="33" t="s">
        <v>1347</v>
      </c>
      <c r="D1136" s="33" t="s">
        <v>1350</v>
      </c>
      <c r="E1136" s="33" t="s">
        <v>2837</v>
      </c>
      <c r="F1136" s="38" t="s">
        <v>742</v>
      </c>
    </row>
    <row r="1137" spans="1:6" ht="14.5" hidden="1" customHeight="1" x14ac:dyDescent="0.35">
      <c r="A1137" s="33" t="s">
        <v>1346</v>
      </c>
      <c r="B1137" s="33" t="s">
        <v>19</v>
      </c>
      <c r="C1137" s="33" t="s">
        <v>1347</v>
      </c>
      <c r="D1137" s="33" t="s">
        <v>1351</v>
      </c>
      <c r="E1137" s="33" t="s">
        <v>2837</v>
      </c>
      <c r="F1137" s="38" t="s">
        <v>742</v>
      </c>
    </row>
    <row r="1138" spans="1:6" ht="14.5" hidden="1" customHeight="1" x14ac:dyDescent="0.35">
      <c r="A1138" s="33" t="s">
        <v>1352</v>
      </c>
      <c r="B1138" s="33" t="s">
        <v>84</v>
      </c>
      <c r="C1138" s="33" t="s">
        <v>1353</v>
      </c>
      <c r="D1138" s="33" t="s">
        <v>1057</v>
      </c>
      <c r="E1138" s="33" t="s">
        <v>2859</v>
      </c>
      <c r="F1138" s="38" t="s">
        <v>56</v>
      </c>
    </row>
    <row r="1139" spans="1:6" ht="14.5" hidden="1" customHeight="1" x14ac:dyDescent="0.35">
      <c r="A1139" s="33" t="s">
        <v>1352</v>
      </c>
      <c r="B1139" s="33" t="s">
        <v>86</v>
      </c>
      <c r="C1139" s="33" t="s">
        <v>1353</v>
      </c>
      <c r="D1139" s="33" t="s">
        <v>1059</v>
      </c>
      <c r="E1139" s="33" t="s">
        <v>2859</v>
      </c>
      <c r="F1139" s="38" t="s">
        <v>56</v>
      </c>
    </row>
    <row r="1140" spans="1:6" ht="14.5" hidden="1" customHeight="1" x14ac:dyDescent="0.35">
      <c r="A1140" s="33" t="s">
        <v>1354</v>
      </c>
      <c r="B1140" s="33" t="s">
        <v>80</v>
      </c>
      <c r="C1140" s="33" t="s">
        <v>1355</v>
      </c>
      <c r="D1140" s="33" t="s">
        <v>1356</v>
      </c>
      <c r="E1140" s="33" t="s">
        <v>2875</v>
      </c>
      <c r="F1140" s="38" t="s">
        <v>2912</v>
      </c>
    </row>
    <row r="1141" spans="1:6" ht="14.5" customHeight="1" x14ac:dyDescent="0.35">
      <c r="A1141" s="33" t="s">
        <v>1363</v>
      </c>
      <c r="B1141" s="33" t="s">
        <v>80</v>
      </c>
      <c r="C1141" s="33" t="s">
        <v>1364</v>
      </c>
      <c r="D1141" s="33" t="s">
        <v>1200</v>
      </c>
      <c r="E1141" s="33" t="s">
        <v>2879</v>
      </c>
      <c r="F1141" s="38" t="s">
        <v>1687</v>
      </c>
    </row>
    <row r="1142" spans="1:6" ht="14.5" customHeight="1" x14ac:dyDescent="0.35">
      <c r="A1142" s="33" t="s">
        <v>1363</v>
      </c>
      <c r="B1142" s="33" t="s">
        <v>85</v>
      </c>
      <c r="C1142" s="33" t="s">
        <v>1364</v>
      </c>
      <c r="D1142" s="33" t="s">
        <v>1201</v>
      </c>
      <c r="E1142" s="33" t="s">
        <v>2879</v>
      </c>
      <c r="F1142" s="38" t="s">
        <v>1687</v>
      </c>
    </row>
    <row r="1143" spans="1:6" ht="14.5" hidden="1" customHeight="1" x14ac:dyDescent="0.35">
      <c r="A1143" s="33" t="s">
        <v>1376</v>
      </c>
      <c r="B1143" s="33" t="s">
        <v>80</v>
      </c>
      <c r="C1143" s="33" t="s">
        <v>1377</v>
      </c>
      <c r="D1143" s="33" t="s">
        <v>1378</v>
      </c>
      <c r="E1143" s="33" t="s">
        <v>2873</v>
      </c>
      <c r="F1143" s="38" t="s">
        <v>132</v>
      </c>
    </row>
    <row r="1144" spans="1:6" ht="14.5" hidden="1" customHeight="1" x14ac:dyDescent="0.35">
      <c r="A1144" s="33" t="s">
        <v>1379</v>
      </c>
      <c r="B1144" s="33" t="s">
        <v>19</v>
      </c>
      <c r="C1144" s="33" t="s">
        <v>1380</v>
      </c>
      <c r="D1144" s="33" t="s">
        <v>1381</v>
      </c>
      <c r="E1144" s="33" t="s">
        <v>2884</v>
      </c>
      <c r="F1144" s="38" t="s">
        <v>2492</v>
      </c>
    </row>
    <row r="1145" spans="1:6" ht="14.5" hidden="1" customHeight="1" x14ac:dyDescent="0.35">
      <c r="A1145" s="33" t="s">
        <v>1382</v>
      </c>
      <c r="B1145" s="33" t="s">
        <v>80</v>
      </c>
      <c r="C1145" s="33" t="s">
        <v>1383</v>
      </c>
      <c r="D1145" s="33" t="s">
        <v>1383</v>
      </c>
      <c r="E1145" s="33" t="s">
        <v>2873</v>
      </c>
      <c r="F1145" s="38" t="s">
        <v>132</v>
      </c>
    </row>
    <row r="1146" spans="1:6" ht="14.5" hidden="1" customHeight="1" x14ac:dyDescent="0.35">
      <c r="A1146" s="33" t="s">
        <v>1386</v>
      </c>
      <c r="B1146" s="33" t="s">
        <v>174</v>
      </c>
      <c r="C1146" s="33" t="s">
        <v>1387</v>
      </c>
      <c r="D1146" s="33" t="s">
        <v>1388</v>
      </c>
      <c r="E1146" s="33" t="s">
        <v>2859</v>
      </c>
      <c r="F1146" s="38" t="s">
        <v>56</v>
      </c>
    </row>
    <row r="1147" spans="1:6" ht="14.5" hidden="1" customHeight="1" x14ac:dyDescent="0.35">
      <c r="A1147" s="33" t="s">
        <v>1386</v>
      </c>
      <c r="B1147" s="33" t="s">
        <v>1389</v>
      </c>
      <c r="C1147" s="33" t="s">
        <v>1387</v>
      </c>
      <c r="D1147" s="33" t="s">
        <v>1388</v>
      </c>
      <c r="E1147" s="33" t="s">
        <v>2859</v>
      </c>
      <c r="F1147" s="38" t="s">
        <v>56</v>
      </c>
    </row>
    <row r="1148" spans="1:6" ht="14.5" hidden="1" customHeight="1" x14ac:dyDescent="0.35">
      <c r="A1148" s="33" t="s">
        <v>1386</v>
      </c>
      <c r="B1148" s="33" t="s">
        <v>106</v>
      </c>
      <c r="C1148" s="33" t="s">
        <v>1387</v>
      </c>
      <c r="D1148" s="33" t="s">
        <v>1390</v>
      </c>
      <c r="E1148" s="33" t="s">
        <v>2838</v>
      </c>
      <c r="F1148" s="38" t="s">
        <v>48</v>
      </c>
    </row>
    <row r="1149" spans="1:6" ht="14.5" hidden="1" customHeight="1" x14ac:dyDescent="0.35">
      <c r="A1149" s="33" t="s">
        <v>1386</v>
      </c>
      <c r="B1149" s="33" t="s">
        <v>147</v>
      </c>
      <c r="C1149" s="33" t="s">
        <v>1387</v>
      </c>
      <c r="D1149" s="33" t="s">
        <v>1391</v>
      </c>
      <c r="E1149" s="33" t="s">
        <v>2839</v>
      </c>
      <c r="F1149" s="38" t="s">
        <v>48</v>
      </c>
    </row>
    <row r="1150" spans="1:6" ht="14.5" hidden="1" customHeight="1" x14ac:dyDescent="0.35">
      <c r="A1150" s="33" t="s">
        <v>1392</v>
      </c>
      <c r="B1150" s="33" t="s">
        <v>226</v>
      </c>
      <c r="C1150" s="33" t="s">
        <v>1393</v>
      </c>
      <c r="D1150" s="33" t="s">
        <v>1394</v>
      </c>
      <c r="E1150" s="33" t="s">
        <v>2843</v>
      </c>
      <c r="F1150" s="38" t="s">
        <v>56</v>
      </c>
    </row>
    <row r="1151" spans="1:6" ht="14.5" hidden="1" customHeight="1" x14ac:dyDescent="0.35">
      <c r="A1151" s="33" t="s">
        <v>1392</v>
      </c>
      <c r="B1151" s="33" t="s">
        <v>108</v>
      </c>
      <c r="C1151" s="33" t="s">
        <v>1393</v>
      </c>
      <c r="D1151" s="33" t="s">
        <v>1395</v>
      </c>
      <c r="E1151" s="33" t="s">
        <v>2847</v>
      </c>
      <c r="F1151" s="38" t="s">
        <v>2738</v>
      </c>
    </row>
    <row r="1152" spans="1:6" ht="14.5" hidden="1" customHeight="1" x14ac:dyDescent="0.35">
      <c r="A1152" s="33" t="s">
        <v>1392</v>
      </c>
      <c r="B1152" s="33" t="s">
        <v>19</v>
      </c>
      <c r="C1152" s="33" t="s">
        <v>1393</v>
      </c>
      <c r="D1152" s="33" t="s">
        <v>1396</v>
      </c>
      <c r="E1152" s="33" t="s">
        <v>2843</v>
      </c>
      <c r="F1152" s="38" t="s">
        <v>56</v>
      </c>
    </row>
    <row r="1153" spans="1:6" ht="14.5" hidden="1" customHeight="1" x14ac:dyDescent="0.35">
      <c r="A1153" s="33" t="s">
        <v>1401</v>
      </c>
      <c r="B1153" s="33" t="s">
        <v>80</v>
      </c>
      <c r="C1153" s="33" t="s">
        <v>1402</v>
      </c>
      <c r="D1153" s="33" t="s">
        <v>1403</v>
      </c>
      <c r="E1153" s="33" t="s">
        <v>2873</v>
      </c>
      <c r="F1153" s="38" t="s">
        <v>132</v>
      </c>
    </row>
    <row r="1154" spans="1:6" ht="14.5" hidden="1" customHeight="1" x14ac:dyDescent="0.35">
      <c r="A1154" s="33" t="s">
        <v>1401</v>
      </c>
      <c r="B1154" s="33" t="s">
        <v>82</v>
      </c>
      <c r="C1154" s="33" t="s">
        <v>1402</v>
      </c>
      <c r="D1154" s="33" t="s">
        <v>1404</v>
      </c>
      <c r="E1154" s="33" t="s">
        <v>2873</v>
      </c>
      <c r="F1154" s="38" t="s">
        <v>132</v>
      </c>
    </row>
    <row r="1155" spans="1:6" ht="14.5" hidden="1" customHeight="1" x14ac:dyDescent="0.35">
      <c r="A1155" s="33" t="s">
        <v>1401</v>
      </c>
      <c r="B1155" s="33" t="s">
        <v>83</v>
      </c>
      <c r="C1155" s="33" t="s">
        <v>1402</v>
      </c>
      <c r="D1155" s="33" t="s">
        <v>1405</v>
      </c>
      <c r="E1155" s="33" t="s">
        <v>2873</v>
      </c>
      <c r="F1155" s="38" t="s">
        <v>132</v>
      </c>
    </row>
    <row r="1156" spans="1:6" ht="14.5" hidden="1" customHeight="1" x14ac:dyDescent="0.35">
      <c r="A1156" s="33" t="s">
        <v>1401</v>
      </c>
      <c r="B1156" s="33" t="s">
        <v>19</v>
      </c>
      <c r="C1156" s="33" t="s">
        <v>1402</v>
      </c>
      <c r="D1156" s="33" t="s">
        <v>1406</v>
      </c>
      <c r="E1156" s="33" t="s">
        <v>2873</v>
      </c>
      <c r="F1156" s="38" t="s">
        <v>132</v>
      </c>
    </row>
    <row r="1157" spans="1:6" ht="14.5" hidden="1" customHeight="1" x14ac:dyDescent="0.35">
      <c r="A1157" s="33" t="s">
        <v>1408</v>
      </c>
      <c r="B1157" s="33" t="s">
        <v>19</v>
      </c>
      <c r="C1157" s="33" t="s">
        <v>1409</v>
      </c>
      <c r="D1157" s="33" t="s">
        <v>1407</v>
      </c>
      <c r="E1157" s="33" t="s">
        <v>2884</v>
      </c>
      <c r="F1157" s="38" t="s">
        <v>2492</v>
      </c>
    </row>
    <row r="1158" spans="1:6" ht="14.5" hidden="1" customHeight="1" x14ac:dyDescent="0.35">
      <c r="A1158" s="33" t="s">
        <v>1410</v>
      </c>
      <c r="B1158" s="33" t="s">
        <v>80</v>
      </c>
      <c r="C1158" s="33" t="s">
        <v>1411</v>
      </c>
      <c r="D1158" s="33" t="s">
        <v>1412</v>
      </c>
      <c r="E1158" s="33" t="s">
        <v>2873</v>
      </c>
      <c r="F1158" s="38" t="s">
        <v>132</v>
      </c>
    </row>
    <row r="1159" spans="1:6" ht="14.5" hidden="1" customHeight="1" x14ac:dyDescent="0.35">
      <c r="A1159" s="33" t="s">
        <v>1413</v>
      </c>
      <c r="B1159" s="33" t="s">
        <v>80</v>
      </c>
      <c r="C1159" s="33" t="s">
        <v>1414</v>
      </c>
      <c r="D1159" s="33" t="s">
        <v>1415</v>
      </c>
      <c r="E1159" s="33" t="s">
        <v>2873</v>
      </c>
      <c r="F1159" s="38" t="s">
        <v>132</v>
      </c>
    </row>
    <row r="1160" spans="1:6" ht="14.5" hidden="1" customHeight="1" x14ac:dyDescent="0.35">
      <c r="A1160" s="33" t="s">
        <v>1416</v>
      </c>
      <c r="B1160" s="33" t="s">
        <v>215</v>
      </c>
      <c r="C1160" s="33" t="s">
        <v>1417</v>
      </c>
      <c r="D1160" s="33" t="s">
        <v>811</v>
      </c>
      <c r="E1160" s="33" t="s">
        <v>2884</v>
      </c>
      <c r="F1160" s="38" t="s">
        <v>2492</v>
      </c>
    </row>
    <row r="1161" spans="1:6" ht="14.5" hidden="1" customHeight="1" x14ac:dyDescent="0.35">
      <c r="A1161" s="33" t="s">
        <v>1418</v>
      </c>
      <c r="B1161" s="33" t="s">
        <v>80</v>
      </c>
      <c r="C1161" s="33" t="s">
        <v>1419</v>
      </c>
      <c r="D1161" s="33" t="s">
        <v>1282</v>
      </c>
      <c r="E1161" s="33" t="s">
        <v>2873</v>
      </c>
      <c r="F1161" s="38" t="s">
        <v>132</v>
      </c>
    </row>
    <row r="1162" spans="1:6" ht="14.5" hidden="1" customHeight="1" x14ac:dyDescent="0.35">
      <c r="A1162" s="33" t="s">
        <v>1420</v>
      </c>
      <c r="B1162" s="33" t="s">
        <v>19</v>
      </c>
      <c r="C1162" s="33" t="s">
        <v>1421</v>
      </c>
      <c r="D1162" s="33" t="s">
        <v>1381</v>
      </c>
      <c r="E1162" s="33" t="s">
        <v>2884</v>
      </c>
      <c r="F1162" s="38" t="s">
        <v>2492</v>
      </c>
    </row>
    <row r="1163" spans="1:6" ht="14.5" hidden="1" customHeight="1" x14ac:dyDescent="0.35">
      <c r="A1163" s="33" t="s">
        <v>1422</v>
      </c>
      <c r="B1163" s="33" t="s">
        <v>19</v>
      </c>
      <c r="C1163" s="33" t="s">
        <v>1423</v>
      </c>
      <c r="D1163" s="33" t="s">
        <v>1381</v>
      </c>
      <c r="E1163" s="33" t="s">
        <v>2884</v>
      </c>
      <c r="F1163" s="38" t="s">
        <v>2492</v>
      </c>
    </row>
    <row r="1164" spans="1:6" ht="14.5" hidden="1" customHeight="1" x14ac:dyDescent="0.35">
      <c r="A1164" s="33" t="s">
        <v>1424</v>
      </c>
      <c r="B1164" s="33" t="s">
        <v>19</v>
      </c>
      <c r="C1164" s="33" t="s">
        <v>1425</v>
      </c>
      <c r="D1164" s="33" t="s">
        <v>1381</v>
      </c>
      <c r="E1164" s="33" t="s">
        <v>2884</v>
      </c>
      <c r="F1164" s="38" t="s">
        <v>2492</v>
      </c>
    </row>
    <row r="1165" spans="1:6" ht="14.5" hidden="1" customHeight="1" x14ac:dyDescent="0.35">
      <c r="A1165" s="33" t="s">
        <v>1426</v>
      </c>
      <c r="B1165" s="33" t="s">
        <v>80</v>
      </c>
      <c r="C1165" s="33" t="s">
        <v>1427</v>
      </c>
      <c r="D1165" s="33" t="s">
        <v>1428</v>
      </c>
      <c r="E1165" s="33" t="s">
        <v>2874</v>
      </c>
      <c r="F1165" s="38" t="s">
        <v>2739</v>
      </c>
    </row>
    <row r="1166" spans="1:6" ht="14.5" hidden="1" customHeight="1" x14ac:dyDescent="0.35">
      <c r="A1166" s="33" t="s">
        <v>1426</v>
      </c>
      <c r="B1166" s="33" t="s">
        <v>19</v>
      </c>
      <c r="C1166" s="33" t="s">
        <v>1427</v>
      </c>
      <c r="D1166" s="33" t="s">
        <v>1429</v>
      </c>
      <c r="E1166" s="33" t="s">
        <v>2869</v>
      </c>
      <c r="F1166" s="38" t="s">
        <v>132</v>
      </c>
    </row>
    <row r="1167" spans="1:6" ht="14.5" hidden="1" customHeight="1" x14ac:dyDescent="0.35">
      <c r="A1167" s="33" t="s">
        <v>1426</v>
      </c>
      <c r="B1167" s="33" t="s">
        <v>84</v>
      </c>
      <c r="C1167" s="33" t="s">
        <v>1427</v>
      </c>
      <c r="D1167" s="33" t="s">
        <v>1430</v>
      </c>
      <c r="E1167" s="33" t="s">
        <v>2870</v>
      </c>
      <c r="F1167" s="38" t="s">
        <v>56</v>
      </c>
    </row>
    <row r="1168" spans="1:6" ht="14.5" hidden="1" customHeight="1" x14ac:dyDescent="0.35">
      <c r="A1168" s="33" t="s">
        <v>1426</v>
      </c>
      <c r="B1168" s="33" t="s">
        <v>85</v>
      </c>
      <c r="C1168" s="33" t="s">
        <v>1427</v>
      </c>
      <c r="D1168" s="33" t="s">
        <v>1431</v>
      </c>
      <c r="E1168" s="33" t="s">
        <v>2874</v>
      </c>
      <c r="F1168" s="38" t="s">
        <v>2739</v>
      </c>
    </row>
    <row r="1169" spans="1:6" ht="14.5" hidden="1" customHeight="1" x14ac:dyDescent="0.35">
      <c r="A1169" s="33" t="s">
        <v>1426</v>
      </c>
      <c r="B1169" s="33" t="s">
        <v>86</v>
      </c>
      <c r="C1169" s="33" t="s">
        <v>1427</v>
      </c>
      <c r="D1169" s="33" t="s">
        <v>1432</v>
      </c>
      <c r="E1169" s="33" t="s">
        <v>2874</v>
      </c>
      <c r="F1169" s="38" t="s">
        <v>2739</v>
      </c>
    </row>
    <row r="1170" spans="1:6" ht="14.5" hidden="1" customHeight="1" x14ac:dyDescent="0.35">
      <c r="A1170" s="33" t="s">
        <v>1426</v>
      </c>
      <c r="B1170" s="33" t="s">
        <v>89</v>
      </c>
      <c r="C1170" s="33" t="s">
        <v>1427</v>
      </c>
      <c r="D1170" s="33" t="s">
        <v>1433</v>
      </c>
      <c r="E1170" s="33" t="s">
        <v>2859</v>
      </c>
      <c r="F1170" s="38" t="s">
        <v>56</v>
      </c>
    </row>
    <row r="1171" spans="1:6" ht="14.5" hidden="1" customHeight="1" x14ac:dyDescent="0.35">
      <c r="A1171" s="33" t="s">
        <v>1434</v>
      </c>
      <c r="B1171" s="33" t="s">
        <v>82</v>
      </c>
      <c r="C1171" s="33" t="s">
        <v>1435</v>
      </c>
      <c r="D1171" s="33" t="s">
        <v>887</v>
      </c>
      <c r="E1171" s="33" t="s">
        <v>2870</v>
      </c>
      <c r="F1171" s="38" t="s">
        <v>56</v>
      </c>
    </row>
    <row r="1172" spans="1:6" ht="14.5" hidden="1" customHeight="1" x14ac:dyDescent="0.35">
      <c r="A1172" s="33" t="s">
        <v>1434</v>
      </c>
      <c r="B1172" s="33" t="s">
        <v>19</v>
      </c>
      <c r="C1172" s="33" t="s">
        <v>1435</v>
      </c>
      <c r="D1172" s="33" t="s">
        <v>888</v>
      </c>
      <c r="E1172" s="33" t="s">
        <v>2843</v>
      </c>
      <c r="F1172" s="38" t="s">
        <v>56</v>
      </c>
    </row>
    <row r="1173" spans="1:6" ht="14.5" hidden="1" customHeight="1" x14ac:dyDescent="0.35">
      <c r="A1173" s="33" t="s">
        <v>1434</v>
      </c>
      <c r="B1173" s="33" t="s">
        <v>85</v>
      </c>
      <c r="C1173" s="33" t="s">
        <v>1435</v>
      </c>
      <c r="D1173" s="33" t="s">
        <v>889</v>
      </c>
      <c r="E1173" s="33" t="s">
        <v>2843</v>
      </c>
      <c r="F1173" s="38" t="s">
        <v>56</v>
      </c>
    </row>
    <row r="1174" spans="1:6" ht="14.5" hidden="1" customHeight="1" x14ac:dyDescent="0.35">
      <c r="A1174" s="33" t="s">
        <v>1434</v>
      </c>
      <c r="B1174" s="33" t="s">
        <v>87</v>
      </c>
      <c r="C1174" s="33" t="s">
        <v>1435</v>
      </c>
      <c r="D1174" s="33" t="s">
        <v>890</v>
      </c>
      <c r="E1174" s="33" t="s">
        <v>2859</v>
      </c>
      <c r="F1174" s="38" t="s">
        <v>56</v>
      </c>
    </row>
    <row r="1175" spans="1:6" ht="14.5" hidden="1" customHeight="1" x14ac:dyDescent="0.35">
      <c r="A1175" s="33" t="s">
        <v>1436</v>
      </c>
      <c r="B1175" s="33" t="s">
        <v>83</v>
      </c>
      <c r="C1175" s="33" t="s">
        <v>1437</v>
      </c>
      <c r="D1175" s="33" t="s">
        <v>1438</v>
      </c>
      <c r="E1175" s="33" t="s">
        <v>2869</v>
      </c>
      <c r="F1175" s="38" t="s">
        <v>132</v>
      </c>
    </row>
    <row r="1176" spans="1:6" ht="14.5" hidden="1" customHeight="1" x14ac:dyDescent="0.35">
      <c r="A1176" s="33" t="s">
        <v>1436</v>
      </c>
      <c r="B1176" s="33" t="s">
        <v>19</v>
      </c>
      <c r="C1176" s="33" t="s">
        <v>1437</v>
      </c>
      <c r="D1176" s="33" t="s">
        <v>1439</v>
      </c>
      <c r="E1176" s="33" t="s">
        <v>2870</v>
      </c>
      <c r="F1176" s="38" t="s">
        <v>56</v>
      </c>
    </row>
    <row r="1177" spans="1:6" ht="14.5" hidden="1" customHeight="1" x14ac:dyDescent="0.35">
      <c r="A1177" s="33" t="s">
        <v>1436</v>
      </c>
      <c r="B1177" s="33" t="s">
        <v>85</v>
      </c>
      <c r="C1177" s="33" t="s">
        <v>1437</v>
      </c>
      <c r="D1177" s="33" t="s">
        <v>1440</v>
      </c>
      <c r="E1177" s="33" t="s">
        <v>2859</v>
      </c>
      <c r="F1177" s="38" t="s">
        <v>56</v>
      </c>
    </row>
    <row r="1178" spans="1:6" ht="14.5" hidden="1" customHeight="1" x14ac:dyDescent="0.35">
      <c r="A1178" s="33" t="s">
        <v>1441</v>
      </c>
      <c r="B1178" s="33" t="s">
        <v>19</v>
      </c>
      <c r="C1178" s="33" t="s">
        <v>1442</v>
      </c>
      <c r="D1178" s="33" t="s">
        <v>1439</v>
      </c>
      <c r="E1178" s="33" t="s">
        <v>2870</v>
      </c>
      <c r="F1178" s="38" t="s">
        <v>56</v>
      </c>
    </row>
    <row r="1179" spans="1:6" ht="14.5" hidden="1" customHeight="1" x14ac:dyDescent="0.35">
      <c r="A1179" s="33" t="s">
        <v>1441</v>
      </c>
      <c r="B1179" s="33" t="s">
        <v>85</v>
      </c>
      <c r="C1179" s="33" t="s">
        <v>1442</v>
      </c>
      <c r="D1179" s="33" t="s">
        <v>1440</v>
      </c>
      <c r="E1179" s="33" t="s">
        <v>2859</v>
      </c>
      <c r="F1179" s="38" t="s">
        <v>56</v>
      </c>
    </row>
    <row r="1180" spans="1:6" ht="14.5" hidden="1" customHeight="1" x14ac:dyDescent="0.35">
      <c r="A1180" s="33" t="s">
        <v>1443</v>
      </c>
      <c r="B1180" s="33" t="s">
        <v>82</v>
      </c>
      <c r="C1180" s="33" t="s">
        <v>1444</v>
      </c>
      <c r="D1180" s="33" t="s">
        <v>1445</v>
      </c>
      <c r="E1180" s="33" t="s">
        <v>2869</v>
      </c>
      <c r="F1180" s="38" t="s">
        <v>2468</v>
      </c>
    </row>
    <row r="1181" spans="1:6" ht="14.5" hidden="1" customHeight="1" x14ac:dyDescent="0.35">
      <c r="A1181" s="33" t="s">
        <v>1443</v>
      </c>
      <c r="B1181" s="33" t="s">
        <v>19</v>
      </c>
      <c r="C1181" s="33" t="s">
        <v>1444</v>
      </c>
      <c r="D1181" s="33" t="s">
        <v>1446</v>
      </c>
      <c r="E1181" s="33" t="s">
        <v>2843</v>
      </c>
      <c r="F1181" s="38" t="s">
        <v>56</v>
      </c>
    </row>
    <row r="1182" spans="1:6" ht="14.5" hidden="1" customHeight="1" x14ac:dyDescent="0.35">
      <c r="A1182" s="33" t="s">
        <v>1443</v>
      </c>
      <c r="B1182" s="33" t="s">
        <v>85</v>
      </c>
      <c r="C1182" s="33" t="s">
        <v>1444</v>
      </c>
      <c r="D1182" s="33" t="s">
        <v>1447</v>
      </c>
      <c r="E1182" s="33" t="s">
        <v>2869</v>
      </c>
      <c r="F1182" s="38" t="s">
        <v>2468</v>
      </c>
    </row>
    <row r="1183" spans="1:6" ht="14.5" hidden="1" customHeight="1" x14ac:dyDescent="0.35">
      <c r="A1183" s="33" t="s">
        <v>1443</v>
      </c>
      <c r="B1183" s="33" t="s">
        <v>86</v>
      </c>
      <c r="C1183" s="33" t="s">
        <v>1444</v>
      </c>
      <c r="D1183" s="33" t="s">
        <v>1447</v>
      </c>
      <c r="E1183" s="33" t="s">
        <v>2869</v>
      </c>
      <c r="F1183" s="38" t="s">
        <v>2468</v>
      </c>
    </row>
    <row r="1184" spans="1:6" ht="14.5" hidden="1" customHeight="1" x14ac:dyDescent="0.35">
      <c r="A1184" s="33" t="s">
        <v>1443</v>
      </c>
      <c r="B1184" s="33" t="s">
        <v>89</v>
      </c>
      <c r="C1184" s="33" t="s">
        <v>1444</v>
      </c>
      <c r="D1184" s="33" t="s">
        <v>1448</v>
      </c>
      <c r="E1184" s="33" t="s">
        <v>2859</v>
      </c>
      <c r="F1184" s="38" t="s">
        <v>56</v>
      </c>
    </row>
    <row r="1185" spans="1:6" ht="14.5" hidden="1" customHeight="1" x14ac:dyDescent="0.35">
      <c r="A1185" s="33" t="s">
        <v>1443</v>
      </c>
      <c r="B1185" s="33" t="s">
        <v>87</v>
      </c>
      <c r="C1185" s="33" t="s">
        <v>1444</v>
      </c>
      <c r="D1185" s="33" t="s">
        <v>1449</v>
      </c>
      <c r="E1185" s="33" t="s">
        <v>2843</v>
      </c>
      <c r="F1185" s="38" t="s">
        <v>56</v>
      </c>
    </row>
    <row r="1186" spans="1:6" ht="14.5" hidden="1" customHeight="1" x14ac:dyDescent="0.35">
      <c r="A1186" s="33" t="s">
        <v>1450</v>
      </c>
      <c r="B1186" s="33" t="s">
        <v>82</v>
      </c>
      <c r="C1186" s="33" t="s">
        <v>1451</v>
      </c>
      <c r="D1186" s="33" t="s">
        <v>1445</v>
      </c>
      <c r="E1186" s="33" t="s">
        <v>2847</v>
      </c>
      <c r="F1186" s="38" t="s">
        <v>2468</v>
      </c>
    </row>
    <row r="1187" spans="1:6" ht="14.5" hidden="1" customHeight="1" x14ac:dyDescent="0.35">
      <c r="A1187" s="33" t="s">
        <v>1450</v>
      </c>
      <c r="B1187" s="33" t="s">
        <v>19</v>
      </c>
      <c r="C1187" s="33" t="s">
        <v>1451</v>
      </c>
      <c r="D1187" s="33" t="s">
        <v>1446</v>
      </c>
      <c r="E1187" s="33" t="s">
        <v>2843</v>
      </c>
      <c r="F1187" s="38" t="s">
        <v>56</v>
      </c>
    </row>
    <row r="1188" spans="1:6" ht="14.5" hidden="1" customHeight="1" x14ac:dyDescent="0.35">
      <c r="A1188" s="33" t="s">
        <v>1450</v>
      </c>
      <c r="B1188" s="33" t="s">
        <v>85</v>
      </c>
      <c r="C1188" s="33" t="s">
        <v>1451</v>
      </c>
      <c r="D1188" s="33" t="s">
        <v>1452</v>
      </c>
      <c r="E1188" s="33" t="s">
        <v>2847</v>
      </c>
      <c r="F1188" s="38" t="s">
        <v>2468</v>
      </c>
    </row>
    <row r="1189" spans="1:6" ht="14.5" hidden="1" customHeight="1" x14ac:dyDescent="0.35">
      <c r="A1189" s="33" t="s">
        <v>1450</v>
      </c>
      <c r="B1189" s="33" t="s">
        <v>86</v>
      </c>
      <c r="C1189" s="33" t="s">
        <v>1451</v>
      </c>
      <c r="D1189" s="33" t="s">
        <v>1453</v>
      </c>
      <c r="E1189" s="33" t="s">
        <v>2847</v>
      </c>
      <c r="F1189" s="38" t="s">
        <v>2468</v>
      </c>
    </row>
    <row r="1190" spans="1:6" ht="14.5" hidden="1" customHeight="1" x14ac:dyDescent="0.35">
      <c r="A1190" s="33" t="s">
        <v>1450</v>
      </c>
      <c r="B1190" s="33" t="s">
        <v>89</v>
      </c>
      <c r="C1190" s="33" t="s">
        <v>1451</v>
      </c>
      <c r="D1190" s="33" t="s">
        <v>1448</v>
      </c>
      <c r="E1190" s="33" t="s">
        <v>2859</v>
      </c>
      <c r="F1190" s="38" t="s">
        <v>56</v>
      </c>
    </row>
    <row r="1191" spans="1:6" ht="14.5" hidden="1" customHeight="1" x14ac:dyDescent="0.35">
      <c r="A1191" s="33" t="s">
        <v>1450</v>
      </c>
      <c r="B1191" s="33" t="s">
        <v>87</v>
      </c>
      <c r="C1191" s="33" t="s">
        <v>1451</v>
      </c>
      <c r="D1191" s="33" t="s">
        <v>1449</v>
      </c>
      <c r="E1191" s="33" t="s">
        <v>2843</v>
      </c>
      <c r="F1191" s="38" t="s">
        <v>56</v>
      </c>
    </row>
    <row r="1192" spans="1:6" ht="14.5" hidden="1" customHeight="1" x14ac:dyDescent="0.35">
      <c r="A1192" s="33" t="s">
        <v>1454</v>
      </c>
      <c r="B1192" s="33" t="s">
        <v>80</v>
      </c>
      <c r="C1192" s="33" t="s">
        <v>1455</v>
      </c>
      <c r="D1192" s="33" t="s">
        <v>1456</v>
      </c>
      <c r="E1192" s="33" t="s">
        <v>2871</v>
      </c>
      <c r="F1192" s="38" t="s">
        <v>54</v>
      </c>
    </row>
    <row r="1193" spans="1:6" ht="14.5" hidden="1" customHeight="1" x14ac:dyDescent="0.35">
      <c r="A1193" s="33" t="s">
        <v>1454</v>
      </c>
      <c r="B1193" s="33" t="s">
        <v>83</v>
      </c>
      <c r="C1193" s="33" t="s">
        <v>1455</v>
      </c>
      <c r="D1193" s="33" t="s">
        <v>1457</v>
      </c>
      <c r="E1193" s="33" t="s">
        <v>2871</v>
      </c>
      <c r="F1193" s="38" t="s">
        <v>54</v>
      </c>
    </row>
    <row r="1194" spans="1:6" ht="14.5" hidden="1" customHeight="1" x14ac:dyDescent="0.35">
      <c r="A1194" s="33" t="s">
        <v>1458</v>
      </c>
      <c r="B1194" s="33" t="s">
        <v>80</v>
      </c>
      <c r="C1194" s="33" t="s">
        <v>1459</v>
      </c>
      <c r="D1194" s="33" t="s">
        <v>1456</v>
      </c>
      <c r="E1194" s="33" t="s">
        <v>2871</v>
      </c>
      <c r="F1194" s="38" t="s">
        <v>54</v>
      </c>
    </row>
    <row r="1195" spans="1:6" ht="14.5" hidden="1" customHeight="1" x14ac:dyDescent="0.35">
      <c r="A1195" s="33" t="s">
        <v>1458</v>
      </c>
      <c r="B1195" s="33" t="s">
        <v>83</v>
      </c>
      <c r="C1195" s="33" t="s">
        <v>1459</v>
      </c>
      <c r="D1195" s="33" t="s">
        <v>1457</v>
      </c>
      <c r="E1195" s="33" t="s">
        <v>2871</v>
      </c>
      <c r="F1195" s="38" t="s">
        <v>54</v>
      </c>
    </row>
    <row r="1196" spans="1:6" ht="14.5" hidden="1" customHeight="1" x14ac:dyDescent="0.35">
      <c r="A1196" s="33" t="s">
        <v>1460</v>
      </c>
      <c r="B1196" s="33" t="s">
        <v>80</v>
      </c>
      <c r="C1196" s="33" t="s">
        <v>1461</v>
      </c>
      <c r="D1196" s="33" t="s">
        <v>1462</v>
      </c>
      <c r="E1196" s="33" t="s">
        <v>2871</v>
      </c>
      <c r="F1196" s="38" t="s">
        <v>54</v>
      </c>
    </row>
    <row r="1197" spans="1:6" ht="14.5" hidden="1" customHeight="1" x14ac:dyDescent="0.35">
      <c r="A1197" s="33" t="s">
        <v>1460</v>
      </c>
      <c r="B1197" s="33" t="s">
        <v>19</v>
      </c>
      <c r="C1197" s="33" t="s">
        <v>1461</v>
      </c>
      <c r="D1197" s="33" t="s">
        <v>1463</v>
      </c>
      <c r="E1197" s="33" t="s">
        <v>2871</v>
      </c>
      <c r="F1197" s="38" t="s">
        <v>54</v>
      </c>
    </row>
    <row r="1198" spans="1:6" ht="14.5" hidden="1" customHeight="1" x14ac:dyDescent="0.35">
      <c r="A1198" s="33" t="s">
        <v>1460</v>
      </c>
      <c r="B1198" s="33" t="s">
        <v>216</v>
      </c>
      <c r="C1198" s="33" t="s">
        <v>1461</v>
      </c>
      <c r="D1198" s="33" t="s">
        <v>1464</v>
      </c>
      <c r="E1198" s="33" t="s">
        <v>2871</v>
      </c>
      <c r="F1198" s="38" t="s">
        <v>54</v>
      </c>
    </row>
    <row r="1199" spans="1:6" ht="14.5" hidden="1" customHeight="1" x14ac:dyDescent="0.35">
      <c r="A1199" s="33" t="s">
        <v>1465</v>
      </c>
      <c r="B1199" s="33" t="s">
        <v>80</v>
      </c>
      <c r="C1199" s="33" t="s">
        <v>1466</v>
      </c>
      <c r="D1199" s="33" t="s">
        <v>1462</v>
      </c>
      <c r="E1199" s="33" t="s">
        <v>2865</v>
      </c>
      <c r="F1199" s="38" t="s">
        <v>54</v>
      </c>
    </row>
    <row r="1200" spans="1:6" ht="14.5" hidden="1" customHeight="1" x14ac:dyDescent="0.35">
      <c r="A1200" s="33" t="s">
        <v>1465</v>
      </c>
      <c r="B1200" s="33" t="s">
        <v>19</v>
      </c>
      <c r="C1200" s="33" t="s">
        <v>1466</v>
      </c>
      <c r="D1200" s="33" t="s">
        <v>1463</v>
      </c>
      <c r="E1200" s="33" t="s">
        <v>2865</v>
      </c>
      <c r="F1200" s="38" t="s">
        <v>54</v>
      </c>
    </row>
    <row r="1201" spans="1:6" ht="14.5" hidden="1" customHeight="1" x14ac:dyDescent="0.35">
      <c r="A1201" s="33" t="s">
        <v>1465</v>
      </c>
      <c r="B1201" s="33" t="s">
        <v>216</v>
      </c>
      <c r="C1201" s="33" t="s">
        <v>1466</v>
      </c>
      <c r="D1201" s="33" t="s">
        <v>1464</v>
      </c>
      <c r="E1201" s="33" t="s">
        <v>2865</v>
      </c>
      <c r="F1201" s="38" t="s">
        <v>54</v>
      </c>
    </row>
    <row r="1202" spans="1:6" ht="14.5" hidden="1" customHeight="1" x14ac:dyDescent="0.35">
      <c r="A1202" s="33" t="s">
        <v>1467</v>
      </c>
      <c r="B1202" s="33" t="s">
        <v>80</v>
      </c>
      <c r="C1202" s="33" t="s">
        <v>1468</v>
      </c>
      <c r="D1202" s="33" t="s">
        <v>1469</v>
      </c>
      <c r="E1202" s="33" t="s">
        <v>2871</v>
      </c>
      <c r="F1202" s="38" t="s">
        <v>54</v>
      </c>
    </row>
    <row r="1203" spans="1:6" ht="14.5" hidden="1" customHeight="1" x14ac:dyDescent="0.35">
      <c r="A1203" s="33" t="s">
        <v>1467</v>
      </c>
      <c r="B1203" s="33" t="s">
        <v>83</v>
      </c>
      <c r="C1203" s="33" t="s">
        <v>1468</v>
      </c>
      <c r="D1203" s="33" t="s">
        <v>1470</v>
      </c>
      <c r="E1203" s="33" t="s">
        <v>2871</v>
      </c>
      <c r="F1203" s="38" t="s">
        <v>54</v>
      </c>
    </row>
    <row r="1204" spans="1:6" ht="14.5" hidden="1" customHeight="1" x14ac:dyDescent="0.35">
      <c r="A1204" s="33" t="s">
        <v>1471</v>
      </c>
      <c r="B1204" s="33" t="s">
        <v>19</v>
      </c>
      <c r="C1204" s="33" t="s">
        <v>1472</v>
      </c>
      <c r="D1204" s="33" t="s">
        <v>1473</v>
      </c>
      <c r="E1204" s="33" t="s">
        <v>2871</v>
      </c>
      <c r="F1204" s="38" t="s">
        <v>54</v>
      </c>
    </row>
    <row r="1205" spans="1:6" ht="14.5" hidden="1" customHeight="1" x14ac:dyDescent="0.35">
      <c r="A1205" s="33" t="s">
        <v>1471</v>
      </c>
      <c r="B1205" s="33" t="s">
        <v>84</v>
      </c>
      <c r="C1205" s="33" t="s">
        <v>1472</v>
      </c>
      <c r="D1205" s="33" t="s">
        <v>1474</v>
      </c>
      <c r="E1205" s="33" t="s">
        <v>2871</v>
      </c>
      <c r="F1205" s="38" t="s">
        <v>54</v>
      </c>
    </row>
    <row r="1206" spans="1:6" ht="14.5" hidden="1" customHeight="1" x14ac:dyDescent="0.35">
      <c r="A1206" s="33" t="s">
        <v>1471</v>
      </c>
      <c r="B1206" s="33" t="s">
        <v>85</v>
      </c>
      <c r="C1206" s="33" t="s">
        <v>1472</v>
      </c>
      <c r="D1206" s="33" t="s">
        <v>1475</v>
      </c>
      <c r="E1206" s="33" t="s">
        <v>2859</v>
      </c>
      <c r="F1206" s="38" t="s">
        <v>56</v>
      </c>
    </row>
    <row r="1207" spans="1:6" ht="14.5" hidden="1" customHeight="1" x14ac:dyDescent="0.35">
      <c r="A1207" s="33" t="s">
        <v>1476</v>
      </c>
      <c r="B1207" s="33" t="s">
        <v>19</v>
      </c>
      <c r="C1207" s="33" t="s">
        <v>1477</v>
      </c>
      <c r="D1207" s="33" t="s">
        <v>1473</v>
      </c>
      <c r="E1207" s="33" t="s">
        <v>2871</v>
      </c>
      <c r="F1207" s="38" t="s">
        <v>54</v>
      </c>
    </row>
    <row r="1208" spans="1:6" ht="14.5" hidden="1" customHeight="1" x14ac:dyDescent="0.35">
      <c r="A1208" s="33" t="s">
        <v>1476</v>
      </c>
      <c r="B1208" s="33" t="s">
        <v>84</v>
      </c>
      <c r="C1208" s="33" t="s">
        <v>1477</v>
      </c>
      <c r="D1208" s="33" t="s">
        <v>1474</v>
      </c>
      <c r="E1208" s="33" t="s">
        <v>2871</v>
      </c>
      <c r="F1208" s="38" t="s">
        <v>54</v>
      </c>
    </row>
    <row r="1209" spans="1:6" ht="14.5" hidden="1" customHeight="1" x14ac:dyDescent="0.35">
      <c r="A1209" s="33" t="s">
        <v>1476</v>
      </c>
      <c r="B1209" s="33" t="s">
        <v>85</v>
      </c>
      <c r="C1209" s="33" t="s">
        <v>1477</v>
      </c>
      <c r="D1209" s="33" t="s">
        <v>1475</v>
      </c>
      <c r="E1209" s="33" t="s">
        <v>2859</v>
      </c>
      <c r="F1209" s="38" t="s">
        <v>56</v>
      </c>
    </row>
    <row r="1210" spans="1:6" ht="14.5" hidden="1" customHeight="1" x14ac:dyDescent="0.35">
      <c r="A1210" s="33" t="s">
        <v>1483</v>
      </c>
      <c r="B1210" s="33" t="s">
        <v>94</v>
      </c>
      <c r="C1210" s="33" t="s">
        <v>1484</v>
      </c>
      <c r="D1210" s="33" t="s">
        <v>1480</v>
      </c>
      <c r="E1210" s="33" t="s">
        <v>2844</v>
      </c>
      <c r="F1210" s="38" t="s">
        <v>48</v>
      </c>
    </row>
    <row r="1211" spans="1:6" ht="14.5" hidden="1" customHeight="1" x14ac:dyDescent="0.35">
      <c r="A1211" s="33" t="s">
        <v>1483</v>
      </c>
      <c r="B1211" s="33" t="s">
        <v>97</v>
      </c>
      <c r="C1211" s="33" t="s">
        <v>1484</v>
      </c>
      <c r="D1211" s="33" t="s">
        <v>1481</v>
      </c>
      <c r="E1211" s="33" t="s">
        <v>2870</v>
      </c>
      <c r="F1211" s="38" t="s">
        <v>56</v>
      </c>
    </row>
    <row r="1212" spans="1:6" ht="14.5" hidden="1" customHeight="1" x14ac:dyDescent="0.35">
      <c r="A1212" s="33" t="s">
        <v>1483</v>
      </c>
      <c r="B1212" s="33" t="s">
        <v>102</v>
      </c>
      <c r="C1212" s="33" t="s">
        <v>1484</v>
      </c>
      <c r="D1212" s="33" t="s">
        <v>1482</v>
      </c>
      <c r="E1212" s="33" t="s">
        <v>2859</v>
      </c>
      <c r="F1212" s="38" t="s">
        <v>56</v>
      </c>
    </row>
    <row r="1213" spans="1:6" ht="14.5" hidden="1" customHeight="1" x14ac:dyDescent="0.35">
      <c r="A1213" s="33" t="s">
        <v>1485</v>
      </c>
      <c r="B1213" s="33" t="s">
        <v>19</v>
      </c>
      <c r="C1213" s="33" t="s">
        <v>1486</v>
      </c>
      <c r="D1213" s="33" t="s">
        <v>1487</v>
      </c>
      <c r="E1213" s="33" t="s">
        <v>2844</v>
      </c>
      <c r="F1213" s="38" t="s">
        <v>48</v>
      </c>
    </row>
    <row r="1214" spans="1:6" ht="14.5" hidden="1" customHeight="1" x14ac:dyDescent="0.35">
      <c r="A1214" s="33" t="s">
        <v>1485</v>
      </c>
      <c r="B1214" s="33" t="s">
        <v>84</v>
      </c>
      <c r="C1214" s="33" t="s">
        <v>1486</v>
      </c>
      <c r="D1214" s="33" t="s">
        <v>1488</v>
      </c>
      <c r="E1214" s="33" t="s">
        <v>2839</v>
      </c>
      <c r="F1214" s="38" t="s">
        <v>48</v>
      </c>
    </row>
    <row r="1215" spans="1:6" ht="14.5" hidden="1" customHeight="1" x14ac:dyDescent="0.35">
      <c r="A1215" s="33" t="s">
        <v>1489</v>
      </c>
      <c r="B1215" s="33" t="s">
        <v>80</v>
      </c>
      <c r="C1215" s="33" t="s">
        <v>1490</v>
      </c>
      <c r="D1215" s="33" t="s">
        <v>1491</v>
      </c>
      <c r="E1215" s="33" t="s">
        <v>2871</v>
      </c>
      <c r="F1215" s="38" t="s">
        <v>54</v>
      </c>
    </row>
    <row r="1216" spans="1:6" ht="14.5" hidden="1" customHeight="1" x14ac:dyDescent="0.35">
      <c r="A1216" s="33" t="s">
        <v>1489</v>
      </c>
      <c r="B1216" s="33" t="s">
        <v>82</v>
      </c>
      <c r="C1216" s="33" t="s">
        <v>1490</v>
      </c>
      <c r="D1216" s="33" t="s">
        <v>1492</v>
      </c>
      <c r="E1216" s="33" t="s">
        <v>2871</v>
      </c>
      <c r="F1216" s="38" t="s">
        <v>54</v>
      </c>
    </row>
    <row r="1217" spans="1:6" ht="14.5" hidden="1" customHeight="1" x14ac:dyDescent="0.35">
      <c r="A1217" s="33" t="s">
        <v>1493</v>
      </c>
      <c r="B1217" s="33" t="s">
        <v>82</v>
      </c>
      <c r="C1217" s="33" t="s">
        <v>1494</v>
      </c>
      <c r="D1217" s="33" t="s">
        <v>938</v>
      </c>
      <c r="E1217" s="33" t="s">
        <v>2871</v>
      </c>
      <c r="F1217" s="38" t="s">
        <v>54</v>
      </c>
    </row>
    <row r="1218" spans="1:6" ht="14.5" hidden="1" customHeight="1" x14ac:dyDescent="0.35">
      <c r="A1218" s="33" t="s">
        <v>1493</v>
      </c>
      <c r="B1218" s="33" t="s">
        <v>83</v>
      </c>
      <c r="C1218" s="33" t="s">
        <v>1494</v>
      </c>
      <c r="D1218" s="33" t="s">
        <v>939</v>
      </c>
      <c r="E1218" s="33" t="s">
        <v>2871</v>
      </c>
      <c r="F1218" s="38" t="s">
        <v>54</v>
      </c>
    </row>
    <row r="1219" spans="1:6" ht="14.5" hidden="1" customHeight="1" x14ac:dyDescent="0.35">
      <c r="A1219" s="33" t="s">
        <v>1493</v>
      </c>
      <c r="B1219" s="33" t="s">
        <v>19</v>
      </c>
      <c r="C1219" s="33" t="s">
        <v>1494</v>
      </c>
      <c r="D1219" s="33" t="s">
        <v>940</v>
      </c>
      <c r="E1219" s="33" t="s">
        <v>2871</v>
      </c>
      <c r="F1219" s="38" t="s">
        <v>54</v>
      </c>
    </row>
    <row r="1220" spans="1:6" ht="14.5" hidden="1" customHeight="1" x14ac:dyDescent="0.35">
      <c r="A1220" s="33" t="s">
        <v>1493</v>
      </c>
      <c r="B1220" s="33" t="s">
        <v>84</v>
      </c>
      <c r="C1220" s="33" t="s">
        <v>1494</v>
      </c>
      <c r="D1220" s="33" t="s">
        <v>941</v>
      </c>
      <c r="E1220" s="33" t="s">
        <v>2859</v>
      </c>
      <c r="F1220" s="38" t="s">
        <v>56</v>
      </c>
    </row>
    <row r="1221" spans="1:6" ht="14.5" hidden="1" customHeight="1" x14ac:dyDescent="0.35">
      <c r="A1221" s="33" t="s">
        <v>1495</v>
      </c>
      <c r="B1221" s="33" t="s">
        <v>83</v>
      </c>
      <c r="C1221" s="33" t="s">
        <v>1496</v>
      </c>
      <c r="D1221" s="33" t="s">
        <v>1498</v>
      </c>
      <c r="E1221" s="33" t="s">
        <v>2845</v>
      </c>
      <c r="F1221" s="38" t="s">
        <v>50</v>
      </c>
    </row>
    <row r="1222" spans="1:6" ht="14.5" hidden="1" customHeight="1" x14ac:dyDescent="0.35">
      <c r="A1222" s="33" t="s">
        <v>1495</v>
      </c>
      <c r="B1222" s="33" t="s">
        <v>769</v>
      </c>
      <c r="C1222" s="33" t="s">
        <v>1496</v>
      </c>
      <c r="D1222" s="33" t="s">
        <v>1499</v>
      </c>
      <c r="E1222" s="33" t="s">
        <v>2876</v>
      </c>
      <c r="F1222" s="38" t="s">
        <v>50</v>
      </c>
    </row>
    <row r="1223" spans="1:6" ht="14.5" hidden="1" customHeight="1" x14ac:dyDescent="0.35">
      <c r="A1223" s="33" t="s">
        <v>1495</v>
      </c>
      <c r="B1223" s="33" t="s">
        <v>19</v>
      </c>
      <c r="C1223" s="33" t="s">
        <v>1496</v>
      </c>
      <c r="D1223" s="33" t="s">
        <v>1500</v>
      </c>
      <c r="E1223" s="33" t="s">
        <v>2859</v>
      </c>
      <c r="F1223" s="38" t="s">
        <v>56</v>
      </c>
    </row>
    <row r="1224" spans="1:6" ht="14.5" hidden="1" customHeight="1" x14ac:dyDescent="0.35">
      <c r="A1224" s="33" t="s">
        <v>1495</v>
      </c>
      <c r="B1224" s="33" t="s">
        <v>174</v>
      </c>
      <c r="C1224" s="33" t="s">
        <v>1496</v>
      </c>
      <c r="D1224" s="33" t="s">
        <v>1501</v>
      </c>
      <c r="E1224" s="33" t="s">
        <v>2845</v>
      </c>
      <c r="F1224" s="38" t="s">
        <v>50</v>
      </c>
    </row>
    <row r="1225" spans="1:6" ht="14.5" hidden="1" customHeight="1" x14ac:dyDescent="0.35">
      <c r="A1225" s="33" t="s">
        <v>1495</v>
      </c>
      <c r="B1225" s="33" t="s">
        <v>84</v>
      </c>
      <c r="C1225" s="33" t="s">
        <v>1496</v>
      </c>
      <c r="D1225" s="33" t="s">
        <v>1502</v>
      </c>
      <c r="E1225" s="33" t="s">
        <v>2845</v>
      </c>
      <c r="F1225" s="38" t="s">
        <v>50</v>
      </c>
    </row>
    <row r="1226" spans="1:6" ht="14.5" hidden="1" customHeight="1" x14ac:dyDescent="0.35">
      <c r="A1226" s="33" t="s">
        <v>1495</v>
      </c>
      <c r="B1226" s="33" t="s">
        <v>85</v>
      </c>
      <c r="C1226" s="33" t="s">
        <v>1496</v>
      </c>
      <c r="D1226" s="33" t="s">
        <v>1503</v>
      </c>
      <c r="E1226" s="33" t="s">
        <v>2859</v>
      </c>
      <c r="F1226" s="38" t="s">
        <v>56</v>
      </c>
    </row>
    <row r="1227" spans="1:6" ht="14.5" hidden="1" customHeight="1" x14ac:dyDescent="0.35">
      <c r="A1227" s="33" t="s">
        <v>1495</v>
      </c>
      <c r="B1227" s="33" t="s">
        <v>378</v>
      </c>
      <c r="C1227" s="33" t="s">
        <v>1496</v>
      </c>
      <c r="D1227" s="33" t="s">
        <v>1504</v>
      </c>
      <c r="E1227" s="33" t="s">
        <v>2845</v>
      </c>
      <c r="F1227" s="38" t="s">
        <v>50</v>
      </c>
    </row>
    <row r="1228" spans="1:6" ht="14.5" hidden="1" customHeight="1" x14ac:dyDescent="0.35">
      <c r="A1228" s="33" t="s">
        <v>1495</v>
      </c>
      <c r="B1228" s="33" t="s">
        <v>88</v>
      </c>
      <c r="C1228" s="33" t="s">
        <v>1496</v>
      </c>
      <c r="D1228" s="33" t="s">
        <v>1505</v>
      </c>
      <c r="E1228" s="33" t="s">
        <v>2845</v>
      </c>
      <c r="F1228" s="38" t="s">
        <v>50</v>
      </c>
    </row>
    <row r="1229" spans="1:6" ht="14.5" hidden="1" customHeight="1" x14ac:dyDescent="0.35">
      <c r="A1229" s="33" t="s">
        <v>1507</v>
      </c>
      <c r="B1229" s="33" t="s">
        <v>108</v>
      </c>
      <c r="C1229" s="33" t="s">
        <v>1508</v>
      </c>
      <c r="D1229" s="33" t="s">
        <v>1497</v>
      </c>
      <c r="E1229" s="33" t="s">
        <v>2837</v>
      </c>
      <c r="F1229" s="38" t="s">
        <v>742</v>
      </c>
    </row>
    <row r="1230" spans="1:6" ht="14.5" hidden="1" customHeight="1" x14ac:dyDescent="0.35">
      <c r="A1230" s="33" t="s">
        <v>1507</v>
      </c>
      <c r="B1230" s="33" t="s">
        <v>83</v>
      </c>
      <c r="C1230" s="33" t="s">
        <v>1508</v>
      </c>
      <c r="D1230" s="33" t="s">
        <v>1498</v>
      </c>
      <c r="E1230" s="33" t="s">
        <v>2845</v>
      </c>
      <c r="F1230" s="38" t="s">
        <v>50</v>
      </c>
    </row>
    <row r="1231" spans="1:6" ht="14.5" hidden="1" customHeight="1" x14ac:dyDescent="0.35">
      <c r="A1231" s="33" t="s">
        <v>1507</v>
      </c>
      <c r="B1231" s="33" t="s">
        <v>769</v>
      </c>
      <c r="C1231" s="33" t="s">
        <v>1508</v>
      </c>
      <c r="D1231" s="33" t="s">
        <v>1499</v>
      </c>
      <c r="E1231" s="33" t="s">
        <v>2876</v>
      </c>
      <c r="F1231" s="38" t="s">
        <v>50</v>
      </c>
    </row>
    <row r="1232" spans="1:6" ht="14.5" hidden="1" customHeight="1" x14ac:dyDescent="0.35">
      <c r="A1232" s="33" t="s">
        <v>1507</v>
      </c>
      <c r="B1232" s="33" t="s">
        <v>19</v>
      </c>
      <c r="C1232" s="33" t="s">
        <v>1508</v>
      </c>
      <c r="D1232" s="33" t="s">
        <v>1500</v>
      </c>
      <c r="E1232" s="33" t="s">
        <v>2859</v>
      </c>
      <c r="F1232" s="38" t="s">
        <v>56</v>
      </c>
    </row>
    <row r="1233" spans="1:6" ht="14.5" hidden="1" customHeight="1" x14ac:dyDescent="0.35">
      <c r="A1233" s="33" t="s">
        <v>1507</v>
      </c>
      <c r="B1233" s="33" t="s">
        <v>174</v>
      </c>
      <c r="C1233" s="33" t="s">
        <v>1508</v>
      </c>
      <c r="D1233" s="33" t="s">
        <v>1501</v>
      </c>
      <c r="E1233" s="33" t="s">
        <v>2845</v>
      </c>
      <c r="F1233" s="38" t="s">
        <v>50</v>
      </c>
    </row>
    <row r="1234" spans="1:6" ht="14.5" hidden="1" customHeight="1" x14ac:dyDescent="0.35">
      <c r="A1234" s="33" t="s">
        <v>1507</v>
      </c>
      <c r="B1234" s="33" t="s">
        <v>84</v>
      </c>
      <c r="C1234" s="33" t="s">
        <v>1508</v>
      </c>
      <c r="D1234" s="33" t="s">
        <v>1502</v>
      </c>
      <c r="E1234" s="33" t="s">
        <v>2845</v>
      </c>
      <c r="F1234" s="38" t="s">
        <v>50</v>
      </c>
    </row>
    <row r="1235" spans="1:6" ht="14.5" hidden="1" customHeight="1" x14ac:dyDescent="0.35">
      <c r="A1235" s="33" t="s">
        <v>1507</v>
      </c>
      <c r="B1235" s="33" t="s">
        <v>85</v>
      </c>
      <c r="C1235" s="33" t="s">
        <v>1508</v>
      </c>
      <c r="D1235" s="33" t="s">
        <v>1503</v>
      </c>
      <c r="E1235" s="33" t="s">
        <v>2859</v>
      </c>
      <c r="F1235" s="38" t="s">
        <v>56</v>
      </c>
    </row>
    <row r="1236" spans="1:6" ht="14.5" hidden="1" customHeight="1" x14ac:dyDescent="0.35">
      <c r="A1236" s="33" t="s">
        <v>1507</v>
      </c>
      <c r="B1236" s="33" t="s">
        <v>378</v>
      </c>
      <c r="C1236" s="33" t="s">
        <v>1508</v>
      </c>
      <c r="D1236" s="33" t="s">
        <v>1504</v>
      </c>
      <c r="E1236" s="33" t="s">
        <v>2845</v>
      </c>
      <c r="F1236" s="38" t="s">
        <v>50</v>
      </c>
    </row>
    <row r="1237" spans="1:6" ht="14.5" hidden="1" customHeight="1" x14ac:dyDescent="0.35">
      <c r="A1237" s="33" t="s">
        <v>1507</v>
      </c>
      <c r="B1237" s="33" t="s">
        <v>88</v>
      </c>
      <c r="C1237" s="33" t="s">
        <v>1508</v>
      </c>
      <c r="D1237" s="33" t="s">
        <v>1505</v>
      </c>
      <c r="E1237" s="33" t="s">
        <v>2845</v>
      </c>
      <c r="F1237" s="38" t="s">
        <v>50</v>
      </c>
    </row>
    <row r="1238" spans="1:6" ht="14.5" hidden="1" customHeight="1" x14ac:dyDescent="0.35">
      <c r="A1238" s="33" t="s">
        <v>1507</v>
      </c>
      <c r="B1238" s="33" t="s">
        <v>869</v>
      </c>
      <c r="C1238" s="33" t="s">
        <v>1508</v>
      </c>
      <c r="D1238" s="33" t="s">
        <v>1506</v>
      </c>
      <c r="E1238" s="33" t="s">
        <v>2837</v>
      </c>
      <c r="F1238" s="38" t="s">
        <v>742</v>
      </c>
    </row>
    <row r="1239" spans="1:6" ht="14.5" hidden="1" customHeight="1" x14ac:dyDescent="0.35">
      <c r="A1239" s="33" t="s">
        <v>1509</v>
      </c>
      <c r="B1239" s="33" t="s">
        <v>80</v>
      </c>
      <c r="C1239" s="33" t="s">
        <v>1510</v>
      </c>
      <c r="D1239" s="33" t="s">
        <v>1034</v>
      </c>
      <c r="E1239" s="33" t="s">
        <v>2882</v>
      </c>
      <c r="F1239" s="38" t="s">
        <v>2739</v>
      </c>
    </row>
    <row r="1240" spans="1:6" ht="14.5" hidden="1" customHeight="1" x14ac:dyDescent="0.35">
      <c r="A1240" s="33" t="s">
        <v>1509</v>
      </c>
      <c r="B1240" s="33" t="s">
        <v>83</v>
      </c>
      <c r="C1240" s="33" t="s">
        <v>1510</v>
      </c>
      <c r="D1240" s="33" t="s">
        <v>1035</v>
      </c>
      <c r="E1240" s="33" t="s">
        <v>2876</v>
      </c>
      <c r="F1240" s="38" t="s">
        <v>50</v>
      </c>
    </row>
    <row r="1241" spans="1:6" ht="14.5" hidden="1" customHeight="1" x14ac:dyDescent="0.35">
      <c r="A1241" s="33" t="s">
        <v>1509</v>
      </c>
      <c r="B1241" s="33" t="s">
        <v>443</v>
      </c>
      <c r="C1241" s="33" t="s">
        <v>1510</v>
      </c>
      <c r="D1241" s="33" t="s">
        <v>1036</v>
      </c>
      <c r="E1241" s="33" t="s">
        <v>2845</v>
      </c>
      <c r="F1241" s="38" t="s">
        <v>50</v>
      </c>
    </row>
    <row r="1242" spans="1:6" ht="14.5" hidden="1" customHeight="1" x14ac:dyDescent="0.35">
      <c r="A1242" s="33" t="s">
        <v>1509</v>
      </c>
      <c r="B1242" s="33" t="s">
        <v>19</v>
      </c>
      <c r="C1242" s="33" t="s">
        <v>1510</v>
      </c>
      <c r="D1242" s="33" t="s">
        <v>1037</v>
      </c>
      <c r="E1242" s="33" t="s">
        <v>2870</v>
      </c>
      <c r="F1242" s="38" t="s">
        <v>56</v>
      </c>
    </row>
    <row r="1243" spans="1:6" ht="14.5" hidden="1" customHeight="1" x14ac:dyDescent="0.35">
      <c r="A1243" s="33" t="s">
        <v>1509</v>
      </c>
      <c r="B1243" s="33" t="s">
        <v>84</v>
      </c>
      <c r="C1243" s="33" t="s">
        <v>1510</v>
      </c>
      <c r="D1243" s="33" t="s">
        <v>1038</v>
      </c>
      <c r="E1243" s="33" t="s">
        <v>2882</v>
      </c>
      <c r="F1243" s="38" t="s">
        <v>2739</v>
      </c>
    </row>
    <row r="1244" spans="1:6" ht="14.5" hidden="1" customHeight="1" x14ac:dyDescent="0.35">
      <c r="A1244" s="33" t="s">
        <v>1509</v>
      </c>
      <c r="B1244" s="33" t="s">
        <v>85</v>
      </c>
      <c r="C1244" s="33" t="s">
        <v>1510</v>
      </c>
      <c r="D1244" s="33" t="s">
        <v>1039</v>
      </c>
      <c r="E1244" s="33" t="s">
        <v>2859</v>
      </c>
      <c r="F1244" s="38" t="s">
        <v>56</v>
      </c>
    </row>
    <row r="1245" spans="1:6" ht="14.5" hidden="1" customHeight="1" x14ac:dyDescent="0.35">
      <c r="A1245" s="33" t="s">
        <v>1511</v>
      </c>
      <c r="B1245" s="33" t="s">
        <v>80</v>
      </c>
      <c r="C1245" s="33" t="s">
        <v>1512</v>
      </c>
      <c r="D1245" s="33" t="s">
        <v>1513</v>
      </c>
      <c r="E1245" s="33" t="s">
        <v>2855</v>
      </c>
      <c r="F1245" s="38" t="s">
        <v>54</v>
      </c>
    </row>
    <row r="1246" spans="1:6" ht="14.5" hidden="1" customHeight="1" x14ac:dyDescent="0.35">
      <c r="A1246" s="33" t="s">
        <v>1511</v>
      </c>
      <c r="B1246" s="33" t="s">
        <v>82</v>
      </c>
      <c r="C1246" s="33" t="s">
        <v>1512</v>
      </c>
      <c r="D1246" s="33" t="s">
        <v>1514</v>
      </c>
      <c r="E1246" s="33" t="s">
        <v>2855</v>
      </c>
      <c r="F1246" s="38" t="s">
        <v>54</v>
      </c>
    </row>
    <row r="1247" spans="1:6" ht="14.5" hidden="1" customHeight="1" x14ac:dyDescent="0.35">
      <c r="A1247" s="33" t="s">
        <v>1515</v>
      </c>
      <c r="B1247" s="33" t="s">
        <v>81</v>
      </c>
      <c r="C1247" s="33" t="s">
        <v>1516</v>
      </c>
      <c r="D1247" s="33" t="s">
        <v>646</v>
      </c>
      <c r="E1247" s="33" t="s">
        <v>2843</v>
      </c>
      <c r="F1247" s="38" t="s">
        <v>56</v>
      </c>
    </row>
    <row r="1248" spans="1:6" ht="14.5" hidden="1" customHeight="1" x14ac:dyDescent="0.35">
      <c r="A1248" s="33" t="s">
        <v>1515</v>
      </c>
      <c r="B1248" s="33" t="s">
        <v>80</v>
      </c>
      <c r="C1248" s="33" t="s">
        <v>1516</v>
      </c>
      <c r="D1248" s="33" t="s">
        <v>647</v>
      </c>
      <c r="E1248" s="33" t="s">
        <v>2875</v>
      </c>
      <c r="F1248" s="38" t="s">
        <v>2912</v>
      </c>
    </row>
    <row r="1249" spans="1:6" ht="14.5" hidden="1" customHeight="1" x14ac:dyDescent="0.35">
      <c r="A1249" s="33" t="s">
        <v>1515</v>
      </c>
      <c r="B1249" s="33" t="s">
        <v>83</v>
      </c>
      <c r="C1249" s="33" t="s">
        <v>1516</v>
      </c>
      <c r="D1249" s="33" t="s">
        <v>648</v>
      </c>
      <c r="E1249" s="33" t="s">
        <v>2843</v>
      </c>
      <c r="F1249" s="38" t="s">
        <v>56</v>
      </c>
    </row>
    <row r="1250" spans="1:6" ht="14.5" hidden="1" customHeight="1" x14ac:dyDescent="0.35">
      <c r="A1250" s="33" t="s">
        <v>1517</v>
      </c>
      <c r="B1250" s="33" t="s">
        <v>81</v>
      </c>
      <c r="C1250" s="33" t="s">
        <v>1518</v>
      </c>
      <c r="D1250" s="33" t="s">
        <v>1063</v>
      </c>
      <c r="E1250" s="33" t="s">
        <v>2843</v>
      </c>
      <c r="F1250" s="38" t="s">
        <v>56</v>
      </c>
    </row>
    <row r="1251" spans="1:6" ht="14.5" hidden="1" customHeight="1" x14ac:dyDescent="0.35">
      <c r="A1251" s="33" t="s">
        <v>1517</v>
      </c>
      <c r="B1251" s="33" t="s">
        <v>278</v>
      </c>
      <c r="C1251" s="33" t="s">
        <v>1518</v>
      </c>
      <c r="D1251" s="33" t="s">
        <v>1064</v>
      </c>
      <c r="E1251" s="33" t="s">
        <v>2870</v>
      </c>
      <c r="F1251" s="38" t="s">
        <v>56</v>
      </c>
    </row>
    <row r="1252" spans="1:6" ht="14.5" hidden="1" customHeight="1" x14ac:dyDescent="0.35">
      <c r="A1252" s="33" t="s">
        <v>1517</v>
      </c>
      <c r="B1252" s="33" t="s">
        <v>80</v>
      </c>
      <c r="C1252" s="33" t="s">
        <v>1518</v>
      </c>
      <c r="D1252" s="33" t="s">
        <v>1065</v>
      </c>
      <c r="E1252" s="33" t="s">
        <v>2869</v>
      </c>
      <c r="F1252" s="38" t="s">
        <v>2468</v>
      </c>
    </row>
    <row r="1253" spans="1:6" ht="14.5" hidden="1" customHeight="1" x14ac:dyDescent="0.35">
      <c r="A1253" s="33" t="s">
        <v>1517</v>
      </c>
      <c r="B1253" s="33" t="s">
        <v>108</v>
      </c>
      <c r="C1253" s="33" t="s">
        <v>1518</v>
      </c>
      <c r="D1253" s="33" t="s">
        <v>1066</v>
      </c>
      <c r="E1253" s="33" t="s">
        <v>2859</v>
      </c>
      <c r="F1253" s="38" t="s">
        <v>56</v>
      </c>
    </row>
    <row r="1254" spans="1:6" ht="14.5" hidden="1" customHeight="1" x14ac:dyDescent="0.35">
      <c r="A1254" s="33" t="s">
        <v>1517</v>
      </c>
      <c r="B1254" s="33" t="s">
        <v>329</v>
      </c>
      <c r="C1254" s="33" t="s">
        <v>1518</v>
      </c>
      <c r="D1254" s="33" t="s">
        <v>1067</v>
      </c>
      <c r="E1254" s="33" t="s">
        <v>2860</v>
      </c>
      <c r="F1254" s="38" t="s">
        <v>50</v>
      </c>
    </row>
    <row r="1255" spans="1:6" ht="14.5" hidden="1" customHeight="1" x14ac:dyDescent="0.35">
      <c r="A1255" s="33" t="s">
        <v>1517</v>
      </c>
      <c r="B1255" s="33" t="s">
        <v>330</v>
      </c>
      <c r="C1255" s="33" t="s">
        <v>1518</v>
      </c>
      <c r="D1255" s="33" t="s">
        <v>1067</v>
      </c>
      <c r="E1255" s="33" t="s">
        <v>2845</v>
      </c>
      <c r="F1255" s="38" t="s">
        <v>50</v>
      </c>
    </row>
    <row r="1256" spans="1:6" ht="14.5" hidden="1" customHeight="1" x14ac:dyDescent="0.35">
      <c r="A1256" s="33" t="s">
        <v>1517</v>
      </c>
      <c r="B1256" s="33" t="s">
        <v>769</v>
      </c>
      <c r="C1256" s="33" t="s">
        <v>1518</v>
      </c>
      <c r="D1256" s="33" t="s">
        <v>1068</v>
      </c>
      <c r="E1256" s="33" t="s">
        <v>2845</v>
      </c>
      <c r="F1256" s="38" t="s">
        <v>50</v>
      </c>
    </row>
    <row r="1257" spans="1:6" ht="14.5" hidden="1" customHeight="1" x14ac:dyDescent="0.35">
      <c r="A1257" s="33" t="s">
        <v>1517</v>
      </c>
      <c r="B1257" s="33" t="s">
        <v>19</v>
      </c>
      <c r="C1257" s="33" t="s">
        <v>1518</v>
      </c>
      <c r="D1257" s="33" t="s">
        <v>1069</v>
      </c>
      <c r="E1257" s="33" t="s">
        <v>2860</v>
      </c>
      <c r="F1257" s="38" t="s">
        <v>50</v>
      </c>
    </row>
    <row r="1258" spans="1:6" ht="14.5" hidden="1" customHeight="1" x14ac:dyDescent="0.35">
      <c r="A1258" s="33" t="s">
        <v>1517</v>
      </c>
      <c r="B1258" s="33" t="s">
        <v>85</v>
      </c>
      <c r="C1258" s="33" t="s">
        <v>1518</v>
      </c>
      <c r="D1258" s="33" t="s">
        <v>1070</v>
      </c>
      <c r="E1258" s="33" t="s">
        <v>2844</v>
      </c>
      <c r="F1258" s="38" t="s">
        <v>48</v>
      </c>
    </row>
    <row r="1259" spans="1:6" ht="14.5" hidden="1" customHeight="1" x14ac:dyDescent="0.35">
      <c r="A1259" s="33" t="s">
        <v>1517</v>
      </c>
      <c r="B1259" s="33" t="s">
        <v>86</v>
      </c>
      <c r="C1259" s="33" t="s">
        <v>1518</v>
      </c>
      <c r="D1259" s="33" t="s">
        <v>1071</v>
      </c>
      <c r="E1259" s="33" t="s">
        <v>2839</v>
      </c>
      <c r="F1259" s="38" t="s">
        <v>48</v>
      </c>
    </row>
    <row r="1260" spans="1:6" ht="14.5" hidden="1" customHeight="1" x14ac:dyDescent="0.35">
      <c r="A1260" s="33" t="s">
        <v>1517</v>
      </c>
      <c r="B1260" s="33" t="s">
        <v>216</v>
      </c>
      <c r="C1260" s="33" t="s">
        <v>1518</v>
      </c>
      <c r="D1260" s="33" t="s">
        <v>1072</v>
      </c>
      <c r="E1260" s="33" t="s">
        <v>2843</v>
      </c>
      <c r="F1260" s="38" t="s">
        <v>56</v>
      </c>
    </row>
    <row r="1261" spans="1:6" ht="14.5" hidden="1" customHeight="1" x14ac:dyDescent="0.35">
      <c r="A1261" s="33" t="s">
        <v>1519</v>
      </c>
      <c r="B1261" s="33" t="s">
        <v>80</v>
      </c>
      <c r="C1261" s="33" t="s">
        <v>1520</v>
      </c>
      <c r="D1261" s="33" t="s">
        <v>1521</v>
      </c>
      <c r="E1261" s="33" t="s">
        <v>2882</v>
      </c>
      <c r="F1261" s="38" t="s">
        <v>2739</v>
      </c>
    </row>
    <row r="1262" spans="1:6" ht="14.5" hidden="1" customHeight="1" x14ac:dyDescent="0.35">
      <c r="A1262" s="33" t="s">
        <v>1519</v>
      </c>
      <c r="B1262" s="33" t="s">
        <v>83</v>
      </c>
      <c r="C1262" s="33" t="s">
        <v>1520</v>
      </c>
      <c r="D1262" s="33" t="s">
        <v>1522</v>
      </c>
      <c r="E1262" s="33" t="s">
        <v>2870</v>
      </c>
      <c r="F1262" s="38" t="s">
        <v>56</v>
      </c>
    </row>
    <row r="1263" spans="1:6" ht="14.5" hidden="1" customHeight="1" x14ac:dyDescent="0.35">
      <c r="A1263" s="33" t="s">
        <v>1519</v>
      </c>
      <c r="B1263" s="33" t="s">
        <v>19</v>
      </c>
      <c r="C1263" s="33" t="s">
        <v>1520</v>
      </c>
      <c r="D1263" s="33" t="s">
        <v>1523</v>
      </c>
      <c r="E1263" s="33" t="s">
        <v>2882</v>
      </c>
      <c r="F1263" s="38" t="s">
        <v>2739</v>
      </c>
    </row>
    <row r="1264" spans="1:6" ht="14.5" hidden="1" customHeight="1" x14ac:dyDescent="0.35">
      <c r="A1264" s="33" t="s">
        <v>1519</v>
      </c>
      <c r="B1264" s="33" t="s">
        <v>84</v>
      </c>
      <c r="C1264" s="33" t="s">
        <v>1520</v>
      </c>
      <c r="D1264" s="33" t="s">
        <v>1524</v>
      </c>
      <c r="E1264" s="33" t="s">
        <v>2859</v>
      </c>
      <c r="F1264" s="38" t="s">
        <v>56</v>
      </c>
    </row>
    <row r="1265" spans="1:6" ht="14.5" hidden="1" customHeight="1" x14ac:dyDescent="0.35">
      <c r="A1265" s="33" t="s">
        <v>1525</v>
      </c>
      <c r="B1265" s="33" t="s">
        <v>80</v>
      </c>
      <c r="C1265" s="33" t="s">
        <v>1526</v>
      </c>
      <c r="D1265" s="33" t="s">
        <v>1356</v>
      </c>
      <c r="E1265" s="33" t="s">
        <v>2875</v>
      </c>
      <c r="F1265" s="38" t="s">
        <v>2912</v>
      </c>
    </row>
    <row r="1266" spans="1:6" ht="14.5" hidden="1" customHeight="1" x14ac:dyDescent="0.35">
      <c r="A1266" s="33" t="s">
        <v>1527</v>
      </c>
      <c r="B1266" s="33" t="s">
        <v>80</v>
      </c>
      <c r="C1266" s="33" t="s">
        <v>1528</v>
      </c>
      <c r="D1266" s="33" t="s">
        <v>1529</v>
      </c>
      <c r="E1266" s="33" t="s">
        <v>2845</v>
      </c>
      <c r="F1266" s="38" t="s">
        <v>50</v>
      </c>
    </row>
    <row r="1267" spans="1:6" ht="14.5" hidden="1" customHeight="1" x14ac:dyDescent="0.35">
      <c r="A1267" s="33" t="s">
        <v>1530</v>
      </c>
      <c r="B1267" s="33" t="s">
        <v>80</v>
      </c>
      <c r="C1267" s="33" t="s">
        <v>1531</v>
      </c>
      <c r="D1267" s="33" t="s">
        <v>1529</v>
      </c>
      <c r="E1267" s="33" t="s">
        <v>2845</v>
      </c>
      <c r="F1267" s="38" t="s">
        <v>50</v>
      </c>
    </row>
    <row r="1268" spans="1:6" ht="14.5" hidden="1" customHeight="1" x14ac:dyDescent="0.35">
      <c r="A1268" s="33" t="s">
        <v>1532</v>
      </c>
      <c r="B1268" s="33" t="s">
        <v>80</v>
      </c>
      <c r="C1268" s="33" t="s">
        <v>1533</v>
      </c>
      <c r="D1268" s="33" t="s">
        <v>1534</v>
      </c>
      <c r="E1268" s="33" t="s">
        <v>2837</v>
      </c>
      <c r="F1268" s="38" t="s">
        <v>742</v>
      </c>
    </row>
    <row r="1269" spans="1:6" ht="14.5" hidden="1" customHeight="1" x14ac:dyDescent="0.35">
      <c r="A1269" s="33" t="s">
        <v>1532</v>
      </c>
      <c r="B1269" s="33" t="s">
        <v>108</v>
      </c>
      <c r="C1269" s="33" t="s">
        <v>1533</v>
      </c>
      <c r="D1269" s="33" t="s">
        <v>1535</v>
      </c>
      <c r="E1269" s="33" t="s">
        <v>2859</v>
      </c>
      <c r="F1269" s="38" t="s">
        <v>56</v>
      </c>
    </row>
    <row r="1270" spans="1:6" ht="14.5" hidden="1" customHeight="1" x14ac:dyDescent="0.35">
      <c r="A1270" s="33" t="s">
        <v>1532</v>
      </c>
      <c r="B1270" s="33" t="s">
        <v>83</v>
      </c>
      <c r="C1270" s="33" t="s">
        <v>1533</v>
      </c>
      <c r="D1270" s="33" t="s">
        <v>1536</v>
      </c>
      <c r="E1270" s="33" t="s">
        <v>2845</v>
      </c>
      <c r="F1270" s="38" t="s">
        <v>50</v>
      </c>
    </row>
    <row r="1271" spans="1:6" ht="14.5" hidden="1" customHeight="1" x14ac:dyDescent="0.35">
      <c r="A1271" s="33" t="s">
        <v>1532</v>
      </c>
      <c r="B1271" s="33" t="s">
        <v>84</v>
      </c>
      <c r="C1271" s="33" t="s">
        <v>1533</v>
      </c>
      <c r="D1271" s="33" t="s">
        <v>1537</v>
      </c>
      <c r="E1271" s="33" t="s">
        <v>2844</v>
      </c>
      <c r="F1271" s="38" t="s">
        <v>48</v>
      </c>
    </row>
    <row r="1272" spans="1:6" ht="14.5" hidden="1" customHeight="1" x14ac:dyDescent="0.35">
      <c r="A1272" s="33" t="s">
        <v>1532</v>
      </c>
      <c r="B1272" s="33" t="s">
        <v>432</v>
      </c>
      <c r="C1272" s="33" t="s">
        <v>1533</v>
      </c>
      <c r="D1272" s="33" t="s">
        <v>1538</v>
      </c>
      <c r="E1272" s="33" t="s">
        <v>2839</v>
      </c>
      <c r="F1272" s="38" t="s">
        <v>48</v>
      </c>
    </row>
    <row r="1273" spans="1:6" ht="14.5" hidden="1" customHeight="1" x14ac:dyDescent="0.35">
      <c r="A1273" s="33" t="s">
        <v>1532</v>
      </c>
      <c r="B1273" s="33" t="s">
        <v>85</v>
      </c>
      <c r="C1273" s="33" t="s">
        <v>1533</v>
      </c>
      <c r="D1273" s="33" t="s">
        <v>1539</v>
      </c>
      <c r="E1273" s="33" t="s">
        <v>2875</v>
      </c>
      <c r="F1273" s="38" t="s">
        <v>2912</v>
      </c>
    </row>
    <row r="1274" spans="1:6" ht="14.5" hidden="1" customHeight="1" x14ac:dyDescent="0.35">
      <c r="A1274" s="33" t="s">
        <v>1532</v>
      </c>
      <c r="B1274" s="33" t="s">
        <v>87</v>
      </c>
      <c r="C1274" s="33" t="s">
        <v>1533</v>
      </c>
      <c r="D1274" s="33" t="s">
        <v>1540</v>
      </c>
      <c r="E1274" s="33" t="s">
        <v>2845</v>
      </c>
      <c r="F1274" s="38" t="s">
        <v>50</v>
      </c>
    </row>
    <row r="1275" spans="1:6" ht="14.5" hidden="1" customHeight="1" x14ac:dyDescent="0.35">
      <c r="A1275" s="33" t="s">
        <v>1532</v>
      </c>
      <c r="B1275" s="33" t="s">
        <v>90</v>
      </c>
      <c r="C1275" s="33" t="s">
        <v>1533</v>
      </c>
      <c r="D1275" s="33" t="s">
        <v>1541</v>
      </c>
      <c r="E1275" s="33" t="s">
        <v>2844</v>
      </c>
      <c r="F1275" s="38" t="s">
        <v>48</v>
      </c>
    </row>
    <row r="1276" spans="1:6" ht="14.5" hidden="1" customHeight="1" x14ac:dyDescent="0.35">
      <c r="A1276" s="33" t="s">
        <v>1532</v>
      </c>
      <c r="B1276" s="33" t="s">
        <v>869</v>
      </c>
      <c r="C1276" s="33" t="s">
        <v>1533</v>
      </c>
      <c r="D1276" s="33" t="s">
        <v>1542</v>
      </c>
      <c r="E1276" s="33" t="s">
        <v>2839</v>
      </c>
      <c r="F1276" s="38" t="s">
        <v>48</v>
      </c>
    </row>
    <row r="1277" spans="1:6" ht="14.5" hidden="1" customHeight="1" x14ac:dyDescent="0.35">
      <c r="A1277" s="33" t="s">
        <v>1532</v>
      </c>
      <c r="B1277" s="33" t="s">
        <v>91</v>
      </c>
      <c r="C1277" s="33" t="s">
        <v>1533</v>
      </c>
      <c r="D1277" s="33" t="s">
        <v>1543</v>
      </c>
      <c r="E1277" s="33" t="s">
        <v>2837</v>
      </c>
      <c r="F1277" s="38" t="s">
        <v>742</v>
      </c>
    </row>
    <row r="1278" spans="1:6" ht="14.5" hidden="1" customHeight="1" x14ac:dyDescent="0.35">
      <c r="A1278" s="33" t="s">
        <v>1532</v>
      </c>
      <c r="B1278" s="33" t="s">
        <v>93</v>
      </c>
      <c r="C1278" s="33" t="s">
        <v>1533</v>
      </c>
      <c r="D1278" s="33" t="s">
        <v>1535</v>
      </c>
      <c r="E1278" s="33" t="s">
        <v>2859</v>
      </c>
      <c r="F1278" s="38" t="s">
        <v>56</v>
      </c>
    </row>
    <row r="1279" spans="1:6" ht="14.5" hidden="1" customHeight="1" x14ac:dyDescent="0.35">
      <c r="A1279" s="33" t="s">
        <v>1544</v>
      </c>
      <c r="B1279" s="33" t="s">
        <v>82</v>
      </c>
      <c r="C1279" s="33" t="s">
        <v>1545</v>
      </c>
      <c r="D1279" s="33" t="s">
        <v>1546</v>
      </c>
      <c r="E1279" s="33" t="s">
        <v>2837</v>
      </c>
      <c r="F1279" s="38" t="s">
        <v>742</v>
      </c>
    </row>
    <row r="1280" spans="1:6" ht="14.5" hidden="1" customHeight="1" x14ac:dyDescent="0.35">
      <c r="A1280" s="33" t="s">
        <v>1544</v>
      </c>
      <c r="B1280" s="33" t="s">
        <v>19</v>
      </c>
      <c r="C1280" s="33" t="s">
        <v>1545</v>
      </c>
      <c r="D1280" s="33" t="s">
        <v>1547</v>
      </c>
      <c r="E1280" s="33" t="s">
        <v>2837</v>
      </c>
      <c r="F1280" s="38" t="s">
        <v>742</v>
      </c>
    </row>
    <row r="1281" spans="1:6" ht="14.5" hidden="1" customHeight="1" x14ac:dyDescent="0.35">
      <c r="A1281" s="33" t="s">
        <v>1544</v>
      </c>
      <c r="B1281" s="33" t="s">
        <v>84</v>
      </c>
      <c r="C1281" s="33" t="s">
        <v>1545</v>
      </c>
      <c r="D1281" s="33" t="s">
        <v>1548</v>
      </c>
      <c r="E1281" s="33" t="s">
        <v>2837</v>
      </c>
      <c r="F1281" s="38" t="s">
        <v>742</v>
      </c>
    </row>
    <row r="1282" spans="1:6" ht="14.5" hidden="1" customHeight="1" x14ac:dyDescent="0.35">
      <c r="A1282" s="33" t="s">
        <v>1544</v>
      </c>
      <c r="B1282" s="33" t="s">
        <v>85</v>
      </c>
      <c r="C1282" s="33" t="s">
        <v>1545</v>
      </c>
      <c r="D1282" s="33" t="s">
        <v>1549</v>
      </c>
      <c r="E1282" s="33" t="s">
        <v>2837</v>
      </c>
      <c r="F1282" s="38" t="s">
        <v>742</v>
      </c>
    </row>
    <row r="1283" spans="1:6" ht="14.5" hidden="1" customHeight="1" x14ac:dyDescent="0.35">
      <c r="A1283" s="33" t="s">
        <v>1550</v>
      </c>
      <c r="B1283" s="33" t="s">
        <v>82</v>
      </c>
      <c r="C1283" s="33" t="s">
        <v>1551</v>
      </c>
      <c r="D1283" s="33" t="s">
        <v>1552</v>
      </c>
      <c r="E1283" s="33" t="s">
        <v>2837</v>
      </c>
      <c r="F1283" s="38" t="s">
        <v>742</v>
      </c>
    </row>
    <row r="1284" spans="1:6" ht="14.5" hidden="1" customHeight="1" x14ac:dyDescent="0.35">
      <c r="A1284" s="33" t="s">
        <v>1550</v>
      </c>
      <c r="B1284" s="33" t="s">
        <v>83</v>
      </c>
      <c r="C1284" s="33" t="s">
        <v>1551</v>
      </c>
      <c r="D1284" s="33" t="s">
        <v>1547</v>
      </c>
      <c r="E1284" s="33" t="s">
        <v>2837</v>
      </c>
      <c r="F1284" s="38" t="s">
        <v>742</v>
      </c>
    </row>
    <row r="1285" spans="1:6" ht="14.5" hidden="1" customHeight="1" x14ac:dyDescent="0.35">
      <c r="A1285" s="33" t="s">
        <v>1550</v>
      </c>
      <c r="B1285" s="33" t="s">
        <v>19</v>
      </c>
      <c r="C1285" s="33" t="s">
        <v>1551</v>
      </c>
      <c r="D1285" s="33" t="s">
        <v>1553</v>
      </c>
      <c r="E1285" s="33" t="s">
        <v>2837</v>
      </c>
      <c r="F1285" s="38" t="s">
        <v>742</v>
      </c>
    </row>
    <row r="1286" spans="1:6" ht="14.5" hidden="1" customHeight="1" x14ac:dyDescent="0.35">
      <c r="A1286" s="33" t="s">
        <v>1550</v>
      </c>
      <c r="B1286" s="33" t="s">
        <v>84</v>
      </c>
      <c r="C1286" s="33" t="s">
        <v>1551</v>
      </c>
      <c r="D1286" s="33" t="s">
        <v>1554</v>
      </c>
      <c r="E1286" s="33" t="s">
        <v>2837</v>
      </c>
      <c r="F1286" s="38" t="s">
        <v>742</v>
      </c>
    </row>
    <row r="1287" spans="1:6" ht="14.5" hidden="1" customHeight="1" x14ac:dyDescent="0.35">
      <c r="A1287" s="33" t="s">
        <v>1555</v>
      </c>
      <c r="B1287" s="33" t="s">
        <v>82</v>
      </c>
      <c r="C1287" s="33" t="s">
        <v>1556</v>
      </c>
      <c r="D1287" s="33" t="s">
        <v>1557</v>
      </c>
      <c r="E1287" s="33" t="s">
        <v>2837</v>
      </c>
      <c r="F1287" s="38" t="s">
        <v>742</v>
      </c>
    </row>
    <row r="1288" spans="1:6" ht="14.5" hidden="1" customHeight="1" x14ac:dyDescent="0.35">
      <c r="A1288" s="33" t="s">
        <v>1555</v>
      </c>
      <c r="B1288" s="33" t="s">
        <v>83</v>
      </c>
      <c r="C1288" s="33" t="s">
        <v>1556</v>
      </c>
      <c r="D1288" s="33" t="s">
        <v>1558</v>
      </c>
      <c r="E1288" s="33" t="s">
        <v>2837</v>
      </c>
      <c r="F1288" s="38" t="s">
        <v>742</v>
      </c>
    </row>
    <row r="1289" spans="1:6" ht="14.5" hidden="1" customHeight="1" x14ac:dyDescent="0.35">
      <c r="A1289" s="33" t="s">
        <v>1555</v>
      </c>
      <c r="B1289" s="33" t="s">
        <v>19</v>
      </c>
      <c r="C1289" s="33" t="s">
        <v>1556</v>
      </c>
      <c r="D1289" s="33" t="s">
        <v>1559</v>
      </c>
      <c r="E1289" s="33" t="s">
        <v>2837</v>
      </c>
      <c r="F1289" s="38" t="s">
        <v>742</v>
      </c>
    </row>
    <row r="1290" spans="1:6" ht="14.5" hidden="1" customHeight="1" x14ac:dyDescent="0.35">
      <c r="A1290" s="33" t="s">
        <v>1555</v>
      </c>
      <c r="B1290" s="33" t="s">
        <v>84</v>
      </c>
      <c r="C1290" s="33" t="s">
        <v>1556</v>
      </c>
      <c r="D1290" s="33" t="s">
        <v>1560</v>
      </c>
      <c r="E1290" s="33" t="s">
        <v>2837</v>
      </c>
      <c r="F1290" s="38" t="s">
        <v>742</v>
      </c>
    </row>
    <row r="1291" spans="1:6" ht="14.5" hidden="1" customHeight="1" x14ac:dyDescent="0.35">
      <c r="A1291" s="33" t="s">
        <v>1561</v>
      </c>
      <c r="B1291" s="33" t="s">
        <v>82</v>
      </c>
      <c r="C1291" s="33" t="s">
        <v>1562</v>
      </c>
      <c r="D1291" s="33" t="s">
        <v>1563</v>
      </c>
      <c r="E1291" s="33" t="s">
        <v>2837</v>
      </c>
      <c r="F1291" s="38" t="s">
        <v>742</v>
      </c>
    </row>
    <row r="1292" spans="1:6" ht="14.5" hidden="1" customHeight="1" x14ac:dyDescent="0.35">
      <c r="A1292" s="33" t="s">
        <v>1561</v>
      </c>
      <c r="B1292" s="33" t="s">
        <v>83</v>
      </c>
      <c r="C1292" s="33" t="s">
        <v>1562</v>
      </c>
      <c r="D1292" s="33" t="s">
        <v>1558</v>
      </c>
      <c r="E1292" s="33" t="s">
        <v>2837</v>
      </c>
      <c r="F1292" s="38" t="s">
        <v>742</v>
      </c>
    </row>
    <row r="1293" spans="1:6" ht="14.5" hidden="1" customHeight="1" x14ac:dyDescent="0.35">
      <c r="A1293" s="33" t="s">
        <v>1561</v>
      </c>
      <c r="B1293" s="33" t="s">
        <v>19</v>
      </c>
      <c r="C1293" s="33" t="s">
        <v>1562</v>
      </c>
      <c r="D1293" s="33" t="s">
        <v>1564</v>
      </c>
      <c r="E1293" s="33" t="s">
        <v>2837</v>
      </c>
      <c r="F1293" s="38" t="s">
        <v>742</v>
      </c>
    </row>
    <row r="1294" spans="1:6" ht="14.5" hidden="1" customHeight="1" x14ac:dyDescent="0.35">
      <c r="A1294" s="33" t="s">
        <v>1561</v>
      </c>
      <c r="B1294" s="33" t="s">
        <v>84</v>
      </c>
      <c r="C1294" s="33" t="s">
        <v>1562</v>
      </c>
      <c r="D1294" s="33" t="s">
        <v>1565</v>
      </c>
      <c r="E1294" s="33" t="s">
        <v>2837</v>
      </c>
      <c r="F1294" s="38" t="s">
        <v>742</v>
      </c>
    </row>
    <row r="1295" spans="1:6" ht="14.5" customHeight="1" x14ac:dyDescent="0.35">
      <c r="A1295" s="33" t="s">
        <v>1566</v>
      </c>
      <c r="B1295" s="33" t="s">
        <v>80</v>
      </c>
      <c r="C1295" s="33" t="s">
        <v>1567</v>
      </c>
      <c r="D1295" s="33" t="s">
        <v>1568</v>
      </c>
      <c r="E1295" s="33" t="s">
        <v>2879</v>
      </c>
      <c r="F1295" s="38" t="s">
        <v>1687</v>
      </c>
    </row>
    <row r="1296" spans="1:6" ht="14.5" customHeight="1" x14ac:dyDescent="0.35">
      <c r="A1296" s="33" t="s">
        <v>1566</v>
      </c>
      <c r="B1296" s="33" t="s">
        <v>19</v>
      </c>
      <c r="C1296" s="33" t="s">
        <v>1567</v>
      </c>
      <c r="D1296" s="33" t="s">
        <v>1569</v>
      </c>
      <c r="E1296" s="33" t="s">
        <v>2879</v>
      </c>
      <c r="F1296" s="38" t="s">
        <v>1687</v>
      </c>
    </row>
    <row r="1297" spans="1:6" ht="14.5" customHeight="1" x14ac:dyDescent="0.35">
      <c r="A1297" s="33" t="s">
        <v>1566</v>
      </c>
      <c r="B1297" s="33" t="s">
        <v>84</v>
      </c>
      <c r="C1297" s="33" t="s">
        <v>1567</v>
      </c>
      <c r="D1297" s="33" t="s">
        <v>1570</v>
      </c>
      <c r="E1297" s="33" t="s">
        <v>2879</v>
      </c>
      <c r="F1297" s="38" t="s">
        <v>1687</v>
      </c>
    </row>
    <row r="1298" spans="1:6" ht="14.5" hidden="1" customHeight="1" x14ac:dyDescent="0.35">
      <c r="A1298" s="33" t="s">
        <v>1571</v>
      </c>
      <c r="B1298" s="33" t="s">
        <v>80</v>
      </c>
      <c r="C1298" s="33" t="s">
        <v>1572</v>
      </c>
      <c r="D1298" s="33" t="s">
        <v>1573</v>
      </c>
      <c r="E1298" s="33" t="s">
        <v>2843</v>
      </c>
      <c r="F1298" s="38" t="s">
        <v>56</v>
      </c>
    </row>
    <row r="1299" spans="1:6" ht="14.5" hidden="1" customHeight="1" x14ac:dyDescent="0.35">
      <c r="A1299" s="33" t="s">
        <v>1571</v>
      </c>
      <c r="B1299" s="33" t="s">
        <v>82</v>
      </c>
      <c r="C1299" s="33" t="s">
        <v>1572</v>
      </c>
      <c r="D1299" s="33" t="s">
        <v>1574</v>
      </c>
      <c r="E1299" s="33" t="s">
        <v>2861</v>
      </c>
      <c r="F1299" s="38" t="s">
        <v>2740</v>
      </c>
    </row>
    <row r="1300" spans="1:6" ht="14.5" hidden="1" customHeight="1" x14ac:dyDescent="0.35">
      <c r="A1300" s="33" t="s">
        <v>1571</v>
      </c>
      <c r="B1300" s="33" t="s">
        <v>19</v>
      </c>
      <c r="C1300" s="33" t="s">
        <v>1572</v>
      </c>
      <c r="D1300" s="33" t="s">
        <v>1575</v>
      </c>
      <c r="E1300" s="33" t="s">
        <v>2870</v>
      </c>
      <c r="F1300" s="38" t="s">
        <v>56</v>
      </c>
    </row>
    <row r="1301" spans="1:6" ht="14.5" hidden="1" customHeight="1" x14ac:dyDescent="0.35">
      <c r="A1301" s="33" t="s">
        <v>1571</v>
      </c>
      <c r="B1301" s="33" t="s">
        <v>84</v>
      </c>
      <c r="C1301" s="33" t="s">
        <v>1572</v>
      </c>
      <c r="D1301" s="33" t="s">
        <v>1576</v>
      </c>
      <c r="E1301" s="33" t="s">
        <v>2861</v>
      </c>
      <c r="F1301" s="38" t="s">
        <v>2740</v>
      </c>
    </row>
    <row r="1302" spans="1:6" ht="14.5" hidden="1" customHeight="1" x14ac:dyDescent="0.35">
      <c r="A1302" s="33" t="s">
        <v>1571</v>
      </c>
      <c r="B1302" s="33" t="s">
        <v>85</v>
      </c>
      <c r="C1302" s="33" t="s">
        <v>1572</v>
      </c>
      <c r="D1302" s="33" t="s">
        <v>1577</v>
      </c>
      <c r="E1302" s="33" t="s">
        <v>2859</v>
      </c>
      <c r="F1302" s="38" t="s">
        <v>56</v>
      </c>
    </row>
    <row r="1303" spans="1:6" ht="14.5" hidden="1" customHeight="1" x14ac:dyDescent="0.35">
      <c r="A1303" s="33" t="s">
        <v>1571</v>
      </c>
      <c r="B1303" s="33" t="s">
        <v>86</v>
      </c>
      <c r="C1303" s="33" t="s">
        <v>1572</v>
      </c>
      <c r="D1303" s="33" t="s">
        <v>1578</v>
      </c>
      <c r="E1303" s="33" t="s">
        <v>2843</v>
      </c>
      <c r="F1303" s="38" t="s">
        <v>56</v>
      </c>
    </row>
    <row r="1304" spans="1:6" ht="14.5" hidden="1" customHeight="1" x14ac:dyDescent="0.35">
      <c r="A1304" s="33" t="s">
        <v>1579</v>
      </c>
      <c r="B1304" s="33" t="s">
        <v>80</v>
      </c>
      <c r="C1304" s="33" t="s">
        <v>1580</v>
      </c>
      <c r="D1304" s="33" t="s">
        <v>1573</v>
      </c>
      <c r="E1304" s="33" t="s">
        <v>2843</v>
      </c>
      <c r="F1304" s="38" t="s">
        <v>56</v>
      </c>
    </row>
    <row r="1305" spans="1:6" ht="14.5" hidden="1" customHeight="1" x14ac:dyDescent="0.35">
      <c r="A1305" s="33" t="s">
        <v>1579</v>
      </c>
      <c r="B1305" s="33" t="s">
        <v>82</v>
      </c>
      <c r="C1305" s="33" t="s">
        <v>1580</v>
      </c>
      <c r="D1305" s="33" t="s">
        <v>1574</v>
      </c>
      <c r="E1305" s="33" t="s">
        <v>2861</v>
      </c>
      <c r="F1305" s="38" t="s">
        <v>2740</v>
      </c>
    </row>
    <row r="1306" spans="1:6" ht="14.5" hidden="1" customHeight="1" x14ac:dyDescent="0.35">
      <c r="A1306" s="33" t="s">
        <v>1579</v>
      </c>
      <c r="B1306" s="33" t="s">
        <v>19</v>
      </c>
      <c r="C1306" s="33" t="s">
        <v>1580</v>
      </c>
      <c r="D1306" s="33" t="s">
        <v>1575</v>
      </c>
      <c r="E1306" s="33" t="s">
        <v>2870</v>
      </c>
      <c r="F1306" s="38" t="s">
        <v>56</v>
      </c>
    </row>
    <row r="1307" spans="1:6" ht="14.5" hidden="1" customHeight="1" x14ac:dyDescent="0.35">
      <c r="A1307" s="33" t="s">
        <v>1579</v>
      </c>
      <c r="B1307" s="33" t="s">
        <v>84</v>
      </c>
      <c r="C1307" s="33" t="s">
        <v>1580</v>
      </c>
      <c r="D1307" s="33" t="s">
        <v>1576</v>
      </c>
      <c r="E1307" s="33" t="s">
        <v>2861</v>
      </c>
      <c r="F1307" s="38" t="s">
        <v>2740</v>
      </c>
    </row>
    <row r="1308" spans="1:6" ht="14.5" hidden="1" customHeight="1" x14ac:dyDescent="0.35">
      <c r="A1308" s="33" t="s">
        <v>1579</v>
      </c>
      <c r="B1308" s="33" t="s">
        <v>85</v>
      </c>
      <c r="C1308" s="33" t="s">
        <v>1580</v>
      </c>
      <c r="D1308" s="33" t="s">
        <v>1577</v>
      </c>
      <c r="E1308" s="33" t="s">
        <v>2859</v>
      </c>
      <c r="F1308" s="38" t="s">
        <v>56</v>
      </c>
    </row>
    <row r="1309" spans="1:6" ht="14.5" hidden="1" customHeight="1" x14ac:dyDescent="0.35">
      <c r="A1309" s="33" t="s">
        <v>1579</v>
      </c>
      <c r="B1309" s="33" t="s">
        <v>86</v>
      </c>
      <c r="C1309" s="33" t="s">
        <v>1580</v>
      </c>
      <c r="D1309" s="33" t="s">
        <v>1578</v>
      </c>
      <c r="E1309" s="33" t="s">
        <v>2843</v>
      </c>
      <c r="F1309" s="38" t="s">
        <v>56</v>
      </c>
    </row>
    <row r="1310" spans="1:6" ht="14.5" hidden="1" customHeight="1" x14ac:dyDescent="0.35">
      <c r="A1310" s="33" t="s">
        <v>1581</v>
      </c>
      <c r="B1310" s="33" t="s">
        <v>80</v>
      </c>
      <c r="C1310" s="33" t="s">
        <v>1582</v>
      </c>
      <c r="D1310" s="33" t="s">
        <v>839</v>
      </c>
      <c r="E1310" s="33" t="s">
        <v>2843</v>
      </c>
      <c r="F1310" s="38" t="s">
        <v>56</v>
      </c>
    </row>
    <row r="1311" spans="1:6" ht="14.5" hidden="1" customHeight="1" x14ac:dyDescent="0.35">
      <c r="A1311" s="33" t="s">
        <v>1581</v>
      </c>
      <c r="B1311" s="33" t="s">
        <v>82</v>
      </c>
      <c r="C1311" s="33" t="s">
        <v>1582</v>
      </c>
      <c r="D1311" s="33" t="s">
        <v>840</v>
      </c>
      <c r="E1311" s="33" t="s">
        <v>2861</v>
      </c>
      <c r="F1311" s="38" t="s">
        <v>2740</v>
      </c>
    </row>
    <row r="1312" spans="1:6" ht="14.5" hidden="1" customHeight="1" x14ac:dyDescent="0.35">
      <c r="A1312" s="33" t="s">
        <v>1581</v>
      </c>
      <c r="B1312" s="33" t="s">
        <v>84</v>
      </c>
      <c r="C1312" s="33" t="s">
        <v>1582</v>
      </c>
      <c r="D1312" s="33" t="s">
        <v>841</v>
      </c>
      <c r="E1312" s="33" t="s">
        <v>2876</v>
      </c>
      <c r="F1312" s="38" t="s">
        <v>50</v>
      </c>
    </row>
    <row r="1313" spans="1:6" ht="14.5" hidden="1" customHeight="1" x14ac:dyDescent="0.35">
      <c r="A1313" s="33" t="s">
        <v>1581</v>
      </c>
      <c r="B1313" s="33" t="s">
        <v>85</v>
      </c>
      <c r="C1313" s="33" t="s">
        <v>1582</v>
      </c>
      <c r="D1313" s="33" t="s">
        <v>842</v>
      </c>
      <c r="E1313" s="33" t="s">
        <v>2845</v>
      </c>
      <c r="F1313" s="38" t="s">
        <v>50</v>
      </c>
    </row>
    <row r="1314" spans="1:6" ht="14.5" hidden="1" customHeight="1" x14ac:dyDescent="0.35">
      <c r="A1314" s="33" t="s">
        <v>1581</v>
      </c>
      <c r="B1314" s="33" t="s">
        <v>86</v>
      </c>
      <c r="C1314" s="33" t="s">
        <v>1582</v>
      </c>
      <c r="D1314" s="33" t="s">
        <v>843</v>
      </c>
      <c r="E1314" s="33" t="s">
        <v>2876</v>
      </c>
      <c r="F1314" s="38" t="s">
        <v>50</v>
      </c>
    </row>
    <row r="1315" spans="1:6" ht="14.5" hidden="1" customHeight="1" x14ac:dyDescent="0.35">
      <c r="A1315" s="33" t="s">
        <v>1581</v>
      </c>
      <c r="B1315" s="33" t="s">
        <v>87</v>
      </c>
      <c r="C1315" s="33" t="s">
        <v>1582</v>
      </c>
      <c r="D1315" s="33" t="s">
        <v>844</v>
      </c>
      <c r="E1315" s="33" t="s">
        <v>2845</v>
      </c>
      <c r="F1315" s="38" t="s">
        <v>50</v>
      </c>
    </row>
    <row r="1316" spans="1:6" ht="14.5" hidden="1" customHeight="1" x14ac:dyDescent="0.35">
      <c r="A1316" s="33" t="s">
        <v>1581</v>
      </c>
      <c r="B1316" s="33" t="s">
        <v>88</v>
      </c>
      <c r="C1316" s="33" t="s">
        <v>1582</v>
      </c>
      <c r="D1316" s="33" t="s">
        <v>845</v>
      </c>
      <c r="E1316" s="33" t="s">
        <v>2845</v>
      </c>
      <c r="F1316" s="38" t="s">
        <v>50</v>
      </c>
    </row>
    <row r="1317" spans="1:6" ht="14.5" hidden="1" customHeight="1" x14ac:dyDescent="0.35">
      <c r="A1317" s="33" t="s">
        <v>1581</v>
      </c>
      <c r="B1317" s="33" t="s">
        <v>90</v>
      </c>
      <c r="C1317" s="33" t="s">
        <v>1582</v>
      </c>
      <c r="D1317" s="33" t="s">
        <v>846</v>
      </c>
      <c r="E1317" s="33" t="s">
        <v>2870</v>
      </c>
      <c r="F1317" s="38" t="s">
        <v>56</v>
      </c>
    </row>
    <row r="1318" spans="1:6" ht="14.5" hidden="1" customHeight="1" x14ac:dyDescent="0.35">
      <c r="A1318" s="33" t="s">
        <v>1581</v>
      </c>
      <c r="B1318" s="33" t="s">
        <v>91</v>
      </c>
      <c r="C1318" s="33" t="s">
        <v>1582</v>
      </c>
      <c r="D1318" s="33" t="s">
        <v>847</v>
      </c>
      <c r="E1318" s="33" t="s">
        <v>2859</v>
      </c>
      <c r="F1318" s="38" t="s">
        <v>56</v>
      </c>
    </row>
    <row r="1319" spans="1:6" ht="14.5" hidden="1" customHeight="1" x14ac:dyDescent="0.35">
      <c r="A1319" s="33" t="s">
        <v>1581</v>
      </c>
      <c r="B1319" s="33" t="s">
        <v>93</v>
      </c>
      <c r="C1319" s="33" t="s">
        <v>1582</v>
      </c>
      <c r="D1319" s="33" t="s">
        <v>849</v>
      </c>
      <c r="E1319" s="33" t="s">
        <v>2851</v>
      </c>
      <c r="F1319" s="38" t="s">
        <v>2740</v>
      </c>
    </row>
    <row r="1320" spans="1:6" ht="14.5" hidden="1" customHeight="1" x14ac:dyDescent="0.35">
      <c r="A1320" s="33" t="s">
        <v>1581</v>
      </c>
      <c r="B1320" s="33" t="s">
        <v>94</v>
      </c>
      <c r="C1320" s="33" t="s">
        <v>1582</v>
      </c>
      <c r="D1320" s="33" t="s">
        <v>850</v>
      </c>
      <c r="E1320" s="33" t="s">
        <v>2861</v>
      </c>
      <c r="F1320" s="38" t="s">
        <v>2740</v>
      </c>
    </row>
    <row r="1321" spans="1:6" ht="14.5" hidden="1" customHeight="1" x14ac:dyDescent="0.35">
      <c r="A1321" s="33" t="s">
        <v>1581</v>
      </c>
      <c r="B1321" s="33" t="s">
        <v>97</v>
      </c>
      <c r="C1321" s="33" t="s">
        <v>1582</v>
      </c>
      <c r="D1321" s="33" t="s">
        <v>851</v>
      </c>
      <c r="E1321" s="33" t="s">
        <v>2851</v>
      </c>
      <c r="F1321" s="38" t="s">
        <v>2740</v>
      </c>
    </row>
    <row r="1322" spans="1:6" ht="14.5" hidden="1" customHeight="1" x14ac:dyDescent="0.35">
      <c r="A1322" s="33" t="s">
        <v>1581</v>
      </c>
      <c r="B1322" s="33" t="s">
        <v>98</v>
      </c>
      <c r="C1322" s="33" t="s">
        <v>1582</v>
      </c>
      <c r="D1322" s="33" t="s">
        <v>852</v>
      </c>
      <c r="E1322" s="33" t="s">
        <v>2845</v>
      </c>
      <c r="F1322" s="38" t="s">
        <v>50</v>
      </c>
    </row>
    <row r="1323" spans="1:6" ht="14.5" hidden="1" customHeight="1" x14ac:dyDescent="0.35">
      <c r="A1323" s="33" t="s">
        <v>1581</v>
      </c>
      <c r="B1323" s="33" t="s">
        <v>99</v>
      </c>
      <c r="C1323" s="33" t="s">
        <v>1582</v>
      </c>
      <c r="D1323" s="33" t="s">
        <v>853</v>
      </c>
      <c r="E1323" s="33" t="s">
        <v>2845</v>
      </c>
      <c r="F1323" s="38" t="s">
        <v>50</v>
      </c>
    </row>
    <row r="1324" spans="1:6" ht="14.5" hidden="1" customHeight="1" x14ac:dyDescent="0.35">
      <c r="A1324" s="33" t="s">
        <v>1581</v>
      </c>
      <c r="B1324" s="33" t="s">
        <v>100</v>
      </c>
      <c r="C1324" s="33" t="s">
        <v>1582</v>
      </c>
      <c r="D1324" s="33" t="s">
        <v>854</v>
      </c>
      <c r="E1324" s="33" t="s">
        <v>2876</v>
      </c>
      <c r="F1324" s="38" t="s">
        <v>50</v>
      </c>
    </row>
    <row r="1325" spans="1:6" ht="14.5" hidden="1" customHeight="1" x14ac:dyDescent="0.35">
      <c r="A1325" s="33" t="s">
        <v>1581</v>
      </c>
      <c r="B1325" s="33" t="s">
        <v>102</v>
      </c>
      <c r="C1325" s="33" t="s">
        <v>1582</v>
      </c>
      <c r="D1325" s="33" t="s">
        <v>855</v>
      </c>
      <c r="E1325" s="33" t="s">
        <v>2845</v>
      </c>
      <c r="F1325" s="38" t="s">
        <v>50</v>
      </c>
    </row>
    <row r="1326" spans="1:6" ht="14.5" hidden="1" customHeight="1" x14ac:dyDescent="0.35">
      <c r="A1326" s="33" t="s">
        <v>1581</v>
      </c>
      <c r="B1326" s="33" t="s">
        <v>104</v>
      </c>
      <c r="C1326" s="33" t="s">
        <v>1582</v>
      </c>
      <c r="D1326" s="33" t="s">
        <v>857</v>
      </c>
      <c r="E1326" s="33" t="s">
        <v>2843</v>
      </c>
      <c r="F1326" s="38" t="s">
        <v>56</v>
      </c>
    </row>
    <row r="1327" spans="1:6" ht="14.5" hidden="1" customHeight="1" x14ac:dyDescent="0.35">
      <c r="A1327" s="33" t="s">
        <v>1581</v>
      </c>
      <c r="B1327" s="33" t="s">
        <v>106</v>
      </c>
      <c r="C1327" s="33" t="s">
        <v>1582</v>
      </c>
      <c r="D1327" s="33" t="s">
        <v>858</v>
      </c>
      <c r="E1327" s="33" t="s">
        <v>2845</v>
      </c>
      <c r="F1327" s="38" t="s">
        <v>50</v>
      </c>
    </row>
    <row r="1328" spans="1:6" ht="14.5" hidden="1" customHeight="1" x14ac:dyDescent="0.35">
      <c r="A1328" s="33" t="s">
        <v>1583</v>
      </c>
      <c r="B1328" s="33" t="s">
        <v>80</v>
      </c>
      <c r="C1328" s="33" t="s">
        <v>1584</v>
      </c>
      <c r="D1328" s="33" t="s">
        <v>1585</v>
      </c>
      <c r="E1328" s="33" t="s">
        <v>2843</v>
      </c>
      <c r="F1328" s="38" t="s">
        <v>56</v>
      </c>
    </row>
    <row r="1329" spans="1:6" ht="14.5" hidden="1" customHeight="1" x14ac:dyDescent="0.35">
      <c r="A1329" s="33" t="s">
        <v>1583</v>
      </c>
      <c r="B1329" s="33" t="s">
        <v>82</v>
      </c>
      <c r="C1329" s="33" t="s">
        <v>1584</v>
      </c>
      <c r="D1329" s="33" t="s">
        <v>1586</v>
      </c>
      <c r="E1329" s="33" t="s">
        <v>2859</v>
      </c>
      <c r="F1329" s="38" t="s">
        <v>56</v>
      </c>
    </row>
    <row r="1330" spans="1:6" ht="14.5" hidden="1" customHeight="1" x14ac:dyDescent="0.35">
      <c r="A1330" s="33" t="s">
        <v>1583</v>
      </c>
      <c r="B1330" s="33" t="s">
        <v>83</v>
      </c>
      <c r="C1330" s="33" t="s">
        <v>1584</v>
      </c>
      <c r="D1330" s="33" t="s">
        <v>1587</v>
      </c>
      <c r="E1330" s="33" t="s">
        <v>2869</v>
      </c>
      <c r="F1330" s="38" t="s">
        <v>132</v>
      </c>
    </row>
    <row r="1331" spans="1:6" ht="14.5" hidden="1" customHeight="1" x14ac:dyDescent="0.35">
      <c r="A1331" s="33" t="s">
        <v>1583</v>
      </c>
      <c r="B1331" s="33" t="s">
        <v>19</v>
      </c>
      <c r="C1331" s="33" t="s">
        <v>1584</v>
      </c>
      <c r="D1331" s="33" t="s">
        <v>1588</v>
      </c>
      <c r="E1331" s="33" t="s">
        <v>2874</v>
      </c>
      <c r="F1331" s="38" t="s">
        <v>2739</v>
      </c>
    </row>
    <row r="1332" spans="1:6" ht="14.5" hidden="1" customHeight="1" x14ac:dyDescent="0.35">
      <c r="A1332" s="33" t="s">
        <v>1583</v>
      </c>
      <c r="B1332" s="33" t="s">
        <v>174</v>
      </c>
      <c r="C1332" s="33" t="s">
        <v>1584</v>
      </c>
      <c r="D1332" s="33" t="s">
        <v>1589</v>
      </c>
      <c r="E1332" s="33" t="s">
        <v>2882</v>
      </c>
      <c r="F1332" s="38" t="s">
        <v>2739</v>
      </c>
    </row>
    <row r="1333" spans="1:6" ht="14.5" hidden="1" customHeight="1" x14ac:dyDescent="0.35">
      <c r="A1333" s="33" t="s">
        <v>1583</v>
      </c>
      <c r="B1333" s="33" t="s">
        <v>84</v>
      </c>
      <c r="C1333" s="33" t="s">
        <v>1584</v>
      </c>
      <c r="D1333" s="33" t="s">
        <v>1590</v>
      </c>
      <c r="E1333" s="33" t="s">
        <v>2859</v>
      </c>
      <c r="F1333" s="38" t="s">
        <v>56</v>
      </c>
    </row>
    <row r="1334" spans="1:6" ht="14.5" hidden="1" customHeight="1" x14ac:dyDescent="0.35">
      <c r="A1334" s="33" t="s">
        <v>1583</v>
      </c>
      <c r="B1334" s="33" t="s">
        <v>89</v>
      </c>
      <c r="C1334" s="33" t="s">
        <v>1584</v>
      </c>
      <c r="D1334" s="33" t="s">
        <v>1591</v>
      </c>
      <c r="E1334" s="33" t="s">
        <v>2843</v>
      </c>
      <c r="F1334" s="38" t="s">
        <v>56</v>
      </c>
    </row>
    <row r="1335" spans="1:6" ht="14.5" hidden="1" customHeight="1" x14ac:dyDescent="0.35">
      <c r="A1335" s="33" t="s">
        <v>1592</v>
      </c>
      <c r="B1335" s="33" t="s">
        <v>83</v>
      </c>
      <c r="C1335" s="33" t="s">
        <v>1593</v>
      </c>
      <c r="D1335" s="33" t="s">
        <v>1594</v>
      </c>
      <c r="E1335" s="33" t="s">
        <v>2859</v>
      </c>
      <c r="F1335" s="38" t="s">
        <v>56</v>
      </c>
    </row>
    <row r="1336" spans="1:6" ht="14.5" hidden="1" customHeight="1" x14ac:dyDescent="0.35">
      <c r="A1336" s="33" t="s">
        <v>1592</v>
      </c>
      <c r="B1336" s="33" t="s">
        <v>19</v>
      </c>
      <c r="C1336" s="33" t="s">
        <v>1593</v>
      </c>
      <c r="D1336" s="33" t="s">
        <v>1595</v>
      </c>
      <c r="E1336" s="33" t="s">
        <v>2870</v>
      </c>
      <c r="F1336" s="38" t="s">
        <v>56</v>
      </c>
    </row>
    <row r="1337" spans="1:6" ht="14.5" hidden="1" customHeight="1" x14ac:dyDescent="0.35">
      <c r="A1337" s="33" t="s">
        <v>1596</v>
      </c>
      <c r="B1337" s="33" t="s">
        <v>83</v>
      </c>
      <c r="C1337" s="33" t="s">
        <v>1597</v>
      </c>
      <c r="D1337" s="33" t="s">
        <v>1594</v>
      </c>
      <c r="E1337" s="33" t="s">
        <v>2859</v>
      </c>
      <c r="F1337" s="38" t="s">
        <v>56</v>
      </c>
    </row>
    <row r="1338" spans="1:6" ht="14.5" hidden="1" customHeight="1" x14ac:dyDescent="0.35">
      <c r="A1338" s="33" t="s">
        <v>1596</v>
      </c>
      <c r="B1338" s="33" t="s">
        <v>19</v>
      </c>
      <c r="C1338" s="33" t="s">
        <v>1597</v>
      </c>
      <c r="D1338" s="33" t="s">
        <v>1595</v>
      </c>
      <c r="E1338" s="33" t="s">
        <v>2870</v>
      </c>
      <c r="F1338" s="38" t="s">
        <v>56</v>
      </c>
    </row>
    <row r="1339" spans="1:6" ht="14.5" hidden="1" customHeight="1" x14ac:dyDescent="0.35">
      <c r="A1339" s="33" t="s">
        <v>1598</v>
      </c>
      <c r="B1339" s="33" t="s">
        <v>82</v>
      </c>
      <c r="C1339" s="33" t="s">
        <v>1599</v>
      </c>
      <c r="D1339" s="33" t="s">
        <v>1600</v>
      </c>
      <c r="E1339" s="33" t="s">
        <v>2845</v>
      </c>
      <c r="F1339" s="38" t="s">
        <v>50</v>
      </c>
    </row>
    <row r="1340" spans="1:6" ht="14.5" hidden="1" customHeight="1" x14ac:dyDescent="0.35">
      <c r="A1340" s="33" t="s">
        <v>1601</v>
      </c>
      <c r="B1340" s="33" t="s">
        <v>82</v>
      </c>
      <c r="C1340" s="33" t="s">
        <v>1602</v>
      </c>
      <c r="D1340" s="33" t="s">
        <v>1600</v>
      </c>
      <c r="E1340" s="33" t="s">
        <v>2845</v>
      </c>
      <c r="F1340" s="38" t="s">
        <v>50</v>
      </c>
    </row>
    <row r="1341" spans="1:6" ht="14.5" hidden="1" customHeight="1" x14ac:dyDescent="0.35">
      <c r="A1341" s="33" t="s">
        <v>1603</v>
      </c>
      <c r="B1341" s="33" t="s">
        <v>80</v>
      </c>
      <c r="C1341" s="33" t="s">
        <v>1604</v>
      </c>
      <c r="D1341" s="33" t="s">
        <v>1605</v>
      </c>
      <c r="E1341" s="33" t="s">
        <v>2855</v>
      </c>
      <c r="F1341" s="38" t="s">
        <v>54</v>
      </c>
    </row>
    <row r="1342" spans="1:6" ht="14.5" hidden="1" customHeight="1" x14ac:dyDescent="0.35">
      <c r="A1342" s="33" t="s">
        <v>1603</v>
      </c>
      <c r="B1342" s="33" t="s">
        <v>83</v>
      </c>
      <c r="C1342" s="33" t="s">
        <v>1604</v>
      </c>
      <c r="D1342" s="33" t="s">
        <v>1606</v>
      </c>
      <c r="E1342" s="33" t="s">
        <v>2870</v>
      </c>
      <c r="F1342" s="38" t="s">
        <v>56</v>
      </c>
    </row>
    <row r="1343" spans="1:6" ht="14.5" hidden="1" customHeight="1" x14ac:dyDescent="0.35">
      <c r="A1343" s="33" t="s">
        <v>1603</v>
      </c>
      <c r="B1343" s="33" t="s">
        <v>85</v>
      </c>
      <c r="C1343" s="33" t="s">
        <v>1604</v>
      </c>
      <c r="D1343" s="33" t="s">
        <v>1607</v>
      </c>
      <c r="E1343" s="33" t="s">
        <v>2859</v>
      </c>
      <c r="F1343" s="38" t="s">
        <v>56</v>
      </c>
    </row>
    <row r="1344" spans="1:6" ht="14.5" hidden="1" customHeight="1" x14ac:dyDescent="0.35">
      <c r="A1344" s="33" t="s">
        <v>1608</v>
      </c>
      <c r="B1344" s="33" t="s">
        <v>80</v>
      </c>
      <c r="C1344" s="33" t="s">
        <v>1609</v>
      </c>
      <c r="D1344" s="33" t="s">
        <v>1610</v>
      </c>
      <c r="E1344" s="33" t="s">
        <v>2841</v>
      </c>
      <c r="F1344" s="38" t="s">
        <v>2569</v>
      </c>
    </row>
    <row r="1345" spans="1:6" ht="14.5" hidden="1" customHeight="1" x14ac:dyDescent="0.35">
      <c r="A1345" s="33" t="s">
        <v>1608</v>
      </c>
      <c r="B1345" s="33" t="s">
        <v>19</v>
      </c>
      <c r="C1345" s="33" t="s">
        <v>1609</v>
      </c>
      <c r="D1345" s="33" t="s">
        <v>1611</v>
      </c>
      <c r="E1345" s="33" t="s">
        <v>2841</v>
      </c>
      <c r="F1345" s="38" t="s">
        <v>2569</v>
      </c>
    </row>
    <row r="1346" spans="1:6" ht="14.5" hidden="1" customHeight="1" x14ac:dyDescent="0.35">
      <c r="A1346" s="33" t="s">
        <v>1608</v>
      </c>
      <c r="B1346" s="33" t="s">
        <v>85</v>
      </c>
      <c r="C1346" s="33" t="s">
        <v>1609</v>
      </c>
      <c r="D1346" s="33" t="s">
        <v>1612</v>
      </c>
      <c r="E1346" s="33" t="s">
        <v>2844</v>
      </c>
      <c r="F1346" s="38" t="s">
        <v>48</v>
      </c>
    </row>
    <row r="1347" spans="1:6" ht="14.5" hidden="1" customHeight="1" x14ac:dyDescent="0.35">
      <c r="A1347" s="33" t="s">
        <v>1608</v>
      </c>
      <c r="B1347" s="33" t="s">
        <v>86</v>
      </c>
      <c r="C1347" s="33" t="s">
        <v>1609</v>
      </c>
      <c r="D1347" s="33" t="s">
        <v>1613</v>
      </c>
      <c r="E1347" s="33" t="s">
        <v>2839</v>
      </c>
      <c r="F1347" s="38" t="s">
        <v>48</v>
      </c>
    </row>
    <row r="1348" spans="1:6" ht="14.5" hidden="1" customHeight="1" x14ac:dyDescent="0.35">
      <c r="A1348" s="33" t="s">
        <v>1614</v>
      </c>
      <c r="B1348" s="33" t="s">
        <v>81</v>
      </c>
      <c r="C1348" s="33" t="s">
        <v>1615</v>
      </c>
      <c r="D1348" s="33" t="s">
        <v>1616</v>
      </c>
      <c r="E1348" s="33" t="s">
        <v>2843</v>
      </c>
      <c r="F1348" s="38" t="s">
        <v>56</v>
      </c>
    </row>
    <row r="1349" spans="1:6" ht="14.5" customHeight="1" x14ac:dyDescent="0.35">
      <c r="A1349" s="33" t="s">
        <v>1614</v>
      </c>
      <c r="B1349" s="33" t="s">
        <v>80</v>
      </c>
      <c r="C1349" s="33" t="s">
        <v>1615</v>
      </c>
      <c r="D1349" s="33" t="s">
        <v>1617</v>
      </c>
      <c r="E1349" s="33" t="s">
        <v>2879</v>
      </c>
      <c r="F1349" s="38" t="s">
        <v>1687</v>
      </c>
    </row>
    <row r="1350" spans="1:6" ht="14.5" customHeight="1" x14ac:dyDescent="0.35">
      <c r="A1350" s="33" t="s">
        <v>1614</v>
      </c>
      <c r="B1350" s="33" t="s">
        <v>226</v>
      </c>
      <c r="C1350" s="33" t="s">
        <v>1615</v>
      </c>
      <c r="D1350" s="33" t="s">
        <v>1618</v>
      </c>
      <c r="E1350" s="33" t="s">
        <v>2879</v>
      </c>
      <c r="F1350" s="38" t="s">
        <v>1687</v>
      </c>
    </row>
    <row r="1351" spans="1:6" ht="14.5" hidden="1" customHeight="1" x14ac:dyDescent="0.35">
      <c r="A1351" s="33" t="s">
        <v>1614</v>
      </c>
      <c r="B1351" s="33" t="s">
        <v>82</v>
      </c>
      <c r="C1351" s="33" t="s">
        <v>1615</v>
      </c>
      <c r="D1351" s="33" t="s">
        <v>1619</v>
      </c>
      <c r="E1351" s="33" t="s">
        <v>2869</v>
      </c>
      <c r="F1351" s="38" t="s">
        <v>132</v>
      </c>
    </row>
    <row r="1352" spans="1:6" ht="14.5" hidden="1" customHeight="1" x14ac:dyDescent="0.35">
      <c r="A1352" s="33" t="s">
        <v>1614</v>
      </c>
      <c r="B1352" s="33" t="s">
        <v>83</v>
      </c>
      <c r="C1352" s="33" t="s">
        <v>1615</v>
      </c>
      <c r="D1352" s="33" t="s">
        <v>1620</v>
      </c>
      <c r="E1352" s="33" t="s">
        <v>2870</v>
      </c>
      <c r="F1352" s="38" t="s">
        <v>56</v>
      </c>
    </row>
    <row r="1353" spans="1:6" ht="14.5" hidden="1" customHeight="1" x14ac:dyDescent="0.35">
      <c r="A1353" s="33" t="s">
        <v>1614</v>
      </c>
      <c r="B1353" s="33" t="s">
        <v>84</v>
      </c>
      <c r="C1353" s="33" t="s">
        <v>1615</v>
      </c>
      <c r="D1353" s="33" t="s">
        <v>1621</v>
      </c>
      <c r="E1353" s="33" t="s">
        <v>2859</v>
      </c>
      <c r="F1353" s="38" t="s">
        <v>56</v>
      </c>
    </row>
    <row r="1354" spans="1:6" ht="14.5" customHeight="1" x14ac:dyDescent="0.35">
      <c r="A1354" s="33" t="s">
        <v>1614</v>
      </c>
      <c r="B1354" s="33" t="s">
        <v>85</v>
      </c>
      <c r="C1354" s="33" t="s">
        <v>1615</v>
      </c>
      <c r="D1354" s="33" t="s">
        <v>1622</v>
      </c>
      <c r="E1354" s="33" t="s">
        <v>2879</v>
      </c>
      <c r="F1354" s="38" t="s">
        <v>1687</v>
      </c>
    </row>
    <row r="1355" spans="1:6" ht="14.5" customHeight="1" x14ac:dyDescent="0.35">
      <c r="A1355" s="33" t="s">
        <v>1614</v>
      </c>
      <c r="B1355" s="33" t="s">
        <v>86</v>
      </c>
      <c r="C1355" s="33" t="s">
        <v>1615</v>
      </c>
      <c r="D1355" s="33" t="s">
        <v>1623</v>
      </c>
      <c r="E1355" s="33" t="s">
        <v>2879</v>
      </c>
      <c r="F1355" s="38" t="s">
        <v>1687</v>
      </c>
    </row>
    <row r="1356" spans="1:6" ht="14.5" hidden="1" customHeight="1" x14ac:dyDescent="0.35">
      <c r="A1356" s="33" t="s">
        <v>1614</v>
      </c>
      <c r="B1356" s="33" t="s">
        <v>89</v>
      </c>
      <c r="C1356" s="33" t="s">
        <v>1615</v>
      </c>
      <c r="D1356" s="33" t="s">
        <v>1624</v>
      </c>
      <c r="E1356" s="33" t="s">
        <v>2843</v>
      </c>
      <c r="F1356" s="38" t="s">
        <v>56</v>
      </c>
    </row>
    <row r="1357" spans="1:6" ht="14.5" hidden="1" customHeight="1" x14ac:dyDescent="0.35">
      <c r="A1357" s="33" t="s">
        <v>1625</v>
      </c>
      <c r="B1357" s="33" t="s">
        <v>1095</v>
      </c>
      <c r="C1357" s="33" t="s">
        <v>1626</v>
      </c>
      <c r="D1357" s="33" t="s">
        <v>1627</v>
      </c>
      <c r="E1357" s="33" t="s">
        <v>2838</v>
      </c>
      <c r="F1357" s="38" t="s">
        <v>48</v>
      </c>
    </row>
    <row r="1358" spans="1:6" ht="14.5" hidden="1" customHeight="1" x14ac:dyDescent="0.35">
      <c r="A1358" s="33" t="s">
        <v>1625</v>
      </c>
      <c r="B1358" s="33" t="s">
        <v>81</v>
      </c>
      <c r="C1358" s="33" t="s">
        <v>1626</v>
      </c>
      <c r="D1358" s="33" t="s">
        <v>1628</v>
      </c>
      <c r="E1358" s="33" t="s">
        <v>2843</v>
      </c>
      <c r="F1358" s="38" t="s">
        <v>56</v>
      </c>
    </row>
    <row r="1359" spans="1:6" ht="14.5" hidden="1" customHeight="1" x14ac:dyDescent="0.35">
      <c r="A1359" s="33" t="s">
        <v>1625</v>
      </c>
      <c r="B1359" s="33" t="s">
        <v>1629</v>
      </c>
      <c r="C1359" s="33" t="s">
        <v>1626</v>
      </c>
      <c r="D1359" s="33" t="s">
        <v>1630</v>
      </c>
      <c r="E1359" s="33" t="s">
        <v>2869</v>
      </c>
      <c r="F1359" s="38" t="s">
        <v>132</v>
      </c>
    </row>
    <row r="1360" spans="1:6" ht="14.5" hidden="1" customHeight="1" x14ac:dyDescent="0.35">
      <c r="A1360" s="33" t="s">
        <v>1625</v>
      </c>
      <c r="B1360" s="33" t="s">
        <v>278</v>
      </c>
      <c r="C1360" s="33" t="s">
        <v>1626</v>
      </c>
      <c r="D1360" s="33" t="s">
        <v>1631</v>
      </c>
      <c r="E1360" s="33" t="s">
        <v>2870</v>
      </c>
      <c r="F1360" s="38" t="s">
        <v>56</v>
      </c>
    </row>
    <row r="1361" spans="1:6" ht="14.5" hidden="1" customHeight="1" x14ac:dyDescent="0.35">
      <c r="A1361" s="33" t="s">
        <v>1625</v>
      </c>
      <c r="B1361" s="33" t="s">
        <v>282</v>
      </c>
      <c r="C1361" s="33" t="s">
        <v>1626</v>
      </c>
      <c r="D1361" s="33" t="s">
        <v>1632</v>
      </c>
      <c r="E1361" s="33" t="s">
        <v>2859</v>
      </c>
      <c r="F1361" s="38" t="s">
        <v>56</v>
      </c>
    </row>
    <row r="1362" spans="1:6" ht="14.5" hidden="1" customHeight="1" x14ac:dyDescent="0.35">
      <c r="A1362" s="33" t="s">
        <v>1625</v>
      </c>
      <c r="B1362" s="33" t="s">
        <v>620</v>
      </c>
      <c r="C1362" s="33" t="s">
        <v>1626</v>
      </c>
      <c r="D1362" s="33" t="s">
        <v>1633</v>
      </c>
      <c r="E1362" s="33" t="s">
        <v>2860</v>
      </c>
      <c r="F1362" s="38" t="s">
        <v>50</v>
      </c>
    </row>
    <row r="1363" spans="1:6" ht="14.5" hidden="1" customHeight="1" x14ac:dyDescent="0.35">
      <c r="A1363" s="33" t="s">
        <v>1625</v>
      </c>
      <c r="B1363" s="33" t="s">
        <v>226</v>
      </c>
      <c r="C1363" s="33" t="s">
        <v>1626</v>
      </c>
      <c r="D1363" s="33" t="s">
        <v>1634</v>
      </c>
      <c r="E1363" s="33" t="s">
        <v>2845</v>
      </c>
      <c r="F1363" s="38" t="s">
        <v>50</v>
      </c>
    </row>
    <row r="1364" spans="1:6" ht="14.5" hidden="1" customHeight="1" x14ac:dyDescent="0.35">
      <c r="A1364" s="33" t="s">
        <v>1625</v>
      </c>
      <c r="B1364" s="33" t="s">
        <v>83</v>
      </c>
      <c r="C1364" s="33" t="s">
        <v>1626</v>
      </c>
      <c r="D1364" s="33" t="s">
        <v>1635</v>
      </c>
      <c r="E1364" s="33" t="s">
        <v>2844</v>
      </c>
      <c r="F1364" s="38" t="s">
        <v>48</v>
      </c>
    </row>
    <row r="1365" spans="1:6" ht="14.5" hidden="1" customHeight="1" x14ac:dyDescent="0.35">
      <c r="A1365" s="33" t="s">
        <v>1625</v>
      </c>
      <c r="B1365" s="33" t="s">
        <v>19</v>
      </c>
      <c r="C1365" s="33" t="s">
        <v>1626</v>
      </c>
      <c r="D1365" s="33" t="s">
        <v>1636</v>
      </c>
      <c r="E1365" s="33" t="s">
        <v>2839</v>
      </c>
      <c r="F1365" s="38" t="s">
        <v>48</v>
      </c>
    </row>
    <row r="1366" spans="1:6" ht="14.5" hidden="1" customHeight="1" x14ac:dyDescent="0.35">
      <c r="A1366" s="33" t="s">
        <v>1625</v>
      </c>
      <c r="B1366" s="33" t="s">
        <v>90</v>
      </c>
      <c r="C1366" s="33" t="s">
        <v>1626</v>
      </c>
      <c r="D1366" s="33" t="s">
        <v>1637</v>
      </c>
      <c r="E1366" s="33" t="s">
        <v>2843</v>
      </c>
      <c r="F1366" s="38" t="s">
        <v>56</v>
      </c>
    </row>
    <row r="1367" spans="1:6" ht="14.5" hidden="1" customHeight="1" x14ac:dyDescent="0.35">
      <c r="A1367" s="33" t="s">
        <v>1638</v>
      </c>
      <c r="B1367" s="33" t="s">
        <v>1095</v>
      </c>
      <c r="C1367" s="33" t="s">
        <v>1639</v>
      </c>
      <c r="D1367" s="33" t="s">
        <v>1627</v>
      </c>
      <c r="E1367" s="33" t="s">
        <v>2838</v>
      </c>
      <c r="F1367" s="38" t="s">
        <v>48</v>
      </c>
    </row>
    <row r="1368" spans="1:6" ht="14.5" hidden="1" customHeight="1" x14ac:dyDescent="0.35">
      <c r="A1368" s="33" t="s">
        <v>1638</v>
      </c>
      <c r="B1368" s="33" t="s">
        <v>81</v>
      </c>
      <c r="C1368" s="33" t="s">
        <v>1639</v>
      </c>
      <c r="D1368" s="33" t="s">
        <v>1628</v>
      </c>
      <c r="E1368" s="33" t="s">
        <v>2843</v>
      </c>
      <c r="F1368" s="38" t="s">
        <v>56</v>
      </c>
    </row>
    <row r="1369" spans="1:6" ht="14.5" hidden="1" customHeight="1" x14ac:dyDescent="0.35">
      <c r="A1369" s="33" t="s">
        <v>1638</v>
      </c>
      <c r="B1369" s="33" t="s">
        <v>1629</v>
      </c>
      <c r="C1369" s="33" t="s">
        <v>1639</v>
      </c>
      <c r="D1369" s="33" t="s">
        <v>1630</v>
      </c>
      <c r="E1369" s="33" t="s">
        <v>2869</v>
      </c>
      <c r="F1369" s="38" t="s">
        <v>132</v>
      </c>
    </row>
    <row r="1370" spans="1:6" ht="14.5" hidden="1" customHeight="1" x14ac:dyDescent="0.35">
      <c r="A1370" s="33" t="s">
        <v>1638</v>
      </c>
      <c r="B1370" s="33" t="s">
        <v>278</v>
      </c>
      <c r="C1370" s="33" t="s">
        <v>1639</v>
      </c>
      <c r="D1370" s="33" t="s">
        <v>1631</v>
      </c>
      <c r="E1370" s="33" t="s">
        <v>2870</v>
      </c>
      <c r="F1370" s="38" t="s">
        <v>56</v>
      </c>
    </row>
    <row r="1371" spans="1:6" ht="14.5" hidden="1" customHeight="1" x14ac:dyDescent="0.35">
      <c r="A1371" s="33" t="s">
        <v>1638</v>
      </c>
      <c r="B1371" s="33" t="s">
        <v>282</v>
      </c>
      <c r="C1371" s="33" t="s">
        <v>1639</v>
      </c>
      <c r="D1371" s="33" t="s">
        <v>1632</v>
      </c>
      <c r="E1371" s="33" t="s">
        <v>2859</v>
      </c>
      <c r="F1371" s="38" t="s">
        <v>56</v>
      </c>
    </row>
    <row r="1372" spans="1:6" ht="14.5" hidden="1" customHeight="1" x14ac:dyDescent="0.35">
      <c r="A1372" s="33" t="s">
        <v>1638</v>
      </c>
      <c r="B1372" s="33" t="s">
        <v>80</v>
      </c>
      <c r="C1372" s="33" t="s">
        <v>1639</v>
      </c>
      <c r="D1372" s="33" t="s">
        <v>1640</v>
      </c>
      <c r="E1372" s="33" t="s">
        <v>2845</v>
      </c>
      <c r="F1372" s="38" t="s">
        <v>50</v>
      </c>
    </row>
    <row r="1373" spans="1:6" ht="14.5" hidden="1" customHeight="1" x14ac:dyDescent="0.35">
      <c r="A1373" s="33" t="s">
        <v>1638</v>
      </c>
      <c r="B1373" s="33" t="s">
        <v>620</v>
      </c>
      <c r="C1373" s="33" t="s">
        <v>1639</v>
      </c>
      <c r="D1373" s="33" t="s">
        <v>1633</v>
      </c>
      <c r="E1373" s="33" t="s">
        <v>2860</v>
      </c>
      <c r="F1373" s="38" t="s">
        <v>50</v>
      </c>
    </row>
    <row r="1374" spans="1:6" ht="14.5" hidden="1" customHeight="1" x14ac:dyDescent="0.35">
      <c r="A1374" s="33" t="s">
        <v>1638</v>
      </c>
      <c r="B1374" s="33" t="s">
        <v>226</v>
      </c>
      <c r="C1374" s="33" t="s">
        <v>1639</v>
      </c>
      <c r="D1374" s="33" t="s">
        <v>1634</v>
      </c>
      <c r="E1374" s="33" t="s">
        <v>2845</v>
      </c>
      <c r="F1374" s="38" t="s">
        <v>50</v>
      </c>
    </row>
    <row r="1375" spans="1:6" ht="14.5" hidden="1" customHeight="1" x14ac:dyDescent="0.35">
      <c r="A1375" s="33" t="s">
        <v>1638</v>
      </c>
      <c r="B1375" s="33" t="s">
        <v>83</v>
      </c>
      <c r="C1375" s="33" t="s">
        <v>1639</v>
      </c>
      <c r="D1375" s="33" t="s">
        <v>1635</v>
      </c>
      <c r="E1375" s="33" t="s">
        <v>2844</v>
      </c>
      <c r="F1375" s="38" t="s">
        <v>48</v>
      </c>
    </row>
    <row r="1376" spans="1:6" ht="14.5" hidden="1" customHeight="1" x14ac:dyDescent="0.35">
      <c r="A1376" s="33" t="s">
        <v>1638</v>
      </c>
      <c r="B1376" s="33" t="s">
        <v>19</v>
      </c>
      <c r="C1376" s="33" t="s">
        <v>1639</v>
      </c>
      <c r="D1376" s="33" t="s">
        <v>1636</v>
      </c>
      <c r="E1376" s="33" t="s">
        <v>2839</v>
      </c>
      <c r="F1376" s="38" t="s">
        <v>48</v>
      </c>
    </row>
    <row r="1377" spans="1:6" ht="14.5" hidden="1" customHeight="1" x14ac:dyDescent="0.35">
      <c r="A1377" s="33" t="s">
        <v>1638</v>
      </c>
      <c r="B1377" s="33" t="s">
        <v>90</v>
      </c>
      <c r="C1377" s="33" t="s">
        <v>1639</v>
      </c>
      <c r="D1377" s="33" t="s">
        <v>1637</v>
      </c>
      <c r="E1377" s="33" t="s">
        <v>2843</v>
      </c>
      <c r="F1377" s="38" t="s">
        <v>56</v>
      </c>
    </row>
    <row r="1378" spans="1:6" ht="14.5" hidden="1" customHeight="1" x14ac:dyDescent="0.35">
      <c r="A1378" s="33" t="s">
        <v>2755</v>
      </c>
      <c r="B1378" s="33" t="s">
        <v>82</v>
      </c>
      <c r="C1378" s="33" t="s">
        <v>2770</v>
      </c>
      <c r="D1378" s="33" t="s">
        <v>2828</v>
      </c>
      <c r="E1378" s="33" t="s">
        <v>2849</v>
      </c>
      <c r="F1378" s="38" t="s">
        <v>48</v>
      </c>
    </row>
    <row r="1379" spans="1:6" ht="14.5" customHeight="1" x14ac:dyDescent="0.35">
      <c r="A1379" s="33" t="s">
        <v>2755</v>
      </c>
      <c r="B1379" s="33" t="s">
        <v>19</v>
      </c>
      <c r="C1379" s="33" t="s">
        <v>2770</v>
      </c>
      <c r="D1379" s="33" t="s">
        <v>2829</v>
      </c>
      <c r="E1379" s="33" t="s">
        <v>2879</v>
      </c>
      <c r="F1379" s="38" t="s">
        <v>1687</v>
      </c>
    </row>
    <row r="1380" spans="1:6" ht="14.5" hidden="1" customHeight="1" x14ac:dyDescent="0.35">
      <c r="A1380" s="33" t="s">
        <v>2755</v>
      </c>
      <c r="B1380" s="33" t="s">
        <v>84</v>
      </c>
      <c r="C1380" s="33" t="s">
        <v>2770</v>
      </c>
      <c r="D1380" s="33" t="s">
        <v>2830</v>
      </c>
      <c r="E1380" s="33" t="s">
        <v>2851</v>
      </c>
      <c r="F1380" s="38" t="s">
        <v>2740</v>
      </c>
    </row>
    <row r="1381" spans="1:6" ht="14.5" hidden="1" customHeight="1" x14ac:dyDescent="0.35">
      <c r="A1381" s="33" t="s">
        <v>2755</v>
      </c>
      <c r="B1381" s="33" t="s">
        <v>85</v>
      </c>
      <c r="C1381" s="33" t="s">
        <v>2770</v>
      </c>
      <c r="D1381" s="33" t="s">
        <v>2831</v>
      </c>
      <c r="E1381" s="33" t="s">
        <v>2846</v>
      </c>
      <c r="F1381" s="38" t="s">
        <v>56</v>
      </c>
    </row>
    <row r="1382" spans="1:6" ht="14.5" hidden="1" customHeight="1" x14ac:dyDescent="0.35">
      <c r="A1382" s="33" t="s">
        <v>2755</v>
      </c>
      <c r="B1382" s="33" t="s">
        <v>86</v>
      </c>
      <c r="C1382" s="33" t="s">
        <v>2770</v>
      </c>
      <c r="D1382" s="33" t="s">
        <v>2832</v>
      </c>
      <c r="E1382" s="33" t="s">
        <v>2854</v>
      </c>
      <c r="F1382" s="38" t="s">
        <v>50</v>
      </c>
    </row>
    <row r="1383" spans="1:6" ht="14.5" hidden="1" customHeight="1" x14ac:dyDescent="0.35">
      <c r="A1383" s="33" t="s">
        <v>2755</v>
      </c>
      <c r="B1383" s="33" t="s">
        <v>89</v>
      </c>
      <c r="C1383" s="33" t="s">
        <v>2770</v>
      </c>
      <c r="D1383" s="33" t="s">
        <v>2833</v>
      </c>
      <c r="E1383" s="33" t="s">
        <v>2852</v>
      </c>
      <c r="F1383" s="38" t="s">
        <v>2569</v>
      </c>
    </row>
    <row r="1384" spans="1:6" ht="14.5" hidden="1" customHeight="1" x14ac:dyDescent="0.35">
      <c r="A1384" s="33" t="s">
        <v>2755</v>
      </c>
      <c r="B1384" s="33" t="s">
        <v>87</v>
      </c>
      <c r="C1384" s="33" t="s">
        <v>2770</v>
      </c>
      <c r="D1384" s="33" t="s">
        <v>2834</v>
      </c>
      <c r="E1384" s="33" t="s">
        <v>2848</v>
      </c>
      <c r="F1384" s="38" t="s">
        <v>2912</v>
      </c>
    </row>
    <row r="1385" spans="1:6" ht="14.5" hidden="1" customHeight="1" x14ac:dyDescent="0.35">
      <c r="A1385" s="33" t="s">
        <v>2755</v>
      </c>
      <c r="B1385" s="33" t="s">
        <v>88</v>
      </c>
      <c r="C1385" s="33" t="s">
        <v>2770</v>
      </c>
      <c r="D1385" s="33" t="s">
        <v>2835</v>
      </c>
      <c r="E1385" s="33" t="s">
        <v>2853</v>
      </c>
      <c r="F1385" s="38" t="s">
        <v>54</v>
      </c>
    </row>
    <row r="1386" spans="1:6" ht="14.5" hidden="1" customHeight="1" x14ac:dyDescent="0.35">
      <c r="A1386" s="33" t="s">
        <v>2755</v>
      </c>
      <c r="B1386" s="33" t="s">
        <v>90</v>
      </c>
      <c r="C1386" s="33" t="s">
        <v>2770</v>
      </c>
      <c r="D1386" s="33" t="s">
        <v>2836</v>
      </c>
      <c r="E1386" s="33" t="s">
        <v>2857</v>
      </c>
      <c r="F1386" s="38" t="s">
        <v>132</v>
      </c>
    </row>
    <row r="1387" spans="1:6" ht="14.5" hidden="1" customHeight="1" x14ac:dyDescent="0.35">
      <c r="A1387" s="33" t="s">
        <v>1641</v>
      </c>
      <c r="B1387" s="33" t="s">
        <v>80</v>
      </c>
      <c r="C1387" s="33" t="s">
        <v>1642</v>
      </c>
      <c r="D1387" s="33" t="s">
        <v>1643</v>
      </c>
      <c r="E1387" s="33" t="s">
        <v>2843</v>
      </c>
      <c r="F1387" s="38" t="s">
        <v>56</v>
      </c>
    </row>
    <row r="1388" spans="1:6" ht="14.5" hidden="1" customHeight="1" x14ac:dyDescent="0.35">
      <c r="A1388" s="33" t="s">
        <v>1641</v>
      </c>
      <c r="B1388" s="33" t="s">
        <v>82</v>
      </c>
      <c r="C1388" s="33" t="s">
        <v>1642</v>
      </c>
      <c r="D1388" s="33" t="s">
        <v>1644</v>
      </c>
      <c r="E1388" s="33" t="s">
        <v>2861</v>
      </c>
      <c r="F1388" s="38" t="s">
        <v>2740</v>
      </c>
    </row>
    <row r="1389" spans="1:6" ht="14.5" hidden="1" customHeight="1" x14ac:dyDescent="0.35">
      <c r="A1389" s="33" t="s">
        <v>1641</v>
      </c>
      <c r="B1389" s="33" t="s">
        <v>19</v>
      </c>
      <c r="C1389" s="33" t="s">
        <v>1642</v>
      </c>
      <c r="D1389" s="33" t="s">
        <v>1645</v>
      </c>
      <c r="E1389" s="33" t="s">
        <v>2870</v>
      </c>
      <c r="F1389" s="38" t="s">
        <v>56</v>
      </c>
    </row>
    <row r="1390" spans="1:6" ht="14.5" hidden="1" customHeight="1" x14ac:dyDescent="0.35">
      <c r="A1390" s="33" t="s">
        <v>1641</v>
      </c>
      <c r="B1390" s="33" t="s">
        <v>84</v>
      </c>
      <c r="C1390" s="33" t="s">
        <v>1642</v>
      </c>
      <c r="D1390" s="33" t="s">
        <v>1646</v>
      </c>
      <c r="E1390" s="33" t="s">
        <v>2845</v>
      </c>
      <c r="F1390" s="38" t="s">
        <v>50</v>
      </c>
    </row>
    <row r="1391" spans="1:6" ht="14.5" hidden="1" customHeight="1" x14ac:dyDescent="0.35">
      <c r="A1391" s="33" t="s">
        <v>1641</v>
      </c>
      <c r="B1391" s="33" t="s">
        <v>85</v>
      </c>
      <c r="C1391" s="33" t="s">
        <v>1642</v>
      </c>
      <c r="D1391" s="33" t="s">
        <v>1647</v>
      </c>
      <c r="E1391" s="33" t="s">
        <v>2869</v>
      </c>
      <c r="F1391" s="38" t="s">
        <v>132</v>
      </c>
    </row>
    <row r="1392" spans="1:6" ht="14.5" hidden="1" customHeight="1" x14ac:dyDescent="0.35">
      <c r="A1392" s="33" t="s">
        <v>1641</v>
      </c>
      <c r="B1392" s="33" t="s">
        <v>86</v>
      </c>
      <c r="C1392" s="33" t="s">
        <v>1642</v>
      </c>
      <c r="D1392" s="33" t="s">
        <v>1648</v>
      </c>
      <c r="E1392" s="33" t="s">
        <v>2861</v>
      </c>
      <c r="F1392" s="38" t="s">
        <v>2740</v>
      </c>
    </row>
    <row r="1393" spans="1:6" ht="14.5" hidden="1" customHeight="1" x14ac:dyDescent="0.35">
      <c r="A1393" s="33" t="s">
        <v>1641</v>
      </c>
      <c r="B1393" s="33" t="s">
        <v>89</v>
      </c>
      <c r="C1393" s="33" t="s">
        <v>1642</v>
      </c>
      <c r="D1393" s="33" t="s">
        <v>1649</v>
      </c>
      <c r="E1393" s="33" t="s">
        <v>2859</v>
      </c>
      <c r="F1393" s="38" t="s">
        <v>56</v>
      </c>
    </row>
    <row r="1394" spans="1:6" ht="14.5" hidden="1" customHeight="1" x14ac:dyDescent="0.35">
      <c r="A1394" s="33" t="s">
        <v>1641</v>
      </c>
      <c r="B1394" s="33" t="s">
        <v>87</v>
      </c>
      <c r="C1394" s="33" t="s">
        <v>1642</v>
      </c>
      <c r="D1394" s="33" t="s">
        <v>1650</v>
      </c>
      <c r="E1394" s="33" t="s">
        <v>2845</v>
      </c>
      <c r="F1394" s="38" t="s">
        <v>50</v>
      </c>
    </row>
    <row r="1395" spans="1:6" ht="14.5" hidden="1" customHeight="1" x14ac:dyDescent="0.35">
      <c r="A1395" s="33" t="s">
        <v>1641</v>
      </c>
      <c r="B1395" s="33" t="s">
        <v>88</v>
      </c>
      <c r="C1395" s="33" t="s">
        <v>1642</v>
      </c>
      <c r="D1395" s="33" t="s">
        <v>1651</v>
      </c>
      <c r="E1395" s="33" t="s">
        <v>2843</v>
      </c>
      <c r="F1395" s="38" t="s">
        <v>56</v>
      </c>
    </row>
    <row r="1396" spans="1:6" ht="14.5" hidden="1" customHeight="1" x14ac:dyDescent="0.35">
      <c r="A1396" s="33" t="s">
        <v>1652</v>
      </c>
      <c r="B1396" s="33" t="s">
        <v>80</v>
      </c>
      <c r="C1396" s="33" t="s">
        <v>1653</v>
      </c>
      <c r="D1396" s="33" t="s">
        <v>1643</v>
      </c>
      <c r="E1396" s="33" t="s">
        <v>2843</v>
      </c>
      <c r="F1396" s="38" t="s">
        <v>56</v>
      </c>
    </row>
    <row r="1397" spans="1:6" ht="14.5" hidden="1" customHeight="1" x14ac:dyDescent="0.35">
      <c r="A1397" s="33" t="s">
        <v>1652</v>
      </c>
      <c r="B1397" s="33" t="s">
        <v>82</v>
      </c>
      <c r="C1397" s="33" t="s">
        <v>1653</v>
      </c>
      <c r="D1397" s="33" t="s">
        <v>1644</v>
      </c>
      <c r="E1397" s="33" t="s">
        <v>2861</v>
      </c>
      <c r="F1397" s="38" t="s">
        <v>2740</v>
      </c>
    </row>
    <row r="1398" spans="1:6" ht="14.5" hidden="1" customHeight="1" x14ac:dyDescent="0.35">
      <c r="A1398" s="33" t="s">
        <v>1652</v>
      </c>
      <c r="B1398" s="33" t="s">
        <v>19</v>
      </c>
      <c r="C1398" s="33" t="s">
        <v>1653</v>
      </c>
      <c r="D1398" s="33" t="s">
        <v>1645</v>
      </c>
      <c r="E1398" s="33" t="s">
        <v>2870</v>
      </c>
      <c r="F1398" s="38" t="s">
        <v>56</v>
      </c>
    </row>
    <row r="1399" spans="1:6" ht="14.5" hidden="1" customHeight="1" x14ac:dyDescent="0.35">
      <c r="A1399" s="33" t="s">
        <v>1652</v>
      </c>
      <c r="B1399" s="33" t="s">
        <v>84</v>
      </c>
      <c r="C1399" s="33" t="s">
        <v>1653</v>
      </c>
      <c r="D1399" s="33" t="s">
        <v>1646</v>
      </c>
      <c r="E1399" s="33" t="s">
        <v>2845</v>
      </c>
      <c r="F1399" s="38" t="s">
        <v>50</v>
      </c>
    </row>
    <row r="1400" spans="1:6" ht="14.5" hidden="1" customHeight="1" x14ac:dyDescent="0.35">
      <c r="A1400" s="33" t="s">
        <v>1652</v>
      </c>
      <c r="B1400" s="33" t="s">
        <v>85</v>
      </c>
      <c r="C1400" s="33" t="s">
        <v>1653</v>
      </c>
      <c r="D1400" s="33" t="s">
        <v>1647</v>
      </c>
      <c r="E1400" s="33" t="s">
        <v>2869</v>
      </c>
      <c r="F1400" s="38" t="s">
        <v>132</v>
      </c>
    </row>
    <row r="1401" spans="1:6" ht="14.5" hidden="1" customHeight="1" x14ac:dyDescent="0.35">
      <c r="A1401" s="33" t="s">
        <v>1652</v>
      </c>
      <c r="B1401" s="33" t="s">
        <v>86</v>
      </c>
      <c r="C1401" s="33" t="s">
        <v>1653</v>
      </c>
      <c r="D1401" s="33" t="s">
        <v>1648</v>
      </c>
      <c r="E1401" s="33" t="s">
        <v>2861</v>
      </c>
      <c r="F1401" s="38" t="s">
        <v>2740</v>
      </c>
    </row>
    <row r="1402" spans="1:6" ht="14.5" hidden="1" customHeight="1" x14ac:dyDescent="0.35">
      <c r="A1402" s="33" t="s">
        <v>1652</v>
      </c>
      <c r="B1402" s="33" t="s">
        <v>89</v>
      </c>
      <c r="C1402" s="33" t="s">
        <v>1653</v>
      </c>
      <c r="D1402" s="33" t="s">
        <v>1649</v>
      </c>
      <c r="E1402" s="33" t="s">
        <v>2859</v>
      </c>
      <c r="F1402" s="38" t="s">
        <v>56</v>
      </c>
    </row>
    <row r="1403" spans="1:6" ht="14.5" hidden="1" customHeight="1" x14ac:dyDescent="0.35">
      <c r="A1403" s="33" t="s">
        <v>1652</v>
      </c>
      <c r="B1403" s="33" t="s">
        <v>87</v>
      </c>
      <c r="C1403" s="33" t="s">
        <v>1653</v>
      </c>
      <c r="D1403" s="33" t="s">
        <v>1650</v>
      </c>
      <c r="E1403" s="33" t="s">
        <v>2845</v>
      </c>
      <c r="F1403" s="38" t="s">
        <v>50</v>
      </c>
    </row>
    <row r="1404" spans="1:6" ht="14.5" hidden="1" customHeight="1" x14ac:dyDescent="0.35">
      <c r="A1404" s="33" t="s">
        <v>1652</v>
      </c>
      <c r="B1404" s="33" t="s">
        <v>88</v>
      </c>
      <c r="C1404" s="33" t="s">
        <v>1653</v>
      </c>
      <c r="D1404" s="33" t="s">
        <v>1651</v>
      </c>
      <c r="E1404" s="33" t="s">
        <v>2843</v>
      </c>
      <c r="F1404" s="38" t="s">
        <v>56</v>
      </c>
    </row>
    <row r="1405" spans="1:6" ht="14.5" hidden="1" customHeight="1" x14ac:dyDescent="0.35">
      <c r="A1405" s="33" t="s">
        <v>1654</v>
      </c>
      <c r="B1405" s="33" t="s">
        <v>80</v>
      </c>
      <c r="C1405" s="33" t="s">
        <v>1655</v>
      </c>
      <c r="D1405" s="33" t="s">
        <v>1656</v>
      </c>
      <c r="E1405" s="33" t="s">
        <v>2843</v>
      </c>
      <c r="F1405" s="38" t="s">
        <v>56</v>
      </c>
    </row>
    <row r="1406" spans="1:6" ht="14.5" hidden="1" customHeight="1" x14ac:dyDescent="0.35">
      <c r="A1406" s="33" t="s">
        <v>1654</v>
      </c>
      <c r="B1406" s="33" t="s">
        <v>226</v>
      </c>
      <c r="C1406" s="33" t="s">
        <v>1655</v>
      </c>
      <c r="D1406" s="33" t="s">
        <v>1657</v>
      </c>
      <c r="E1406" s="33" t="s">
        <v>2845</v>
      </c>
      <c r="F1406" s="38" t="s">
        <v>50</v>
      </c>
    </row>
    <row r="1407" spans="1:6" ht="14.5" hidden="1" customHeight="1" x14ac:dyDescent="0.35">
      <c r="A1407" s="33" t="s">
        <v>1654</v>
      </c>
      <c r="B1407" s="33" t="s">
        <v>82</v>
      </c>
      <c r="C1407" s="33" t="s">
        <v>1655</v>
      </c>
      <c r="D1407" s="33" t="s">
        <v>1658</v>
      </c>
      <c r="E1407" s="33" t="s">
        <v>2845</v>
      </c>
      <c r="F1407" s="38" t="s">
        <v>50</v>
      </c>
    </row>
    <row r="1408" spans="1:6" ht="14.5" hidden="1" customHeight="1" x14ac:dyDescent="0.35">
      <c r="A1408" s="33" t="s">
        <v>1654</v>
      </c>
      <c r="B1408" s="33" t="s">
        <v>769</v>
      </c>
      <c r="C1408" s="33" t="s">
        <v>1655</v>
      </c>
      <c r="D1408" s="33" t="s">
        <v>1659</v>
      </c>
      <c r="E1408" s="33" t="s">
        <v>2845</v>
      </c>
      <c r="F1408" s="38" t="s">
        <v>50</v>
      </c>
    </row>
    <row r="1409" spans="1:6" ht="14.5" hidden="1" customHeight="1" x14ac:dyDescent="0.35">
      <c r="A1409" s="33" t="s">
        <v>1654</v>
      </c>
      <c r="B1409" s="33" t="s">
        <v>215</v>
      </c>
      <c r="C1409" s="33" t="s">
        <v>1655</v>
      </c>
      <c r="D1409" s="33" t="s">
        <v>1660</v>
      </c>
      <c r="E1409" s="33" t="s">
        <v>2870</v>
      </c>
      <c r="F1409" s="38" t="s">
        <v>56</v>
      </c>
    </row>
    <row r="1410" spans="1:6" ht="14.5" hidden="1" customHeight="1" x14ac:dyDescent="0.35">
      <c r="A1410" s="33" t="s">
        <v>1654</v>
      </c>
      <c r="B1410" s="33" t="s">
        <v>19</v>
      </c>
      <c r="C1410" s="33" t="s">
        <v>1655</v>
      </c>
      <c r="D1410" s="33" t="s">
        <v>1661</v>
      </c>
      <c r="E1410" s="33" t="s">
        <v>2861</v>
      </c>
      <c r="F1410" s="38" t="s">
        <v>2740</v>
      </c>
    </row>
    <row r="1411" spans="1:6" ht="14.5" hidden="1" customHeight="1" x14ac:dyDescent="0.35">
      <c r="A1411" s="33" t="s">
        <v>1654</v>
      </c>
      <c r="B1411" s="33" t="s">
        <v>84</v>
      </c>
      <c r="C1411" s="33" t="s">
        <v>1655</v>
      </c>
      <c r="D1411" s="33" t="s">
        <v>1662</v>
      </c>
      <c r="E1411" s="33" t="s">
        <v>2859</v>
      </c>
      <c r="F1411" s="38" t="s">
        <v>56</v>
      </c>
    </row>
    <row r="1412" spans="1:6" ht="14.5" hidden="1" customHeight="1" x14ac:dyDescent="0.35">
      <c r="A1412" s="33" t="s">
        <v>1654</v>
      </c>
      <c r="B1412" s="33" t="s">
        <v>432</v>
      </c>
      <c r="C1412" s="33" t="s">
        <v>1655</v>
      </c>
      <c r="D1412" s="33" t="s">
        <v>1663</v>
      </c>
      <c r="E1412" s="33" t="s">
        <v>2845</v>
      </c>
      <c r="F1412" s="38" t="s">
        <v>50</v>
      </c>
    </row>
    <row r="1413" spans="1:6" ht="14.5" hidden="1" customHeight="1" x14ac:dyDescent="0.35">
      <c r="A1413" s="33" t="s">
        <v>1654</v>
      </c>
      <c r="B1413" s="33" t="s">
        <v>85</v>
      </c>
      <c r="C1413" s="33" t="s">
        <v>1655</v>
      </c>
      <c r="D1413" s="33" t="s">
        <v>1664</v>
      </c>
      <c r="E1413" s="33" t="s">
        <v>2843</v>
      </c>
      <c r="F1413" s="38" t="s">
        <v>56</v>
      </c>
    </row>
    <row r="1414" spans="1:6" ht="14.5" hidden="1" customHeight="1" x14ac:dyDescent="0.35">
      <c r="A1414" s="33" t="s">
        <v>1665</v>
      </c>
      <c r="B1414" s="33" t="s">
        <v>80</v>
      </c>
      <c r="C1414" s="33" t="s">
        <v>1666</v>
      </c>
      <c r="D1414" s="33" t="s">
        <v>1656</v>
      </c>
      <c r="E1414" s="33" t="s">
        <v>2843</v>
      </c>
      <c r="F1414" s="38" t="s">
        <v>56</v>
      </c>
    </row>
    <row r="1415" spans="1:6" ht="14.5" hidden="1" customHeight="1" x14ac:dyDescent="0.35">
      <c r="A1415" s="33" t="s">
        <v>1665</v>
      </c>
      <c r="B1415" s="33" t="s">
        <v>226</v>
      </c>
      <c r="C1415" s="33" t="s">
        <v>1666</v>
      </c>
      <c r="D1415" s="33" t="s">
        <v>1657</v>
      </c>
      <c r="E1415" s="33" t="s">
        <v>2845</v>
      </c>
      <c r="F1415" s="38" t="s">
        <v>50</v>
      </c>
    </row>
    <row r="1416" spans="1:6" ht="14.5" hidden="1" customHeight="1" x14ac:dyDescent="0.35">
      <c r="A1416" s="33" t="s">
        <v>1665</v>
      </c>
      <c r="B1416" s="33" t="s">
        <v>82</v>
      </c>
      <c r="C1416" s="33" t="s">
        <v>1666</v>
      </c>
      <c r="D1416" s="33" t="s">
        <v>1658</v>
      </c>
      <c r="E1416" s="33" t="s">
        <v>2845</v>
      </c>
      <c r="F1416" s="38" t="s">
        <v>50</v>
      </c>
    </row>
    <row r="1417" spans="1:6" ht="14.5" hidden="1" customHeight="1" x14ac:dyDescent="0.35">
      <c r="A1417" s="33" t="s">
        <v>1665</v>
      </c>
      <c r="B1417" s="33" t="s">
        <v>769</v>
      </c>
      <c r="C1417" s="33" t="s">
        <v>1666</v>
      </c>
      <c r="D1417" s="33" t="s">
        <v>1659</v>
      </c>
      <c r="E1417" s="33" t="s">
        <v>2845</v>
      </c>
      <c r="F1417" s="38" t="s">
        <v>50</v>
      </c>
    </row>
    <row r="1418" spans="1:6" ht="14.5" hidden="1" customHeight="1" x14ac:dyDescent="0.35">
      <c r="A1418" s="33" t="s">
        <v>1665</v>
      </c>
      <c r="B1418" s="33" t="s">
        <v>215</v>
      </c>
      <c r="C1418" s="33" t="s">
        <v>1666</v>
      </c>
      <c r="D1418" s="33" t="s">
        <v>1660</v>
      </c>
      <c r="E1418" s="33" t="s">
        <v>2870</v>
      </c>
      <c r="F1418" s="38" t="s">
        <v>56</v>
      </c>
    </row>
    <row r="1419" spans="1:6" ht="14.5" hidden="1" customHeight="1" x14ac:dyDescent="0.35">
      <c r="A1419" s="33" t="s">
        <v>1665</v>
      </c>
      <c r="B1419" s="33" t="s">
        <v>19</v>
      </c>
      <c r="C1419" s="33" t="s">
        <v>1666</v>
      </c>
      <c r="D1419" s="33" t="s">
        <v>1661</v>
      </c>
      <c r="E1419" s="33" t="s">
        <v>2861</v>
      </c>
      <c r="F1419" s="38" t="s">
        <v>2740</v>
      </c>
    </row>
    <row r="1420" spans="1:6" ht="14.5" hidden="1" customHeight="1" x14ac:dyDescent="0.35">
      <c r="A1420" s="33" t="s">
        <v>1665</v>
      </c>
      <c r="B1420" s="33" t="s">
        <v>84</v>
      </c>
      <c r="C1420" s="33" t="s">
        <v>1666</v>
      </c>
      <c r="D1420" s="33" t="s">
        <v>1662</v>
      </c>
      <c r="E1420" s="33" t="s">
        <v>2859</v>
      </c>
      <c r="F1420" s="38" t="s">
        <v>56</v>
      </c>
    </row>
    <row r="1421" spans="1:6" ht="14.5" hidden="1" customHeight="1" x14ac:dyDescent="0.35">
      <c r="A1421" s="33" t="s">
        <v>1665</v>
      </c>
      <c r="B1421" s="33" t="s">
        <v>432</v>
      </c>
      <c r="C1421" s="33" t="s">
        <v>1666</v>
      </c>
      <c r="D1421" s="33" t="s">
        <v>1663</v>
      </c>
      <c r="E1421" s="33" t="s">
        <v>2845</v>
      </c>
      <c r="F1421" s="38" t="s">
        <v>50</v>
      </c>
    </row>
    <row r="1422" spans="1:6" ht="14.5" hidden="1" customHeight="1" x14ac:dyDescent="0.35">
      <c r="A1422" s="33" t="s">
        <v>1665</v>
      </c>
      <c r="B1422" s="33" t="s">
        <v>85</v>
      </c>
      <c r="C1422" s="33" t="s">
        <v>1666</v>
      </c>
      <c r="D1422" s="33" t="s">
        <v>1664</v>
      </c>
      <c r="E1422" s="33" t="s">
        <v>2843</v>
      </c>
      <c r="F1422" s="38" t="s">
        <v>56</v>
      </c>
    </row>
    <row r="1423" spans="1:6" ht="14.5" hidden="1" customHeight="1" x14ac:dyDescent="0.35">
      <c r="A1423" s="33" t="s">
        <v>1667</v>
      </c>
      <c r="B1423" s="33" t="s">
        <v>80</v>
      </c>
      <c r="C1423" s="33" t="s">
        <v>1668</v>
      </c>
      <c r="D1423" s="33" t="s">
        <v>1669</v>
      </c>
      <c r="E1423" s="33" t="s">
        <v>2873</v>
      </c>
      <c r="F1423" s="38" t="s">
        <v>132</v>
      </c>
    </row>
    <row r="1424" spans="1:6" ht="14.5" hidden="1" customHeight="1" x14ac:dyDescent="0.35">
      <c r="A1424" s="33" t="s">
        <v>1670</v>
      </c>
      <c r="B1424" s="33" t="s">
        <v>80</v>
      </c>
      <c r="C1424" s="33" t="s">
        <v>1671</v>
      </c>
      <c r="D1424" s="33" t="s">
        <v>1672</v>
      </c>
      <c r="E1424" s="33" t="s">
        <v>2873</v>
      </c>
      <c r="F1424" s="38" t="s">
        <v>132</v>
      </c>
    </row>
    <row r="1425" spans="1:6" ht="14.5" hidden="1" customHeight="1" x14ac:dyDescent="0.35">
      <c r="A1425" s="33" t="s">
        <v>1673</v>
      </c>
      <c r="B1425" s="33" t="s">
        <v>80</v>
      </c>
      <c r="C1425" s="33" t="s">
        <v>1674</v>
      </c>
      <c r="D1425" s="33" t="s">
        <v>1675</v>
      </c>
      <c r="E1425" s="33" t="s">
        <v>2873</v>
      </c>
      <c r="F1425" s="38" t="s">
        <v>132</v>
      </c>
    </row>
    <row r="1426" spans="1:6" ht="14.5" hidden="1" customHeight="1" x14ac:dyDescent="0.35">
      <c r="A1426" s="33" t="s">
        <v>1676</v>
      </c>
      <c r="B1426" s="33" t="s">
        <v>80</v>
      </c>
      <c r="C1426" s="33" t="s">
        <v>1677</v>
      </c>
      <c r="D1426" s="33" t="s">
        <v>1678</v>
      </c>
      <c r="E1426" s="33" t="s">
        <v>2837</v>
      </c>
      <c r="F1426" s="38" t="s">
        <v>742</v>
      </c>
    </row>
    <row r="1427" spans="1:6" ht="14.5" hidden="1" customHeight="1" x14ac:dyDescent="0.35">
      <c r="A1427" s="33" t="s">
        <v>1681</v>
      </c>
      <c r="B1427" s="33" t="s">
        <v>82</v>
      </c>
      <c r="C1427" s="33" t="s">
        <v>1682</v>
      </c>
      <c r="D1427" s="33" t="s">
        <v>1683</v>
      </c>
      <c r="E1427" s="33" t="s">
        <v>2837</v>
      </c>
      <c r="F1427" s="38" t="s">
        <v>742</v>
      </c>
    </row>
    <row r="1428" spans="1:6" ht="14.5" customHeight="1" x14ac:dyDescent="0.35">
      <c r="A1428" s="33" t="s">
        <v>1684</v>
      </c>
      <c r="B1428" s="33" t="s">
        <v>80</v>
      </c>
      <c r="C1428" s="33" t="s">
        <v>1685</v>
      </c>
      <c r="D1428" s="33" t="s">
        <v>1686</v>
      </c>
      <c r="E1428" s="33" t="s">
        <v>2879</v>
      </c>
      <c r="F1428" s="38" t="s">
        <v>1687</v>
      </c>
    </row>
    <row r="1429" spans="1:6" ht="14.5" hidden="1" customHeight="1" x14ac:dyDescent="0.35">
      <c r="A1429" s="33" t="s">
        <v>1684</v>
      </c>
      <c r="B1429" s="33" t="s">
        <v>82</v>
      </c>
      <c r="C1429" s="33" t="s">
        <v>1685</v>
      </c>
      <c r="D1429" s="33" t="s">
        <v>1688</v>
      </c>
      <c r="E1429" s="33" t="s">
        <v>2837</v>
      </c>
      <c r="F1429" s="38" t="s">
        <v>742</v>
      </c>
    </row>
    <row r="1430" spans="1:6" ht="14.5" customHeight="1" x14ac:dyDescent="0.35">
      <c r="A1430" s="33" t="s">
        <v>1684</v>
      </c>
      <c r="B1430" s="33" t="s">
        <v>83</v>
      </c>
      <c r="C1430" s="33" t="s">
        <v>1685</v>
      </c>
      <c r="D1430" s="33" t="s">
        <v>1689</v>
      </c>
      <c r="E1430" s="33" t="s">
        <v>2879</v>
      </c>
      <c r="F1430" s="38" t="s">
        <v>1687</v>
      </c>
    </row>
    <row r="1431" spans="1:6" ht="14.5" hidden="1" customHeight="1" x14ac:dyDescent="0.35">
      <c r="A1431" s="33" t="s">
        <v>1684</v>
      </c>
      <c r="B1431" s="33" t="s">
        <v>174</v>
      </c>
      <c r="C1431" s="33" t="s">
        <v>1685</v>
      </c>
      <c r="D1431" s="33" t="s">
        <v>1690</v>
      </c>
      <c r="E1431" s="33" t="s">
        <v>2839</v>
      </c>
      <c r="F1431" s="38" t="s">
        <v>48</v>
      </c>
    </row>
    <row r="1432" spans="1:6" ht="14.5" hidden="1" customHeight="1" x14ac:dyDescent="0.35">
      <c r="A1432" s="33" t="s">
        <v>1684</v>
      </c>
      <c r="B1432" s="33" t="s">
        <v>84</v>
      </c>
      <c r="C1432" s="33" t="s">
        <v>1685</v>
      </c>
      <c r="D1432" s="33" t="s">
        <v>1691</v>
      </c>
      <c r="E1432" s="33" t="s">
        <v>2844</v>
      </c>
      <c r="F1432" s="38" t="s">
        <v>48</v>
      </c>
    </row>
    <row r="1433" spans="1:6" ht="14.5" hidden="1" customHeight="1" x14ac:dyDescent="0.35">
      <c r="A1433" s="33" t="s">
        <v>1684</v>
      </c>
      <c r="B1433" s="33" t="s">
        <v>86</v>
      </c>
      <c r="C1433" s="33" t="s">
        <v>1685</v>
      </c>
      <c r="D1433" s="33" t="s">
        <v>1692</v>
      </c>
      <c r="E1433" s="33" t="s">
        <v>2837</v>
      </c>
      <c r="F1433" s="38" t="s">
        <v>742</v>
      </c>
    </row>
    <row r="1434" spans="1:6" ht="14.5" customHeight="1" x14ac:dyDescent="0.35">
      <c r="A1434" s="33" t="s">
        <v>1684</v>
      </c>
      <c r="B1434" s="33" t="s">
        <v>89</v>
      </c>
      <c r="C1434" s="33" t="s">
        <v>1685</v>
      </c>
      <c r="D1434" s="33" t="s">
        <v>1693</v>
      </c>
      <c r="E1434" s="33" t="s">
        <v>2879</v>
      </c>
      <c r="F1434" s="38" t="s">
        <v>1687</v>
      </c>
    </row>
    <row r="1435" spans="1:6" ht="14.5" hidden="1" customHeight="1" x14ac:dyDescent="0.35">
      <c r="A1435" s="33" t="s">
        <v>1705</v>
      </c>
      <c r="B1435" s="33" t="s">
        <v>378</v>
      </c>
      <c r="C1435" s="33" t="s">
        <v>1706</v>
      </c>
      <c r="D1435" s="33" t="s">
        <v>1707</v>
      </c>
      <c r="E1435" s="33" t="s">
        <v>2845</v>
      </c>
      <c r="F1435" s="38" t="s">
        <v>50</v>
      </c>
    </row>
    <row r="1436" spans="1:6" ht="14.5" hidden="1" customHeight="1" x14ac:dyDescent="0.35">
      <c r="A1436" s="33" t="s">
        <v>1705</v>
      </c>
      <c r="B1436" s="33" t="s">
        <v>86</v>
      </c>
      <c r="C1436" s="33" t="s">
        <v>1706</v>
      </c>
      <c r="D1436" s="33" t="s">
        <v>1708</v>
      </c>
      <c r="E1436" s="33" t="s">
        <v>2843</v>
      </c>
      <c r="F1436" s="38" t="s">
        <v>56</v>
      </c>
    </row>
    <row r="1437" spans="1:6" ht="14.5" hidden="1" customHeight="1" x14ac:dyDescent="0.35">
      <c r="A1437" s="33" t="s">
        <v>1705</v>
      </c>
      <c r="B1437" s="33" t="s">
        <v>89</v>
      </c>
      <c r="C1437" s="33" t="s">
        <v>1706</v>
      </c>
      <c r="D1437" s="33" t="s">
        <v>1709</v>
      </c>
      <c r="E1437" s="33" t="s">
        <v>2845</v>
      </c>
      <c r="F1437" s="38" t="s">
        <v>50</v>
      </c>
    </row>
    <row r="1438" spans="1:6" ht="14.5" hidden="1" customHeight="1" x14ac:dyDescent="0.35">
      <c r="A1438" s="33" t="s">
        <v>1705</v>
      </c>
      <c r="B1438" s="33" t="s">
        <v>88</v>
      </c>
      <c r="C1438" s="33" t="s">
        <v>1706</v>
      </c>
      <c r="D1438" s="33" t="s">
        <v>1710</v>
      </c>
      <c r="E1438" s="33" t="s">
        <v>2844</v>
      </c>
      <c r="F1438" s="38" t="s">
        <v>48</v>
      </c>
    </row>
    <row r="1439" spans="1:6" ht="14.5" hidden="1" customHeight="1" x14ac:dyDescent="0.35">
      <c r="A1439" s="33" t="s">
        <v>1705</v>
      </c>
      <c r="B1439" s="33" t="s">
        <v>90</v>
      </c>
      <c r="C1439" s="33" t="s">
        <v>1706</v>
      </c>
      <c r="D1439" s="33" t="s">
        <v>1711</v>
      </c>
      <c r="E1439" s="33" t="s">
        <v>2839</v>
      </c>
      <c r="F1439" s="38" t="s">
        <v>48</v>
      </c>
    </row>
    <row r="1440" spans="1:6" ht="14.5" hidden="1" customHeight="1" x14ac:dyDescent="0.35">
      <c r="A1440" s="33" t="s">
        <v>1705</v>
      </c>
      <c r="B1440" s="33" t="s">
        <v>92</v>
      </c>
      <c r="C1440" s="33" t="s">
        <v>1706</v>
      </c>
      <c r="D1440" s="33" t="s">
        <v>1712</v>
      </c>
      <c r="E1440" s="33" t="s">
        <v>2843</v>
      </c>
      <c r="F1440" s="38" t="s">
        <v>56</v>
      </c>
    </row>
    <row r="1441" spans="1:6" ht="14.5" customHeight="1" x14ac:dyDescent="0.35">
      <c r="A1441" s="33" t="s">
        <v>1713</v>
      </c>
      <c r="B1441" s="33" t="s">
        <v>80</v>
      </c>
      <c r="C1441" s="33" t="s">
        <v>1714</v>
      </c>
      <c r="D1441" s="33" t="s">
        <v>1715</v>
      </c>
      <c r="E1441" s="33" t="s">
        <v>2879</v>
      </c>
      <c r="F1441" s="38" t="s">
        <v>1687</v>
      </c>
    </row>
    <row r="1442" spans="1:6" ht="14.5" hidden="1" customHeight="1" x14ac:dyDescent="0.35">
      <c r="A1442" s="33" t="s">
        <v>1713</v>
      </c>
      <c r="B1442" s="33" t="s">
        <v>82</v>
      </c>
      <c r="C1442" s="33" t="s">
        <v>1714</v>
      </c>
      <c r="D1442" s="33" t="s">
        <v>1716</v>
      </c>
      <c r="E1442" s="33" t="s">
        <v>2870</v>
      </c>
      <c r="F1442" s="38" t="s">
        <v>56</v>
      </c>
    </row>
    <row r="1443" spans="1:6" ht="14.5" hidden="1" customHeight="1" x14ac:dyDescent="0.35">
      <c r="A1443" s="33" t="s">
        <v>1713</v>
      </c>
      <c r="B1443" s="33" t="s">
        <v>83</v>
      </c>
      <c r="C1443" s="33" t="s">
        <v>1714</v>
      </c>
      <c r="D1443" s="33" t="s">
        <v>1717</v>
      </c>
      <c r="E1443" s="33" t="s">
        <v>2859</v>
      </c>
      <c r="F1443" s="38" t="s">
        <v>56</v>
      </c>
    </row>
    <row r="1444" spans="1:6" ht="14.5" customHeight="1" x14ac:dyDescent="0.35">
      <c r="A1444" s="33" t="s">
        <v>1713</v>
      </c>
      <c r="B1444" s="33" t="s">
        <v>19</v>
      </c>
      <c r="C1444" s="33" t="s">
        <v>1714</v>
      </c>
      <c r="D1444" s="33" t="s">
        <v>1718</v>
      </c>
      <c r="E1444" s="33" t="s">
        <v>2879</v>
      </c>
      <c r="F1444" s="38" t="s">
        <v>1687</v>
      </c>
    </row>
    <row r="1445" spans="1:6" ht="14.5" hidden="1" customHeight="1" x14ac:dyDescent="0.35">
      <c r="A1445" s="33" t="s">
        <v>1721</v>
      </c>
      <c r="B1445" s="33" t="s">
        <v>80</v>
      </c>
      <c r="C1445" s="33" t="s">
        <v>1722</v>
      </c>
      <c r="D1445" s="33" t="s">
        <v>1722</v>
      </c>
      <c r="E1445" s="33" t="s">
        <v>2845</v>
      </c>
      <c r="F1445" s="38" t="s">
        <v>50</v>
      </c>
    </row>
    <row r="1446" spans="1:6" ht="14.5" hidden="1" customHeight="1" x14ac:dyDescent="0.35">
      <c r="A1446" s="33" t="s">
        <v>1723</v>
      </c>
      <c r="B1446" s="33" t="s">
        <v>82</v>
      </c>
      <c r="C1446" s="33" t="s">
        <v>1724</v>
      </c>
      <c r="D1446" s="33" t="s">
        <v>659</v>
      </c>
      <c r="E1446" s="33" t="s">
        <v>2876</v>
      </c>
      <c r="F1446" s="38" t="s">
        <v>50</v>
      </c>
    </row>
    <row r="1447" spans="1:6" ht="14.5" hidden="1" customHeight="1" x14ac:dyDescent="0.35">
      <c r="A1447" s="33" t="s">
        <v>1723</v>
      </c>
      <c r="B1447" s="33" t="s">
        <v>83</v>
      </c>
      <c r="C1447" s="33" t="s">
        <v>1724</v>
      </c>
      <c r="D1447" s="33" t="s">
        <v>660</v>
      </c>
      <c r="E1447" s="33" t="s">
        <v>2845</v>
      </c>
      <c r="F1447" s="38" t="s">
        <v>50</v>
      </c>
    </row>
    <row r="1448" spans="1:6" ht="14.5" hidden="1" customHeight="1" x14ac:dyDescent="0.35">
      <c r="A1448" s="33" t="s">
        <v>1723</v>
      </c>
      <c r="B1448" s="33" t="s">
        <v>19</v>
      </c>
      <c r="C1448" s="33" t="s">
        <v>1724</v>
      </c>
      <c r="D1448" s="33" t="s">
        <v>661</v>
      </c>
      <c r="E1448" s="33" t="s">
        <v>2845</v>
      </c>
      <c r="F1448" s="38" t="s">
        <v>50</v>
      </c>
    </row>
    <row r="1449" spans="1:6" ht="14.5" hidden="1" customHeight="1" x14ac:dyDescent="0.35">
      <c r="A1449" s="33" t="s">
        <v>1723</v>
      </c>
      <c r="B1449" s="33" t="s">
        <v>84</v>
      </c>
      <c r="C1449" s="33" t="s">
        <v>1724</v>
      </c>
      <c r="D1449" s="33" t="s">
        <v>662</v>
      </c>
      <c r="E1449" s="33" t="s">
        <v>2845</v>
      </c>
      <c r="F1449" s="38" t="s">
        <v>50</v>
      </c>
    </row>
    <row r="1450" spans="1:6" ht="14.5" customHeight="1" x14ac:dyDescent="0.35">
      <c r="A1450" s="33" t="s">
        <v>1725</v>
      </c>
      <c r="B1450" s="33" t="s">
        <v>80</v>
      </c>
      <c r="C1450" s="33" t="s">
        <v>1726</v>
      </c>
      <c r="D1450" s="33" t="s">
        <v>1727</v>
      </c>
      <c r="E1450" s="33" t="s">
        <v>2879</v>
      </c>
      <c r="F1450" s="38" t="s">
        <v>1687</v>
      </c>
    </row>
    <row r="1451" spans="1:6" ht="14.5" hidden="1" customHeight="1" x14ac:dyDescent="0.35">
      <c r="A1451" s="33" t="s">
        <v>1725</v>
      </c>
      <c r="B1451" s="33" t="s">
        <v>82</v>
      </c>
      <c r="C1451" s="33" t="s">
        <v>1726</v>
      </c>
      <c r="D1451" s="33" t="s">
        <v>1728</v>
      </c>
      <c r="E1451" s="33" t="s">
        <v>2843</v>
      </c>
      <c r="F1451" s="38" t="s">
        <v>56</v>
      </c>
    </row>
    <row r="1452" spans="1:6" ht="14.5" customHeight="1" x14ac:dyDescent="0.35">
      <c r="A1452" s="33" t="s">
        <v>1725</v>
      </c>
      <c r="B1452" s="33" t="s">
        <v>83</v>
      </c>
      <c r="C1452" s="33" t="s">
        <v>1726</v>
      </c>
      <c r="D1452" s="33" t="s">
        <v>1726</v>
      </c>
      <c r="E1452" s="33" t="s">
        <v>2879</v>
      </c>
      <c r="F1452" s="38" t="s">
        <v>1687</v>
      </c>
    </row>
    <row r="1453" spans="1:6" ht="14.5" hidden="1" customHeight="1" x14ac:dyDescent="0.35">
      <c r="A1453" s="33" t="s">
        <v>1725</v>
      </c>
      <c r="B1453" s="33" t="s">
        <v>84</v>
      </c>
      <c r="C1453" s="33" t="s">
        <v>1726</v>
      </c>
      <c r="D1453" s="33" t="s">
        <v>1729</v>
      </c>
      <c r="E1453" s="33" t="s">
        <v>2843</v>
      </c>
      <c r="F1453" s="38" t="s">
        <v>56</v>
      </c>
    </row>
    <row r="1454" spans="1:6" ht="14.5" hidden="1" customHeight="1" x14ac:dyDescent="0.35">
      <c r="A1454" s="33" t="s">
        <v>1730</v>
      </c>
      <c r="B1454" s="33" t="s">
        <v>80</v>
      </c>
      <c r="C1454" s="33" t="s">
        <v>1731</v>
      </c>
      <c r="D1454" s="33" t="s">
        <v>1732</v>
      </c>
      <c r="E1454" s="33" t="s">
        <v>2837</v>
      </c>
      <c r="F1454" s="38" t="s">
        <v>742</v>
      </c>
    </row>
    <row r="1455" spans="1:6" ht="14.5" hidden="1" customHeight="1" x14ac:dyDescent="0.35">
      <c r="A1455" s="33" t="s">
        <v>1730</v>
      </c>
      <c r="B1455" s="33" t="s">
        <v>82</v>
      </c>
      <c r="C1455" s="33" t="s">
        <v>1731</v>
      </c>
      <c r="D1455" s="33" t="s">
        <v>1733</v>
      </c>
      <c r="E1455" s="33" t="s">
        <v>2845</v>
      </c>
      <c r="F1455" s="38" t="s">
        <v>50</v>
      </c>
    </row>
    <row r="1456" spans="1:6" ht="14.5" hidden="1" customHeight="1" x14ac:dyDescent="0.35">
      <c r="A1456" s="33" t="s">
        <v>1730</v>
      </c>
      <c r="B1456" s="33" t="s">
        <v>83</v>
      </c>
      <c r="C1456" s="33" t="s">
        <v>1731</v>
      </c>
      <c r="D1456" s="33" t="s">
        <v>1734</v>
      </c>
      <c r="E1456" s="33" t="s">
        <v>2838</v>
      </c>
      <c r="F1456" s="38" t="s">
        <v>48</v>
      </c>
    </row>
    <row r="1457" spans="1:6" ht="14.5" hidden="1" customHeight="1" x14ac:dyDescent="0.35">
      <c r="A1457" s="33" t="s">
        <v>1730</v>
      </c>
      <c r="B1457" s="33" t="s">
        <v>19</v>
      </c>
      <c r="C1457" s="33" t="s">
        <v>1731</v>
      </c>
      <c r="D1457" s="33" t="s">
        <v>1735</v>
      </c>
      <c r="E1457" s="33" t="s">
        <v>2837</v>
      </c>
      <c r="F1457" s="38" t="s">
        <v>742</v>
      </c>
    </row>
    <row r="1458" spans="1:6" ht="14.5" hidden="1" customHeight="1" x14ac:dyDescent="0.35">
      <c r="A1458" s="33" t="s">
        <v>1736</v>
      </c>
      <c r="B1458" s="33" t="s">
        <v>80</v>
      </c>
      <c r="C1458" s="33" t="s">
        <v>1737</v>
      </c>
      <c r="D1458" s="33" t="s">
        <v>1738</v>
      </c>
      <c r="E1458" s="33" t="s">
        <v>2843</v>
      </c>
      <c r="F1458" s="38" t="s">
        <v>56</v>
      </c>
    </row>
    <row r="1459" spans="1:6" ht="14.5" hidden="1" customHeight="1" x14ac:dyDescent="0.35">
      <c r="A1459" s="33" t="s">
        <v>1736</v>
      </c>
      <c r="B1459" s="33" t="s">
        <v>82</v>
      </c>
      <c r="C1459" s="33" t="s">
        <v>1737</v>
      </c>
      <c r="D1459" s="33" t="s">
        <v>1739</v>
      </c>
      <c r="E1459" s="33" t="s">
        <v>2845</v>
      </c>
      <c r="F1459" s="38" t="s">
        <v>50</v>
      </c>
    </row>
    <row r="1460" spans="1:6" ht="14.5" hidden="1" customHeight="1" x14ac:dyDescent="0.35">
      <c r="A1460" s="33" t="s">
        <v>1736</v>
      </c>
      <c r="B1460" s="33" t="s">
        <v>83</v>
      </c>
      <c r="C1460" s="33" t="s">
        <v>1737</v>
      </c>
      <c r="D1460" s="33" t="s">
        <v>1740</v>
      </c>
      <c r="E1460" s="33" t="s">
        <v>2845</v>
      </c>
      <c r="F1460" s="38" t="s">
        <v>50</v>
      </c>
    </row>
    <row r="1461" spans="1:6" ht="14.5" hidden="1" customHeight="1" x14ac:dyDescent="0.35">
      <c r="A1461" s="33" t="s">
        <v>1736</v>
      </c>
      <c r="B1461" s="33" t="s">
        <v>19</v>
      </c>
      <c r="C1461" s="33" t="s">
        <v>1737</v>
      </c>
      <c r="D1461" s="33" t="s">
        <v>1741</v>
      </c>
      <c r="E1461" s="33" t="s">
        <v>2876</v>
      </c>
      <c r="F1461" s="38" t="s">
        <v>50</v>
      </c>
    </row>
    <row r="1462" spans="1:6" ht="14.5" hidden="1" customHeight="1" x14ac:dyDescent="0.35">
      <c r="A1462" s="33" t="s">
        <v>1736</v>
      </c>
      <c r="B1462" s="33" t="s">
        <v>84</v>
      </c>
      <c r="C1462" s="33" t="s">
        <v>1737</v>
      </c>
      <c r="D1462" s="33" t="s">
        <v>1742</v>
      </c>
      <c r="E1462" s="33" t="s">
        <v>2845</v>
      </c>
      <c r="F1462" s="38" t="s">
        <v>50</v>
      </c>
    </row>
    <row r="1463" spans="1:6" ht="14.5" hidden="1" customHeight="1" x14ac:dyDescent="0.35">
      <c r="A1463" s="33" t="s">
        <v>1736</v>
      </c>
      <c r="B1463" s="33" t="s">
        <v>85</v>
      </c>
      <c r="C1463" s="33" t="s">
        <v>1737</v>
      </c>
      <c r="D1463" s="33" t="s">
        <v>1743</v>
      </c>
      <c r="E1463" s="33" t="s">
        <v>2843</v>
      </c>
      <c r="F1463" s="38" t="s">
        <v>56</v>
      </c>
    </row>
    <row r="1464" spans="1:6" ht="14.5" hidden="1" customHeight="1" x14ac:dyDescent="0.35">
      <c r="A1464" s="33" t="s">
        <v>1744</v>
      </c>
      <c r="B1464" s="33" t="s">
        <v>81</v>
      </c>
      <c r="C1464" s="33" t="s">
        <v>1745</v>
      </c>
      <c r="D1464" s="33" t="s">
        <v>1746</v>
      </c>
      <c r="E1464" s="33" t="s">
        <v>2843</v>
      </c>
      <c r="F1464" s="38" t="s">
        <v>56</v>
      </c>
    </row>
    <row r="1465" spans="1:6" ht="14.5" hidden="1" customHeight="1" x14ac:dyDescent="0.35">
      <c r="A1465" s="33" t="s">
        <v>1744</v>
      </c>
      <c r="B1465" s="33" t="s">
        <v>80</v>
      </c>
      <c r="C1465" s="33" t="s">
        <v>1745</v>
      </c>
      <c r="D1465" s="33" t="s">
        <v>1747</v>
      </c>
      <c r="E1465" s="33" t="s">
        <v>2873</v>
      </c>
      <c r="F1465" s="38" t="s">
        <v>132</v>
      </c>
    </row>
    <row r="1466" spans="1:6" ht="14.5" hidden="1" customHeight="1" x14ac:dyDescent="0.35">
      <c r="A1466" s="33" t="s">
        <v>1744</v>
      </c>
      <c r="B1466" s="33" t="s">
        <v>83</v>
      </c>
      <c r="C1466" s="33" t="s">
        <v>1745</v>
      </c>
      <c r="D1466" s="33" t="s">
        <v>1748</v>
      </c>
      <c r="E1466" s="33" t="s">
        <v>2843</v>
      </c>
      <c r="F1466" s="38" t="s">
        <v>56</v>
      </c>
    </row>
    <row r="1467" spans="1:6" ht="14.5" hidden="1" customHeight="1" x14ac:dyDescent="0.35">
      <c r="A1467" s="33" t="s">
        <v>1749</v>
      </c>
      <c r="B1467" s="33" t="s">
        <v>83</v>
      </c>
      <c r="C1467" s="33" t="s">
        <v>1750</v>
      </c>
      <c r="D1467" s="33" t="s">
        <v>1751</v>
      </c>
      <c r="E1467" s="33" t="s">
        <v>2875</v>
      </c>
      <c r="F1467" s="38" t="s">
        <v>2912</v>
      </c>
    </row>
    <row r="1468" spans="1:6" ht="14.5" hidden="1" customHeight="1" x14ac:dyDescent="0.35">
      <c r="A1468" s="33" t="s">
        <v>1749</v>
      </c>
      <c r="B1468" s="33" t="s">
        <v>84</v>
      </c>
      <c r="C1468" s="33" t="s">
        <v>1750</v>
      </c>
      <c r="D1468" s="33" t="s">
        <v>1752</v>
      </c>
      <c r="E1468" s="33" t="s">
        <v>2846</v>
      </c>
      <c r="F1468" s="38" t="s">
        <v>56</v>
      </c>
    </row>
    <row r="1469" spans="1:6" ht="14.5" hidden="1" customHeight="1" x14ac:dyDescent="0.35">
      <c r="A1469" s="33" t="s">
        <v>1753</v>
      </c>
      <c r="B1469" s="33" t="s">
        <v>80</v>
      </c>
      <c r="C1469" s="33" t="s">
        <v>1754</v>
      </c>
      <c r="D1469" s="33" t="s">
        <v>1755</v>
      </c>
      <c r="E1469" s="33" t="s">
        <v>2837</v>
      </c>
      <c r="F1469" s="38" t="s">
        <v>742</v>
      </c>
    </row>
    <row r="1470" spans="1:6" ht="14.5" hidden="1" customHeight="1" x14ac:dyDescent="0.35">
      <c r="A1470" s="33" t="s">
        <v>1753</v>
      </c>
      <c r="B1470" s="33" t="s">
        <v>83</v>
      </c>
      <c r="C1470" s="33" t="s">
        <v>1754</v>
      </c>
      <c r="D1470" s="33" t="s">
        <v>1756</v>
      </c>
      <c r="E1470" s="33" t="s">
        <v>2837</v>
      </c>
      <c r="F1470" s="38" t="s">
        <v>742</v>
      </c>
    </row>
    <row r="1471" spans="1:6" ht="14.5" hidden="1" customHeight="1" x14ac:dyDescent="0.35">
      <c r="A1471" s="33" t="s">
        <v>1757</v>
      </c>
      <c r="B1471" s="33" t="s">
        <v>83</v>
      </c>
      <c r="C1471" s="33" t="s">
        <v>1758</v>
      </c>
      <c r="D1471" s="33" t="s">
        <v>1751</v>
      </c>
      <c r="E1471" s="33" t="s">
        <v>2875</v>
      </c>
      <c r="F1471" s="38" t="s">
        <v>2912</v>
      </c>
    </row>
    <row r="1472" spans="1:6" ht="14.5" hidden="1" customHeight="1" x14ac:dyDescent="0.35">
      <c r="A1472" s="33" t="s">
        <v>1757</v>
      </c>
      <c r="B1472" s="33" t="s">
        <v>84</v>
      </c>
      <c r="C1472" s="33" t="s">
        <v>1758</v>
      </c>
      <c r="D1472" s="33" t="s">
        <v>1752</v>
      </c>
      <c r="E1472" s="33" t="s">
        <v>2846</v>
      </c>
      <c r="F1472" s="38" t="s">
        <v>56</v>
      </c>
    </row>
    <row r="1473" spans="1:6" ht="14.5" hidden="1" customHeight="1" x14ac:dyDescent="0.35">
      <c r="A1473" s="33" t="s">
        <v>1759</v>
      </c>
      <c r="B1473" s="33" t="s">
        <v>19</v>
      </c>
      <c r="C1473" s="33" t="s">
        <v>1760</v>
      </c>
      <c r="D1473" s="33" t="s">
        <v>1761</v>
      </c>
      <c r="E1473" s="33" t="s">
        <v>2844</v>
      </c>
      <c r="F1473" s="38" t="s">
        <v>48</v>
      </c>
    </row>
    <row r="1474" spans="1:6" ht="14.5" customHeight="1" x14ac:dyDescent="0.35">
      <c r="A1474" s="33" t="s">
        <v>1774</v>
      </c>
      <c r="B1474" s="33" t="s">
        <v>80</v>
      </c>
      <c r="C1474" s="33" t="s">
        <v>1775</v>
      </c>
      <c r="D1474" s="33" t="s">
        <v>1776</v>
      </c>
      <c r="E1474" s="33" t="s">
        <v>2879</v>
      </c>
      <c r="F1474" s="38" t="s">
        <v>1687</v>
      </c>
    </row>
    <row r="1475" spans="1:6" ht="14.5" hidden="1" customHeight="1" x14ac:dyDescent="0.35">
      <c r="A1475" s="33" t="s">
        <v>1774</v>
      </c>
      <c r="B1475" s="33" t="s">
        <v>82</v>
      </c>
      <c r="C1475" s="33" t="s">
        <v>1775</v>
      </c>
      <c r="D1475" s="33" t="s">
        <v>1777</v>
      </c>
      <c r="E1475" s="33" t="s">
        <v>2843</v>
      </c>
      <c r="F1475" s="38" t="s">
        <v>56</v>
      </c>
    </row>
    <row r="1476" spans="1:6" ht="14.5" hidden="1" customHeight="1" x14ac:dyDescent="0.35">
      <c r="A1476" s="33" t="s">
        <v>1774</v>
      </c>
      <c r="B1476" s="33" t="s">
        <v>83</v>
      </c>
      <c r="C1476" s="33" t="s">
        <v>1775</v>
      </c>
      <c r="D1476" s="33" t="s">
        <v>1778</v>
      </c>
      <c r="E1476" s="33" t="s">
        <v>2873</v>
      </c>
      <c r="F1476" s="38" t="s">
        <v>132</v>
      </c>
    </row>
    <row r="1477" spans="1:6" ht="14.5" customHeight="1" x14ac:dyDescent="0.35">
      <c r="A1477" s="33" t="s">
        <v>1774</v>
      </c>
      <c r="B1477" s="33" t="s">
        <v>19</v>
      </c>
      <c r="C1477" s="33" t="s">
        <v>1775</v>
      </c>
      <c r="D1477" s="33" t="s">
        <v>1779</v>
      </c>
      <c r="E1477" s="33" t="s">
        <v>2879</v>
      </c>
      <c r="F1477" s="38" t="s">
        <v>1687</v>
      </c>
    </row>
    <row r="1478" spans="1:6" ht="14.5" hidden="1" customHeight="1" x14ac:dyDescent="0.35">
      <c r="A1478" s="33" t="s">
        <v>1774</v>
      </c>
      <c r="B1478" s="33" t="s">
        <v>85</v>
      </c>
      <c r="C1478" s="33" t="s">
        <v>1775</v>
      </c>
      <c r="D1478" s="33" t="s">
        <v>1780</v>
      </c>
      <c r="E1478" s="33" t="s">
        <v>2881</v>
      </c>
      <c r="F1478" s="38" t="s">
        <v>132</v>
      </c>
    </row>
    <row r="1479" spans="1:6" ht="14.5" hidden="1" customHeight="1" x14ac:dyDescent="0.35">
      <c r="A1479" s="33" t="s">
        <v>1774</v>
      </c>
      <c r="B1479" s="33" t="s">
        <v>86</v>
      </c>
      <c r="C1479" s="33" t="s">
        <v>1775</v>
      </c>
      <c r="D1479" s="33" t="s">
        <v>1781</v>
      </c>
      <c r="E1479" s="33" t="s">
        <v>2872</v>
      </c>
      <c r="F1479" s="38" t="s">
        <v>132</v>
      </c>
    </row>
    <row r="1480" spans="1:6" ht="14.5" customHeight="1" x14ac:dyDescent="0.35">
      <c r="A1480" s="33" t="s">
        <v>1774</v>
      </c>
      <c r="B1480" s="33" t="s">
        <v>89</v>
      </c>
      <c r="C1480" s="33" t="s">
        <v>1775</v>
      </c>
      <c r="D1480" s="33" t="s">
        <v>1782</v>
      </c>
      <c r="E1480" s="33" t="s">
        <v>2879</v>
      </c>
      <c r="F1480" s="38" t="s">
        <v>1687</v>
      </c>
    </row>
    <row r="1481" spans="1:6" ht="14.5" hidden="1" customHeight="1" x14ac:dyDescent="0.35">
      <c r="A1481" s="33" t="s">
        <v>1774</v>
      </c>
      <c r="B1481" s="33" t="s">
        <v>87</v>
      </c>
      <c r="C1481" s="33" t="s">
        <v>1775</v>
      </c>
      <c r="D1481" s="33" t="s">
        <v>1783</v>
      </c>
      <c r="E1481" s="33" t="s">
        <v>2859</v>
      </c>
      <c r="F1481" s="38" t="s">
        <v>56</v>
      </c>
    </row>
    <row r="1482" spans="1:6" ht="14.5" hidden="1" customHeight="1" x14ac:dyDescent="0.35">
      <c r="A1482" s="33" t="s">
        <v>1774</v>
      </c>
      <c r="B1482" s="33" t="s">
        <v>88</v>
      </c>
      <c r="C1482" s="33" t="s">
        <v>1775</v>
      </c>
      <c r="D1482" s="33" t="s">
        <v>1784</v>
      </c>
      <c r="E1482" s="33" t="s">
        <v>2859</v>
      </c>
      <c r="F1482" s="38" t="s">
        <v>56</v>
      </c>
    </row>
    <row r="1483" spans="1:6" ht="14.5" customHeight="1" x14ac:dyDescent="0.35">
      <c r="A1483" s="33" t="s">
        <v>1774</v>
      </c>
      <c r="B1483" s="33" t="s">
        <v>90</v>
      </c>
      <c r="C1483" s="33" t="s">
        <v>1775</v>
      </c>
      <c r="D1483" s="33" t="s">
        <v>1785</v>
      </c>
      <c r="E1483" s="33" t="s">
        <v>2879</v>
      </c>
      <c r="F1483" s="38" t="s">
        <v>1687</v>
      </c>
    </row>
    <row r="1484" spans="1:6" ht="14.5" customHeight="1" x14ac:dyDescent="0.35">
      <c r="A1484" s="33" t="s">
        <v>1774</v>
      </c>
      <c r="B1484" s="33" t="s">
        <v>92</v>
      </c>
      <c r="C1484" s="33" t="s">
        <v>1775</v>
      </c>
      <c r="D1484" s="33" t="s">
        <v>1786</v>
      </c>
      <c r="E1484" s="33" t="s">
        <v>2879</v>
      </c>
      <c r="F1484" s="38" t="s">
        <v>1687</v>
      </c>
    </row>
    <row r="1485" spans="1:6" ht="14.5" hidden="1" customHeight="1" x14ac:dyDescent="0.35">
      <c r="A1485" s="33" t="s">
        <v>1774</v>
      </c>
      <c r="B1485" s="33" t="s">
        <v>93</v>
      </c>
      <c r="C1485" s="33" t="s">
        <v>1775</v>
      </c>
      <c r="D1485" s="33" t="s">
        <v>1787</v>
      </c>
      <c r="E1485" s="33" t="s">
        <v>2873</v>
      </c>
      <c r="F1485" s="38" t="s">
        <v>132</v>
      </c>
    </row>
    <row r="1486" spans="1:6" ht="14.5" customHeight="1" x14ac:dyDescent="0.35">
      <c r="A1486" s="33" t="s">
        <v>1774</v>
      </c>
      <c r="B1486" s="33" t="s">
        <v>95</v>
      </c>
      <c r="C1486" s="33" t="s">
        <v>1775</v>
      </c>
      <c r="D1486" s="33" t="s">
        <v>1788</v>
      </c>
      <c r="E1486" s="33" t="s">
        <v>2879</v>
      </c>
      <c r="F1486" s="38" t="s">
        <v>1687</v>
      </c>
    </row>
    <row r="1487" spans="1:6" ht="14.5" hidden="1" customHeight="1" x14ac:dyDescent="0.35">
      <c r="A1487" s="33" t="s">
        <v>1774</v>
      </c>
      <c r="B1487" s="33" t="s">
        <v>96</v>
      </c>
      <c r="C1487" s="33" t="s">
        <v>1775</v>
      </c>
      <c r="D1487" s="33" t="s">
        <v>1789</v>
      </c>
      <c r="E1487" s="33" t="s">
        <v>2843</v>
      </c>
      <c r="F1487" s="38" t="s">
        <v>56</v>
      </c>
    </row>
    <row r="1488" spans="1:6" ht="14.5" hidden="1" customHeight="1" x14ac:dyDescent="0.35">
      <c r="A1488" s="33" t="s">
        <v>1790</v>
      </c>
      <c r="B1488" s="33" t="s">
        <v>278</v>
      </c>
      <c r="C1488" s="33" t="s">
        <v>1791</v>
      </c>
      <c r="D1488" s="33" t="s">
        <v>1792</v>
      </c>
      <c r="E1488" s="33" t="s">
        <v>2870</v>
      </c>
      <c r="F1488" s="38" t="s">
        <v>56</v>
      </c>
    </row>
    <row r="1489" spans="1:6" ht="14.5" hidden="1" customHeight="1" x14ac:dyDescent="0.35">
      <c r="A1489" s="33" t="s">
        <v>1790</v>
      </c>
      <c r="B1489" s="33" t="s">
        <v>80</v>
      </c>
      <c r="C1489" s="33" t="s">
        <v>1791</v>
      </c>
      <c r="D1489" s="33" t="s">
        <v>1791</v>
      </c>
      <c r="E1489" s="33" t="s">
        <v>2882</v>
      </c>
      <c r="F1489" s="38" t="s">
        <v>2739</v>
      </c>
    </row>
    <row r="1490" spans="1:6" ht="14.5" hidden="1" customHeight="1" x14ac:dyDescent="0.35">
      <c r="A1490" s="33" t="s">
        <v>1790</v>
      </c>
      <c r="B1490" s="33" t="s">
        <v>82</v>
      </c>
      <c r="C1490" s="33" t="s">
        <v>1791</v>
      </c>
      <c r="D1490" s="33" t="s">
        <v>1793</v>
      </c>
      <c r="E1490" s="33" t="s">
        <v>2859</v>
      </c>
      <c r="F1490" s="38" t="s">
        <v>56</v>
      </c>
    </row>
    <row r="1491" spans="1:6" ht="14.5" hidden="1" customHeight="1" x14ac:dyDescent="0.35">
      <c r="A1491" s="33" t="s">
        <v>1794</v>
      </c>
      <c r="B1491" s="33" t="s">
        <v>80</v>
      </c>
      <c r="C1491" s="33" t="s">
        <v>1795</v>
      </c>
      <c r="D1491" s="33" t="s">
        <v>1738</v>
      </c>
      <c r="E1491" s="33" t="s">
        <v>2843</v>
      </c>
      <c r="F1491" s="38" t="s">
        <v>56</v>
      </c>
    </row>
    <row r="1492" spans="1:6" ht="14.5" hidden="1" customHeight="1" x14ac:dyDescent="0.35">
      <c r="A1492" s="33" t="s">
        <v>1794</v>
      </c>
      <c r="B1492" s="33" t="s">
        <v>82</v>
      </c>
      <c r="C1492" s="33" t="s">
        <v>1795</v>
      </c>
      <c r="D1492" s="33" t="s">
        <v>1739</v>
      </c>
      <c r="E1492" s="33" t="s">
        <v>2845</v>
      </c>
      <c r="F1492" s="38" t="s">
        <v>50</v>
      </c>
    </row>
    <row r="1493" spans="1:6" ht="14.5" hidden="1" customHeight="1" x14ac:dyDescent="0.35">
      <c r="A1493" s="33" t="s">
        <v>1794</v>
      </c>
      <c r="B1493" s="33" t="s">
        <v>83</v>
      </c>
      <c r="C1493" s="33" t="s">
        <v>1795</v>
      </c>
      <c r="D1493" s="33" t="s">
        <v>1740</v>
      </c>
      <c r="E1493" s="33" t="s">
        <v>2845</v>
      </c>
      <c r="F1493" s="38" t="s">
        <v>50</v>
      </c>
    </row>
    <row r="1494" spans="1:6" ht="14.5" hidden="1" customHeight="1" x14ac:dyDescent="0.35">
      <c r="A1494" s="33" t="s">
        <v>1794</v>
      </c>
      <c r="B1494" s="33" t="s">
        <v>19</v>
      </c>
      <c r="C1494" s="33" t="s">
        <v>1795</v>
      </c>
      <c r="D1494" s="33" t="s">
        <v>1741</v>
      </c>
      <c r="E1494" s="33" t="s">
        <v>2876</v>
      </c>
      <c r="F1494" s="38" t="s">
        <v>50</v>
      </c>
    </row>
    <row r="1495" spans="1:6" ht="14.5" hidden="1" customHeight="1" x14ac:dyDescent="0.35">
      <c r="A1495" s="33" t="s">
        <v>1794</v>
      </c>
      <c r="B1495" s="33" t="s">
        <v>84</v>
      </c>
      <c r="C1495" s="33" t="s">
        <v>1795</v>
      </c>
      <c r="D1495" s="33" t="s">
        <v>1742</v>
      </c>
      <c r="E1495" s="33" t="s">
        <v>2845</v>
      </c>
      <c r="F1495" s="38" t="s">
        <v>50</v>
      </c>
    </row>
    <row r="1496" spans="1:6" ht="14.5" hidden="1" customHeight="1" x14ac:dyDescent="0.35">
      <c r="A1496" s="33" t="s">
        <v>1794</v>
      </c>
      <c r="B1496" s="33" t="s">
        <v>85</v>
      </c>
      <c r="C1496" s="33" t="s">
        <v>1795</v>
      </c>
      <c r="D1496" s="33" t="s">
        <v>1743</v>
      </c>
      <c r="E1496" s="33" t="s">
        <v>2843</v>
      </c>
      <c r="F1496" s="38" t="s">
        <v>56</v>
      </c>
    </row>
    <row r="1497" spans="1:6" ht="14.5" hidden="1" customHeight="1" x14ac:dyDescent="0.35">
      <c r="A1497" s="33" t="s">
        <v>1796</v>
      </c>
      <c r="B1497" s="33" t="s">
        <v>80</v>
      </c>
      <c r="C1497" s="33" t="s">
        <v>1797</v>
      </c>
      <c r="D1497" s="33" t="s">
        <v>1798</v>
      </c>
      <c r="E1497" s="33" t="s">
        <v>2870</v>
      </c>
      <c r="F1497" s="38" t="s">
        <v>56</v>
      </c>
    </row>
    <row r="1498" spans="1:6" ht="14.5" hidden="1" customHeight="1" x14ac:dyDescent="0.35">
      <c r="A1498" s="33" t="s">
        <v>1796</v>
      </c>
      <c r="B1498" s="33" t="s">
        <v>82</v>
      </c>
      <c r="C1498" s="33" t="s">
        <v>1797</v>
      </c>
      <c r="D1498" s="33" t="s">
        <v>1799</v>
      </c>
      <c r="E1498" s="33" t="s">
        <v>2843</v>
      </c>
      <c r="F1498" s="38" t="s">
        <v>56</v>
      </c>
    </row>
    <row r="1499" spans="1:6" ht="14.5" hidden="1" customHeight="1" x14ac:dyDescent="0.35">
      <c r="A1499" s="33" t="s">
        <v>1796</v>
      </c>
      <c r="B1499" s="33" t="s">
        <v>84</v>
      </c>
      <c r="C1499" s="33" t="s">
        <v>1797</v>
      </c>
      <c r="D1499" s="33" t="s">
        <v>1800</v>
      </c>
      <c r="E1499" s="33" t="s">
        <v>2859</v>
      </c>
      <c r="F1499" s="38" t="s">
        <v>56</v>
      </c>
    </row>
    <row r="1500" spans="1:6" ht="14.5" hidden="1" customHeight="1" x14ac:dyDescent="0.35">
      <c r="A1500" s="33" t="s">
        <v>1796</v>
      </c>
      <c r="B1500" s="33" t="s">
        <v>85</v>
      </c>
      <c r="C1500" s="33" t="s">
        <v>1797</v>
      </c>
      <c r="D1500" s="33" t="s">
        <v>1801</v>
      </c>
      <c r="E1500" s="33" t="s">
        <v>2843</v>
      </c>
      <c r="F1500" s="38" t="s">
        <v>56</v>
      </c>
    </row>
    <row r="1501" spans="1:6" ht="14.5" hidden="1" customHeight="1" x14ac:dyDescent="0.35">
      <c r="A1501" s="33" t="s">
        <v>1802</v>
      </c>
      <c r="B1501" s="33" t="s">
        <v>80</v>
      </c>
      <c r="C1501" s="33" t="s">
        <v>1803</v>
      </c>
      <c r="D1501" s="33" t="s">
        <v>1798</v>
      </c>
      <c r="E1501" s="33" t="s">
        <v>2870</v>
      </c>
      <c r="F1501" s="38" t="s">
        <v>56</v>
      </c>
    </row>
    <row r="1502" spans="1:6" ht="14.5" hidden="1" customHeight="1" x14ac:dyDescent="0.35">
      <c r="A1502" s="33" t="s">
        <v>1802</v>
      </c>
      <c r="B1502" s="33" t="s">
        <v>82</v>
      </c>
      <c r="C1502" s="33" t="s">
        <v>1803</v>
      </c>
      <c r="D1502" s="33" t="s">
        <v>1799</v>
      </c>
      <c r="E1502" s="33" t="s">
        <v>2843</v>
      </c>
      <c r="F1502" s="38" t="s">
        <v>56</v>
      </c>
    </row>
    <row r="1503" spans="1:6" ht="14.5" hidden="1" customHeight="1" x14ac:dyDescent="0.35">
      <c r="A1503" s="33" t="s">
        <v>1802</v>
      </c>
      <c r="B1503" s="33" t="s">
        <v>84</v>
      </c>
      <c r="C1503" s="33" t="s">
        <v>1803</v>
      </c>
      <c r="D1503" s="33" t="s">
        <v>1800</v>
      </c>
      <c r="E1503" s="33" t="s">
        <v>2859</v>
      </c>
      <c r="F1503" s="38" t="s">
        <v>56</v>
      </c>
    </row>
    <row r="1504" spans="1:6" ht="14.5" hidden="1" customHeight="1" x14ac:dyDescent="0.35">
      <c r="A1504" s="33" t="s">
        <v>1802</v>
      </c>
      <c r="B1504" s="33" t="s">
        <v>85</v>
      </c>
      <c r="C1504" s="33" t="s">
        <v>1803</v>
      </c>
      <c r="D1504" s="33" t="s">
        <v>1801</v>
      </c>
      <c r="E1504" s="33" t="s">
        <v>2843</v>
      </c>
      <c r="F1504" s="38" t="s">
        <v>56</v>
      </c>
    </row>
    <row r="1505" spans="1:6" ht="14.5" hidden="1" customHeight="1" x14ac:dyDescent="0.35">
      <c r="A1505" s="33" t="s">
        <v>1804</v>
      </c>
      <c r="B1505" s="33" t="s">
        <v>82</v>
      </c>
      <c r="C1505" s="33" t="s">
        <v>1805</v>
      </c>
      <c r="D1505" s="33" t="s">
        <v>1306</v>
      </c>
      <c r="E1505" s="33" t="s">
        <v>2844</v>
      </c>
      <c r="F1505" s="38" t="s">
        <v>48</v>
      </c>
    </row>
    <row r="1506" spans="1:6" ht="14.5" hidden="1" customHeight="1" x14ac:dyDescent="0.35">
      <c r="A1506" s="33" t="s">
        <v>1804</v>
      </c>
      <c r="B1506" s="33" t="s">
        <v>83</v>
      </c>
      <c r="C1506" s="33" t="s">
        <v>1805</v>
      </c>
      <c r="D1506" s="33" t="s">
        <v>1307</v>
      </c>
      <c r="E1506" s="33" t="s">
        <v>2840</v>
      </c>
      <c r="F1506" s="38" t="s">
        <v>132</v>
      </c>
    </row>
    <row r="1507" spans="1:6" ht="14.5" hidden="1" customHeight="1" x14ac:dyDescent="0.35">
      <c r="A1507" s="33" t="s">
        <v>1804</v>
      </c>
      <c r="B1507" s="33" t="s">
        <v>84</v>
      </c>
      <c r="C1507" s="33" t="s">
        <v>1805</v>
      </c>
      <c r="D1507" s="33" t="s">
        <v>1308</v>
      </c>
      <c r="E1507" s="33" t="s">
        <v>2840</v>
      </c>
      <c r="F1507" s="38" t="s">
        <v>132</v>
      </c>
    </row>
    <row r="1508" spans="1:6" ht="14.5" hidden="1" customHeight="1" x14ac:dyDescent="0.35">
      <c r="A1508" s="33" t="s">
        <v>1804</v>
      </c>
      <c r="B1508" s="33" t="s">
        <v>86</v>
      </c>
      <c r="C1508" s="33" t="s">
        <v>1805</v>
      </c>
      <c r="D1508" s="33" t="s">
        <v>1309</v>
      </c>
      <c r="E1508" s="33" t="s">
        <v>2859</v>
      </c>
      <c r="F1508" s="38" t="s">
        <v>56</v>
      </c>
    </row>
    <row r="1509" spans="1:6" ht="14.5" hidden="1" customHeight="1" x14ac:dyDescent="0.35">
      <c r="A1509" s="33" t="s">
        <v>1804</v>
      </c>
      <c r="B1509" s="33" t="s">
        <v>88</v>
      </c>
      <c r="C1509" s="33" t="s">
        <v>1805</v>
      </c>
      <c r="D1509" s="33" t="s">
        <v>1310</v>
      </c>
      <c r="E1509" s="33" t="s">
        <v>2844</v>
      </c>
      <c r="F1509" s="38" t="s">
        <v>48</v>
      </c>
    </row>
    <row r="1510" spans="1:6" ht="14.5" hidden="1" customHeight="1" x14ac:dyDescent="0.35">
      <c r="A1510" s="33" t="s">
        <v>1806</v>
      </c>
      <c r="B1510" s="33" t="s">
        <v>82</v>
      </c>
      <c r="C1510" s="33" t="s">
        <v>1807</v>
      </c>
      <c r="D1510" s="33" t="s">
        <v>1306</v>
      </c>
      <c r="E1510" s="33" t="s">
        <v>2844</v>
      </c>
      <c r="F1510" s="38" t="s">
        <v>48</v>
      </c>
    </row>
    <row r="1511" spans="1:6" ht="14.5" hidden="1" customHeight="1" x14ac:dyDescent="0.35">
      <c r="A1511" s="33" t="s">
        <v>1806</v>
      </c>
      <c r="B1511" s="33" t="s">
        <v>83</v>
      </c>
      <c r="C1511" s="33" t="s">
        <v>1807</v>
      </c>
      <c r="D1511" s="33" t="s">
        <v>1307</v>
      </c>
      <c r="E1511" s="33" t="s">
        <v>2840</v>
      </c>
      <c r="F1511" s="38" t="s">
        <v>132</v>
      </c>
    </row>
    <row r="1512" spans="1:6" ht="14.5" hidden="1" customHeight="1" x14ac:dyDescent="0.35">
      <c r="A1512" s="33" t="s">
        <v>1806</v>
      </c>
      <c r="B1512" s="33" t="s">
        <v>84</v>
      </c>
      <c r="C1512" s="33" t="s">
        <v>1807</v>
      </c>
      <c r="D1512" s="33" t="s">
        <v>1308</v>
      </c>
      <c r="E1512" s="33" t="s">
        <v>2840</v>
      </c>
      <c r="F1512" s="38" t="s">
        <v>132</v>
      </c>
    </row>
    <row r="1513" spans="1:6" ht="14.5" hidden="1" customHeight="1" x14ac:dyDescent="0.35">
      <c r="A1513" s="33" t="s">
        <v>1806</v>
      </c>
      <c r="B1513" s="33" t="s">
        <v>86</v>
      </c>
      <c r="C1513" s="33" t="s">
        <v>1807</v>
      </c>
      <c r="D1513" s="33" t="s">
        <v>1309</v>
      </c>
      <c r="E1513" s="33" t="s">
        <v>2859</v>
      </c>
      <c r="F1513" s="38" t="s">
        <v>56</v>
      </c>
    </row>
    <row r="1514" spans="1:6" ht="14.5" hidden="1" customHeight="1" x14ac:dyDescent="0.35">
      <c r="A1514" s="33" t="s">
        <v>1806</v>
      </c>
      <c r="B1514" s="33" t="s">
        <v>88</v>
      </c>
      <c r="C1514" s="33" t="s">
        <v>1807</v>
      </c>
      <c r="D1514" s="33" t="s">
        <v>1310</v>
      </c>
      <c r="E1514" s="33" t="s">
        <v>2844</v>
      </c>
      <c r="F1514" s="38" t="s">
        <v>48</v>
      </c>
    </row>
    <row r="1515" spans="1:6" ht="14.5" hidden="1" customHeight="1" x14ac:dyDescent="0.35">
      <c r="A1515" s="33" t="s">
        <v>1808</v>
      </c>
      <c r="B1515" s="33" t="s">
        <v>82</v>
      </c>
      <c r="C1515" s="33" t="s">
        <v>1809</v>
      </c>
      <c r="D1515" s="33" t="s">
        <v>1306</v>
      </c>
      <c r="E1515" s="33" t="s">
        <v>2844</v>
      </c>
      <c r="F1515" s="38" t="s">
        <v>48</v>
      </c>
    </row>
    <row r="1516" spans="1:6" ht="14.5" hidden="1" customHeight="1" x14ac:dyDescent="0.35">
      <c r="A1516" s="33" t="s">
        <v>1808</v>
      </c>
      <c r="B1516" s="33" t="s">
        <v>83</v>
      </c>
      <c r="C1516" s="33" t="s">
        <v>1809</v>
      </c>
      <c r="D1516" s="33" t="s">
        <v>1307</v>
      </c>
      <c r="E1516" s="33" t="s">
        <v>2840</v>
      </c>
      <c r="F1516" s="38" t="s">
        <v>132</v>
      </c>
    </row>
    <row r="1517" spans="1:6" ht="14.5" hidden="1" customHeight="1" x14ac:dyDescent="0.35">
      <c r="A1517" s="33" t="s">
        <v>1808</v>
      </c>
      <c r="B1517" s="33" t="s">
        <v>84</v>
      </c>
      <c r="C1517" s="33" t="s">
        <v>1809</v>
      </c>
      <c r="D1517" s="33" t="s">
        <v>1810</v>
      </c>
      <c r="E1517" s="33" t="s">
        <v>2840</v>
      </c>
      <c r="F1517" s="38" t="s">
        <v>132</v>
      </c>
    </row>
    <row r="1518" spans="1:6" ht="14.5" hidden="1" customHeight="1" x14ac:dyDescent="0.35">
      <c r="A1518" s="33" t="s">
        <v>1808</v>
      </c>
      <c r="B1518" s="33" t="s">
        <v>86</v>
      </c>
      <c r="C1518" s="33" t="s">
        <v>1809</v>
      </c>
      <c r="D1518" s="33" t="s">
        <v>1309</v>
      </c>
      <c r="E1518" s="33" t="s">
        <v>2859</v>
      </c>
      <c r="F1518" s="38" t="s">
        <v>56</v>
      </c>
    </row>
    <row r="1519" spans="1:6" ht="14.5" hidden="1" customHeight="1" x14ac:dyDescent="0.35">
      <c r="A1519" s="33" t="s">
        <v>1808</v>
      </c>
      <c r="B1519" s="33" t="s">
        <v>87</v>
      </c>
      <c r="C1519" s="33" t="s">
        <v>1809</v>
      </c>
      <c r="D1519" s="33" t="s">
        <v>1310</v>
      </c>
      <c r="E1519" s="33" t="s">
        <v>2844</v>
      </c>
      <c r="F1519" s="38" t="s">
        <v>48</v>
      </c>
    </row>
    <row r="1520" spans="1:6" ht="14.5" hidden="1" customHeight="1" x14ac:dyDescent="0.35">
      <c r="A1520" s="33" t="s">
        <v>1811</v>
      </c>
      <c r="B1520" s="33" t="s">
        <v>82</v>
      </c>
      <c r="C1520" s="33" t="s">
        <v>1812</v>
      </c>
      <c r="D1520" s="33" t="s">
        <v>1306</v>
      </c>
      <c r="E1520" s="33" t="s">
        <v>2844</v>
      </c>
      <c r="F1520" s="38" t="s">
        <v>48</v>
      </c>
    </row>
    <row r="1521" spans="1:6" ht="14.5" hidden="1" customHeight="1" x14ac:dyDescent="0.35">
      <c r="A1521" s="33" t="s">
        <v>1811</v>
      </c>
      <c r="B1521" s="33" t="s">
        <v>83</v>
      </c>
      <c r="C1521" s="33" t="s">
        <v>1812</v>
      </c>
      <c r="D1521" s="33" t="s">
        <v>1307</v>
      </c>
      <c r="E1521" s="33" t="s">
        <v>2840</v>
      </c>
      <c r="F1521" s="38" t="s">
        <v>132</v>
      </c>
    </row>
    <row r="1522" spans="1:6" ht="14.5" hidden="1" customHeight="1" x14ac:dyDescent="0.35">
      <c r="A1522" s="33" t="s">
        <v>1811</v>
      </c>
      <c r="B1522" s="33" t="s">
        <v>84</v>
      </c>
      <c r="C1522" s="33" t="s">
        <v>1812</v>
      </c>
      <c r="D1522" s="33" t="s">
        <v>1810</v>
      </c>
      <c r="E1522" s="33" t="s">
        <v>2840</v>
      </c>
      <c r="F1522" s="38" t="s">
        <v>132</v>
      </c>
    </row>
    <row r="1523" spans="1:6" ht="14.5" hidden="1" customHeight="1" x14ac:dyDescent="0.35">
      <c r="A1523" s="33" t="s">
        <v>1811</v>
      </c>
      <c r="B1523" s="33" t="s">
        <v>86</v>
      </c>
      <c r="C1523" s="33" t="s">
        <v>1812</v>
      </c>
      <c r="D1523" s="33" t="s">
        <v>1309</v>
      </c>
      <c r="E1523" s="33" t="s">
        <v>2859</v>
      </c>
      <c r="F1523" s="38" t="s">
        <v>56</v>
      </c>
    </row>
    <row r="1524" spans="1:6" ht="14.5" hidden="1" customHeight="1" x14ac:dyDescent="0.35">
      <c r="A1524" s="33" t="s">
        <v>1811</v>
      </c>
      <c r="B1524" s="33" t="s">
        <v>87</v>
      </c>
      <c r="C1524" s="33" t="s">
        <v>1812</v>
      </c>
      <c r="D1524" s="33" t="s">
        <v>1310</v>
      </c>
      <c r="E1524" s="33" t="s">
        <v>2844</v>
      </c>
      <c r="F1524" s="38" t="s">
        <v>48</v>
      </c>
    </row>
    <row r="1525" spans="1:6" ht="14.5" hidden="1" customHeight="1" x14ac:dyDescent="0.35">
      <c r="A1525" s="33" t="s">
        <v>1842</v>
      </c>
      <c r="B1525" s="33" t="s">
        <v>80</v>
      </c>
      <c r="C1525" s="33" t="s">
        <v>1843</v>
      </c>
      <c r="D1525" s="33" t="s">
        <v>1844</v>
      </c>
      <c r="E1525" s="33" t="s">
        <v>2869</v>
      </c>
      <c r="F1525" s="38" t="s">
        <v>132</v>
      </c>
    </row>
    <row r="1526" spans="1:6" ht="14.5" hidden="1" customHeight="1" x14ac:dyDescent="0.35">
      <c r="A1526" s="33" t="s">
        <v>1842</v>
      </c>
      <c r="B1526" s="33" t="s">
        <v>82</v>
      </c>
      <c r="C1526" s="33" t="s">
        <v>1843</v>
      </c>
      <c r="D1526" s="33" t="s">
        <v>1845</v>
      </c>
      <c r="E1526" s="33" t="s">
        <v>2843</v>
      </c>
      <c r="F1526" s="38" t="s">
        <v>56</v>
      </c>
    </row>
    <row r="1527" spans="1:6" ht="14.5" hidden="1" customHeight="1" x14ac:dyDescent="0.35">
      <c r="A1527" s="33" t="s">
        <v>1842</v>
      </c>
      <c r="B1527" s="33" t="s">
        <v>83</v>
      </c>
      <c r="C1527" s="33" t="s">
        <v>1843</v>
      </c>
      <c r="D1527" s="33" t="s">
        <v>1843</v>
      </c>
      <c r="E1527" s="33" t="s">
        <v>2861</v>
      </c>
      <c r="F1527" s="38" t="s">
        <v>2740</v>
      </c>
    </row>
    <row r="1528" spans="1:6" ht="14.5" hidden="1" customHeight="1" x14ac:dyDescent="0.35">
      <c r="A1528" s="33" t="s">
        <v>1842</v>
      </c>
      <c r="B1528" s="33" t="s">
        <v>19</v>
      </c>
      <c r="C1528" s="33" t="s">
        <v>1843</v>
      </c>
      <c r="D1528" s="33" t="s">
        <v>1846</v>
      </c>
      <c r="E1528" s="33" t="s">
        <v>2859</v>
      </c>
      <c r="F1528" s="38" t="s">
        <v>56</v>
      </c>
    </row>
    <row r="1529" spans="1:6" ht="14.5" hidden="1" customHeight="1" x14ac:dyDescent="0.35">
      <c r="A1529" s="33" t="s">
        <v>1842</v>
      </c>
      <c r="B1529" s="33" t="s">
        <v>84</v>
      </c>
      <c r="C1529" s="33" t="s">
        <v>1843</v>
      </c>
      <c r="D1529" s="33" t="s">
        <v>1847</v>
      </c>
      <c r="E1529" s="33" t="s">
        <v>2843</v>
      </c>
      <c r="F1529" s="38" t="s">
        <v>56</v>
      </c>
    </row>
    <row r="1530" spans="1:6" ht="14.5" hidden="1" customHeight="1" x14ac:dyDescent="0.35">
      <c r="A1530" s="33" t="s">
        <v>1848</v>
      </c>
      <c r="B1530" s="33" t="s">
        <v>80</v>
      </c>
      <c r="C1530" s="33" t="s">
        <v>1849</v>
      </c>
      <c r="D1530" s="33" t="s">
        <v>1850</v>
      </c>
      <c r="E1530" s="33" t="s">
        <v>2873</v>
      </c>
      <c r="F1530" s="38" t="s">
        <v>132</v>
      </c>
    </row>
    <row r="1531" spans="1:6" ht="14.5" hidden="1" customHeight="1" x14ac:dyDescent="0.35">
      <c r="A1531" s="33" t="s">
        <v>1851</v>
      </c>
      <c r="B1531" s="33" t="s">
        <v>80</v>
      </c>
      <c r="C1531" s="33" t="s">
        <v>1852</v>
      </c>
      <c r="D1531" s="33" t="s">
        <v>1852</v>
      </c>
      <c r="E1531" s="33" t="s">
        <v>2873</v>
      </c>
      <c r="F1531" s="38" t="s">
        <v>132</v>
      </c>
    </row>
    <row r="1532" spans="1:6" ht="14.5" hidden="1" customHeight="1" x14ac:dyDescent="0.35">
      <c r="A1532" s="33" t="s">
        <v>1853</v>
      </c>
      <c r="B1532" s="33" t="s">
        <v>80</v>
      </c>
      <c r="C1532" s="33" t="s">
        <v>1854</v>
      </c>
      <c r="D1532" s="33" t="s">
        <v>1854</v>
      </c>
      <c r="E1532" s="33" t="s">
        <v>2873</v>
      </c>
      <c r="F1532" s="38" t="s">
        <v>132</v>
      </c>
    </row>
    <row r="1533" spans="1:6" ht="14.5" hidden="1" customHeight="1" x14ac:dyDescent="0.35">
      <c r="A1533" s="33" t="s">
        <v>1855</v>
      </c>
      <c r="B1533" s="33" t="s">
        <v>81</v>
      </c>
      <c r="C1533" s="33" t="s">
        <v>1856</v>
      </c>
      <c r="D1533" s="33" t="s">
        <v>1857</v>
      </c>
      <c r="E1533" s="33" t="s">
        <v>2843</v>
      </c>
      <c r="F1533" s="38" t="s">
        <v>56</v>
      </c>
    </row>
    <row r="1534" spans="1:6" ht="14.5" hidden="1" customHeight="1" x14ac:dyDescent="0.35">
      <c r="A1534" s="33" t="s">
        <v>1855</v>
      </c>
      <c r="B1534" s="33" t="s">
        <v>80</v>
      </c>
      <c r="C1534" s="33" t="s">
        <v>1856</v>
      </c>
      <c r="D1534" s="33" t="s">
        <v>1858</v>
      </c>
      <c r="E1534" s="33" t="s">
        <v>2871</v>
      </c>
      <c r="F1534" s="38" t="s">
        <v>54</v>
      </c>
    </row>
    <row r="1535" spans="1:6" ht="14.5" hidden="1" customHeight="1" x14ac:dyDescent="0.35">
      <c r="A1535" s="33" t="s">
        <v>1855</v>
      </c>
      <c r="B1535" s="33" t="s">
        <v>82</v>
      </c>
      <c r="C1535" s="33" t="s">
        <v>1856</v>
      </c>
      <c r="D1535" s="33" t="s">
        <v>1859</v>
      </c>
      <c r="E1535" s="33" t="s">
        <v>2866</v>
      </c>
      <c r="F1535" s="38" t="s">
        <v>54</v>
      </c>
    </row>
    <row r="1536" spans="1:6" ht="14.5" hidden="1" customHeight="1" x14ac:dyDescent="0.35">
      <c r="A1536" s="33" t="s">
        <v>1855</v>
      </c>
      <c r="B1536" s="33" t="s">
        <v>83</v>
      </c>
      <c r="C1536" s="33" t="s">
        <v>1856</v>
      </c>
      <c r="D1536" s="33" t="s">
        <v>1860</v>
      </c>
      <c r="E1536" s="33" t="s">
        <v>2843</v>
      </c>
      <c r="F1536" s="38" t="s">
        <v>56</v>
      </c>
    </row>
    <row r="1537" spans="1:6" ht="14.5" customHeight="1" x14ac:dyDescent="0.35">
      <c r="A1537" s="33" t="s">
        <v>1861</v>
      </c>
      <c r="B1537" s="33" t="s">
        <v>80</v>
      </c>
      <c r="C1537" s="33" t="s">
        <v>1862</v>
      </c>
      <c r="D1537" s="33" t="s">
        <v>1862</v>
      </c>
      <c r="E1537" s="33" t="s">
        <v>2879</v>
      </c>
      <c r="F1537" s="38" t="s">
        <v>1687</v>
      </c>
    </row>
    <row r="1538" spans="1:6" ht="14.5" hidden="1" customHeight="1" x14ac:dyDescent="0.35">
      <c r="A1538" s="33" t="s">
        <v>1861</v>
      </c>
      <c r="B1538" s="33" t="s">
        <v>82</v>
      </c>
      <c r="C1538" s="33" t="s">
        <v>1862</v>
      </c>
      <c r="D1538" s="33" t="s">
        <v>1863</v>
      </c>
      <c r="E1538" s="33" t="s">
        <v>2844</v>
      </c>
      <c r="F1538" s="38" t="s">
        <v>48</v>
      </c>
    </row>
    <row r="1539" spans="1:6" ht="14.5" hidden="1" customHeight="1" x14ac:dyDescent="0.35">
      <c r="A1539" s="33" t="s">
        <v>1861</v>
      </c>
      <c r="B1539" s="33" t="s">
        <v>83</v>
      </c>
      <c r="C1539" s="33" t="s">
        <v>1862</v>
      </c>
      <c r="D1539" s="33" t="s">
        <v>1864</v>
      </c>
      <c r="E1539" s="33" t="s">
        <v>2839</v>
      </c>
      <c r="F1539" s="38" t="s">
        <v>48</v>
      </c>
    </row>
    <row r="1540" spans="1:6" ht="14.5" hidden="1" customHeight="1" x14ac:dyDescent="0.35">
      <c r="A1540" s="33" t="s">
        <v>1865</v>
      </c>
      <c r="B1540" s="33" t="s">
        <v>81</v>
      </c>
      <c r="C1540" s="33" t="s">
        <v>1866</v>
      </c>
      <c r="D1540" s="33" t="s">
        <v>1867</v>
      </c>
      <c r="E1540" s="33" t="s">
        <v>2843</v>
      </c>
      <c r="F1540" s="38" t="s">
        <v>56</v>
      </c>
    </row>
    <row r="1541" spans="1:6" ht="14.5" hidden="1" customHeight="1" x14ac:dyDescent="0.35">
      <c r="A1541" s="33" t="s">
        <v>1865</v>
      </c>
      <c r="B1541" s="33" t="s">
        <v>80</v>
      </c>
      <c r="C1541" s="33" t="s">
        <v>1866</v>
      </c>
      <c r="D1541" s="33" t="s">
        <v>1868</v>
      </c>
      <c r="E1541" s="33" t="s">
        <v>2847</v>
      </c>
      <c r="F1541" s="38" t="s">
        <v>132</v>
      </c>
    </row>
    <row r="1542" spans="1:6" ht="14.5" hidden="1" customHeight="1" x14ac:dyDescent="0.35">
      <c r="A1542" s="33" t="s">
        <v>1865</v>
      </c>
      <c r="B1542" s="33" t="s">
        <v>83</v>
      </c>
      <c r="C1542" s="33" t="s">
        <v>1866</v>
      </c>
      <c r="D1542" s="33" t="s">
        <v>1869</v>
      </c>
      <c r="E1542" s="33" t="s">
        <v>2873</v>
      </c>
      <c r="F1542" s="38" t="s">
        <v>132</v>
      </c>
    </row>
    <row r="1543" spans="1:6" ht="14.5" hidden="1" customHeight="1" x14ac:dyDescent="0.35">
      <c r="A1543" s="33" t="s">
        <v>1865</v>
      </c>
      <c r="B1543" s="33" t="s">
        <v>84</v>
      </c>
      <c r="C1543" s="33" t="s">
        <v>1866</v>
      </c>
      <c r="D1543" s="33" t="s">
        <v>1870</v>
      </c>
      <c r="E1543" s="33" t="s">
        <v>2844</v>
      </c>
      <c r="F1543" s="38" t="s">
        <v>48</v>
      </c>
    </row>
    <row r="1544" spans="1:6" ht="14.5" hidden="1" customHeight="1" x14ac:dyDescent="0.35">
      <c r="A1544" s="33" t="s">
        <v>1865</v>
      </c>
      <c r="B1544" s="33" t="s">
        <v>85</v>
      </c>
      <c r="C1544" s="33" t="s">
        <v>1866</v>
      </c>
      <c r="D1544" s="33" t="s">
        <v>1871</v>
      </c>
      <c r="E1544" s="33" t="s">
        <v>2839</v>
      </c>
      <c r="F1544" s="38" t="s">
        <v>48</v>
      </c>
    </row>
    <row r="1545" spans="1:6" ht="14.5" hidden="1" customHeight="1" x14ac:dyDescent="0.35">
      <c r="A1545" s="33" t="s">
        <v>1865</v>
      </c>
      <c r="B1545" s="33" t="s">
        <v>86</v>
      </c>
      <c r="C1545" s="33" t="s">
        <v>1866</v>
      </c>
      <c r="D1545" s="33" t="s">
        <v>1872</v>
      </c>
      <c r="E1545" s="33" t="s">
        <v>2847</v>
      </c>
      <c r="F1545" s="38" t="s">
        <v>1914</v>
      </c>
    </row>
    <row r="1546" spans="1:6" ht="14.5" hidden="1" customHeight="1" x14ac:dyDescent="0.35">
      <c r="A1546" s="33" t="s">
        <v>1865</v>
      </c>
      <c r="B1546" s="33" t="s">
        <v>87</v>
      </c>
      <c r="C1546" s="33" t="s">
        <v>1866</v>
      </c>
      <c r="D1546" s="33" t="s">
        <v>1873</v>
      </c>
      <c r="E1546" s="33" t="s">
        <v>2847</v>
      </c>
      <c r="F1546" s="38" t="s">
        <v>1914</v>
      </c>
    </row>
    <row r="1547" spans="1:6" ht="14.5" hidden="1" customHeight="1" x14ac:dyDescent="0.35">
      <c r="A1547" s="33" t="s">
        <v>1865</v>
      </c>
      <c r="B1547" s="33" t="s">
        <v>88</v>
      </c>
      <c r="C1547" s="33" t="s">
        <v>1866</v>
      </c>
      <c r="D1547" s="33" t="s">
        <v>1874</v>
      </c>
      <c r="E1547" s="33" t="s">
        <v>2847</v>
      </c>
      <c r="F1547" s="38" t="s">
        <v>1914</v>
      </c>
    </row>
    <row r="1548" spans="1:6" ht="14.5" hidden="1" customHeight="1" x14ac:dyDescent="0.35">
      <c r="A1548" s="33" t="s">
        <v>1865</v>
      </c>
      <c r="B1548" s="33" t="s">
        <v>90</v>
      </c>
      <c r="C1548" s="33" t="s">
        <v>1866</v>
      </c>
      <c r="D1548" s="33" t="s">
        <v>1875</v>
      </c>
      <c r="E1548" s="33" t="s">
        <v>2847</v>
      </c>
      <c r="F1548" s="38" t="s">
        <v>1914</v>
      </c>
    </row>
    <row r="1549" spans="1:6" ht="14.5" hidden="1" customHeight="1" x14ac:dyDescent="0.35">
      <c r="A1549" s="33" t="s">
        <v>1865</v>
      </c>
      <c r="B1549" s="33" t="s">
        <v>92</v>
      </c>
      <c r="C1549" s="33" t="s">
        <v>1866</v>
      </c>
      <c r="D1549" s="33" t="s">
        <v>1876</v>
      </c>
      <c r="E1549" s="33" t="s">
        <v>2847</v>
      </c>
      <c r="F1549" s="38" t="s">
        <v>1914</v>
      </c>
    </row>
    <row r="1550" spans="1:6" ht="14.5" hidden="1" customHeight="1" x14ac:dyDescent="0.35">
      <c r="A1550" s="33" t="s">
        <v>1865</v>
      </c>
      <c r="B1550" s="33" t="s">
        <v>94</v>
      </c>
      <c r="C1550" s="33" t="s">
        <v>1866</v>
      </c>
      <c r="D1550" s="33" t="s">
        <v>1877</v>
      </c>
      <c r="E1550" s="33" t="s">
        <v>2847</v>
      </c>
      <c r="F1550" s="38" t="s">
        <v>1914</v>
      </c>
    </row>
    <row r="1551" spans="1:6" ht="14.5" hidden="1" customHeight="1" x14ac:dyDescent="0.35">
      <c r="A1551" s="33" t="s">
        <v>1865</v>
      </c>
      <c r="B1551" s="33" t="s">
        <v>96</v>
      </c>
      <c r="C1551" s="33" t="s">
        <v>1866</v>
      </c>
      <c r="D1551" s="33" t="s">
        <v>1878</v>
      </c>
      <c r="E1551" s="33" t="s">
        <v>2847</v>
      </c>
      <c r="F1551" s="38" t="s">
        <v>1914</v>
      </c>
    </row>
    <row r="1552" spans="1:6" ht="14.5" hidden="1" customHeight="1" x14ac:dyDescent="0.35">
      <c r="A1552" s="33" t="s">
        <v>1865</v>
      </c>
      <c r="B1552" s="33" t="s">
        <v>98</v>
      </c>
      <c r="C1552" s="33" t="s">
        <v>1866</v>
      </c>
      <c r="D1552" s="33" t="s">
        <v>1879</v>
      </c>
      <c r="E1552" s="33" t="s">
        <v>2847</v>
      </c>
      <c r="F1552" s="38" t="s">
        <v>1914</v>
      </c>
    </row>
    <row r="1553" spans="1:6" ht="14.5" hidden="1" customHeight="1" x14ac:dyDescent="0.35">
      <c r="A1553" s="33" t="s">
        <v>1865</v>
      </c>
      <c r="B1553" s="33" t="s">
        <v>100</v>
      </c>
      <c r="C1553" s="33" t="s">
        <v>1866</v>
      </c>
      <c r="D1553" s="33" t="s">
        <v>1880</v>
      </c>
      <c r="E1553" s="33" t="s">
        <v>2873</v>
      </c>
      <c r="F1553" s="38" t="s">
        <v>132</v>
      </c>
    </row>
    <row r="1554" spans="1:6" ht="14.5" hidden="1" customHeight="1" x14ac:dyDescent="0.35">
      <c r="A1554" s="33" t="s">
        <v>1865</v>
      </c>
      <c r="B1554" s="33" t="s">
        <v>102</v>
      </c>
      <c r="C1554" s="33" t="s">
        <v>1866</v>
      </c>
      <c r="D1554" s="33" t="s">
        <v>1881</v>
      </c>
      <c r="E1554" s="33" t="s">
        <v>2847</v>
      </c>
      <c r="F1554" s="38" t="s">
        <v>1914</v>
      </c>
    </row>
    <row r="1555" spans="1:6" ht="14.5" hidden="1" customHeight="1" x14ac:dyDescent="0.35">
      <c r="A1555" s="33" t="s">
        <v>1865</v>
      </c>
      <c r="B1555" s="33" t="s">
        <v>104</v>
      </c>
      <c r="C1555" s="33" t="s">
        <v>1866</v>
      </c>
      <c r="D1555" s="33" t="s">
        <v>1882</v>
      </c>
      <c r="E1555" s="33" t="s">
        <v>2843</v>
      </c>
      <c r="F1555" s="38" t="s">
        <v>56</v>
      </c>
    </row>
    <row r="1556" spans="1:6" ht="14.5" hidden="1" customHeight="1" x14ac:dyDescent="0.35">
      <c r="A1556" s="33" t="s">
        <v>1883</v>
      </c>
      <c r="B1556" s="33" t="s">
        <v>80</v>
      </c>
      <c r="C1556" s="33" t="s">
        <v>1884</v>
      </c>
      <c r="D1556" s="33" t="s">
        <v>1884</v>
      </c>
      <c r="E1556" s="33" t="s">
        <v>2845</v>
      </c>
      <c r="F1556" s="38" t="s">
        <v>50</v>
      </c>
    </row>
    <row r="1557" spans="1:6" ht="14.5" customHeight="1" x14ac:dyDescent="0.35">
      <c r="A1557" s="33" t="s">
        <v>1897</v>
      </c>
      <c r="B1557" s="33" t="s">
        <v>80</v>
      </c>
      <c r="C1557" s="33" t="s">
        <v>1898</v>
      </c>
      <c r="D1557" s="33" t="s">
        <v>1899</v>
      </c>
      <c r="E1557" s="33" t="s">
        <v>2879</v>
      </c>
      <c r="F1557" s="38" t="s">
        <v>1687</v>
      </c>
    </row>
    <row r="1558" spans="1:6" ht="14.5" hidden="1" customHeight="1" x14ac:dyDescent="0.35">
      <c r="A1558" s="33" t="s">
        <v>1897</v>
      </c>
      <c r="B1558" s="33" t="s">
        <v>1900</v>
      </c>
      <c r="C1558" s="33" t="s">
        <v>1898</v>
      </c>
      <c r="D1558" s="33" t="s">
        <v>1901</v>
      </c>
      <c r="E1558" s="33" t="s">
        <v>2870</v>
      </c>
      <c r="F1558" s="38" t="s">
        <v>56</v>
      </c>
    </row>
    <row r="1559" spans="1:6" ht="14.5" hidden="1" customHeight="1" x14ac:dyDescent="0.35">
      <c r="A1559" s="33" t="s">
        <v>1897</v>
      </c>
      <c r="B1559" s="33" t="s">
        <v>108</v>
      </c>
      <c r="C1559" s="33" t="s">
        <v>1898</v>
      </c>
      <c r="D1559" s="33" t="s">
        <v>1902</v>
      </c>
      <c r="E1559" s="33" t="s">
        <v>2843</v>
      </c>
      <c r="F1559" s="38" t="s">
        <v>56</v>
      </c>
    </row>
    <row r="1560" spans="1:6" ht="14.5" customHeight="1" x14ac:dyDescent="0.35">
      <c r="A1560" s="33" t="s">
        <v>1897</v>
      </c>
      <c r="B1560" s="33" t="s">
        <v>19</v>
      </c>
      <c r="C1560" s="33" t="s">
        <v>1898</v>
      </c>
      <c r="D1560" s="33" t="s">
        <v>1903</v>
      </c>
      <c r="E1560" s="33" t="s">
        <v>2879</v>
      </c>
      <c r="F1560" s="38" t="s">
        <v>1687</v>
      </c>
    </row>
    <row r="1561" spans="1:6" ht="14.5" hidden="1" customHeight="1" x14ac:dyDescent="0.35">
      <c r="A1561" s="33" t="s">
        <v>1897</v>
      </c>
      <c r="B1561" s="33" t="s">
        <v>84</v>
      </c>
      <c r="C1561" s="33" t="s">
        <v>1898</v>
      </c>
      <c r="D1561" s="33" t="s">
        <v>1904</v>
      </c>
      <c r="E1561" s="33" t="s">
        <v>2861</v>
      </c>
      <c r="F1561" s="38" t="s">
        <v>2740</v>
      </c>
    </row>
    <row r="1562" spans="1:6" ht="14.5" hidden="1" customHeight="1" x14ac:dyDescent="0.35">
      <c r="A1562" s="33" t="s">
        <v>1897</v>
      </c>
      <c r="B1562" s="33" t="s">
        <v>85</v>
      </c>
      <c r="C1562" s="33" t="s">
        <v>1898</v>
      </c>
      <c r="D1562" s="33" t="s">
        <v>1905</v>
      </c>
      <c r="E1562" s="33" t="s">
        <v>2859</v>
      </c>
      <c r="F1562" s="38" t="s">
        <v>56</v>
      </c>
    </row>
    <row r="1563" spans="1:6" ht="14.5" hidden="1" customHeight="1" x14ac:dyDescent="0.35">
      <c r="A1563" s="33" t="s">
        <v>1897</v>
      </c>
      <c r="B1563" s="33" t="s">
        <v>89</v>
      </c>
      <c r="C1563" s="33" t="s">
        <v>1898</v>
      </c>
      <c r="D1563" s="33" t="s">
        <v>1906</v>
      </c>
      <c r="E1563" s="33" t="s">
        <v>2843</v>
      </c>
      <c r="F1563" s="38" t="s">
        <v>56</v>
      </c>
    </row>
    <row r="1564" spans="1:6" ht="14.5" hidden="1" customHeight="1" x14ac:dyDescent="0.35">
      <c r="A1564" s="33" t="s">
        <v>1907</v>
      </c>
      <c r="B1564" s="33" t="s">
        <v>80</v>
      </c>
      <c r="C1564" s="33" t="s">
        <v>1908</v>
      </c>
      <c r="D1564" s="33" t="s">
        <v>1909</v>
      </c>
      <c r="E1564" s="33" t="s">
        <v>2845</v>
      </c>
      <c r="F1564" s="38" t="s">
        <v>50</v>
      </c>
    </row>
    <row r="1565" spans="1:6" ht="14.5" hidden="1" customHeight="1" x14ac:dyDescent="0.35">
      <c r="A1565" s="33" t="s">
        <v>1907</v>
      </c>
      <c r="B1565" s="33" t="s">
        <v>82</v>
      </c>
      <c r="C1565" s="33" t="s">
        <v>1908</v>
      </c>
      <c r="D1565" s="33" t="s">
        <v>1910</v>
      </c>
      <c r="E1565" s="33" t="s">
        <v>2845</v>
      </c>
      <c r="F1565" s="38" t="s">
        <v>50</v>
      </c>
    </row>
    <row r="1566" spans="1:6" ht="14.5" customHeight="1" x14ac:dyDescent="0.35">
      <c r="A1566" s="33" t="s">
        <v>1911</v>
      </c>
      <c r="B1566" s="33" t="s">
        <v>80</v>
      </c>
      <c r="C1566" s="33" t="s">
        <v>1912</v>
      </c>
      <c r="D1566" s="33" t="s">
        <v>1913</v>
      </c>
      <c r="E1566" s="33" t="s">
        <v>2879</v>
      </c>
      <c r="F1566" s="38" t="s">
        <v>1687</v>
      </c>
    </row>
    <row r="1567" spans="1:6" ht="14.5" hidden="1" customHeight="1" x14ac:dyDescent="0.35">
      <c r="A1567" s="33" t="s">
        <v>1911</v>
      </c>
      <c r="B1567" s="33" t="s">
        <v>83</v>
      </c>
      <c r="C1567" s="33" t="s">
        <v>1912</v>
      </c>
      <c r="D1567" s="33" t="s">
        <v>1915</v>
      </c>
      <c r="E1567" s="33" t="s">
        <v>2838</v>
      </c>
      <c r="F1567" s="38" t="s">
        <v>48</v>
      </c>
    </row>
    <row r="1568" spans="1:6" ht="14.5" hidden="1" customHeight="1" x14ac:dyDescent="0.35">
      <c r="A1568" s="33" t="s">
        <v>1911</v>
      </c>
      <c r="B1568" s="33" t="s">
        <v>19</v>
      </c>
      <c r="C1568" s="33" t="s">
        <v>1912</v>
      </c>
      <c r="D1568" s="33" t="s">
        <v>1916</v>
      </c>
      <c r="E1568" s="33" t="s">
        <v>2839</v>
      </c>
      <c r="F1568" s="38" t="s">
        <v>48</v>
      </c>
    </row>
    <row r="1569" spans="1:6" ht="14.5" hidden="1" customHeight="1" x14ac:dyDescent="0.35">
      <c r="A1569" s="33" t="s">
        <v>1917</v>
      </c>
      <c r="B1569" s="33" t="s">
        <v>80</v>
      </c>
      <c r="C1569" s="33" t="s">
        <v>1918</v>
      </c>
      <c r="D1569" s="33" t="s">
        <v>1919</v>
      </c>
      <c r="E1569" s="33" t="s">
        <v>2860</v>
      </c>
      <c r="F1569" s="38" t="s">
        <v>50</v>
      </c>
    </row>
    <row r="1570" spans="1:6" ht="14.5" hidden="1" customHeight="1" x14ac:dyDescent="0.35">
      <c r="A1570" s="33" t="s">
        <v>1917</v>
      </c>
      <c r="B1570" s="33" t="s">
        <v>82</v>
      </c>
      <c r="C1570" s="33" t="s">
        <v>1918</v>
      </c>
      <c r="D1570" s="33" t="s">
        <v>1920</v>
      </c>
      <c r="E1570" s="33" t="s">
        <v>2859</v>
      </c>
      <c r="F1570" s="38" t="s">
        <v>56</v>
      </c>
    </row>
    <row r="1571" spans="1:6" ht="14.5" hidden="1" customHeight="1" x14ac:dyDescent="0.35">
      <c r="A1571" s="33" t="s">
        <v>1917</v>
      </c>
      <c r="B1571" s="33" t="s">
        <v>83</v>
      </c>
      <c r="C1571" s="33" t="s">
        <v>1918</v>
      </c>
      <c r="D1571" s="33" t="s">
        <v>1921</v>
      </c>
      <c r="E1571" s="33" t="s">
        <v>2861</v>
      </c>
      <c r="F1571" s="38" t="s">
        <v>2740</v>
      </c>
    </row>
    <row r="1572" spans="1:6" ht="14.5" hidden="1" customHeight="1" x14ac:dyDescent="0.35">
      <c r="A1572" s="33" t="s">
        <v>1926</v>
      </c>
      <c r="B1572" s="33" t="s">
        <v>80</v>
      </c>
      <c r="C1572" s="33" t="s">
        <v>1927</v>
      </c>
      <c r="D1572" s="33" t="s">
        <v>1928</v>
      </c>
      <c r="E1572" s="33" t="s">
        <v>2869</v>
      </c>
      <c r="F1572" s="38" t="s">
        <v>132</v>
      </c>
    </row>
    <row r="1573" spans="1:6" ht="14.5" hidden="1" customHeight="1" x14ac:dyDescent="0.35">
      <c r="A1573" s="33" t="s">
        <v>1926</v>
      </c>
      <c r="B1573" s="33" t="s">
        <v>84</v>
      </c>
      <c r="C1573" s="33" t="s">
        <v>1927</v>
      </c>
      <c r="D1573" s="33" t="s">
        <v>1929</v>
      </c>
      <c r="E1573" s="33" t="s">
        <v>2859</v>
      </c>
      <c r="F1573" s="38" t="s">
        <v>56</v>
      </c>
    </row>
    <row r="1574" spans="1:6" ht="14.5" customHeight="1" x14ac:dyDescent="0.35">
      <c r="A1574" s="33" t="s">
        <v>1937</v>
      </c>
      <c r="B1574" s="33" t="s">
        <v>80</v>
      </c>
      <c r="C1574" s="33" t="s">
        <v>1938</v>
      </c>
      <c r="D1574" s="33" t="s">
        <v>1939</v>
      </c>
      <c r="E1574" s="33" t="s">
        <v>2879</v>
      </c>
      <c r="F1574" s="38" t="s">
        <v>1687</v>
      </c>
    </row>
    <row r="1575" spans="1:6" ht="14.5" customHeight="1" x14ac:dyDescent="0.35">
      <c r="A1575" s="33" t="s">
        <v>1937</v>
      </c>
      <c r="B1575" s="33" t="s">
        <v>82</v>
      </c>
      <c r="C1575" s="33" t="s">
        <v>1938</v>
      </c>
      <c r="D1575" s="33" t="s">
        <v>1940</v>
      </c>
      <c r="E1575" s="33" t="s">
        <v>2879</v>
      </c>
      <c r="F1575" s="38" t="s">
        <v>1687</v>
      </c>
    </row>
    <row r="1576" spans="1:6" ht="14.5" customHeight="1" x14ac:dyDescent="0.35">
      <c r="A1576" s="33" t="s">
        <v>1941</v>
      </c>
      <c r="B1576" s="33" t="s">
        <v>80</v>
      </c>
      <c r="C1576" s="33" t="s">
        <v>1942</v>
      </c>
      <c r="D1576" s="33" t="s">
        <v>1943</v>
      </c>
      <c r="E1576" s="33" t="s">
        <v>2879</v>
      </c>
      <c r="F1576" s="38" t="s">
        <v>1687</v>
      </c>
    </row>
    <row r="1577" spans="1:6" ht="14.5" hidden="1" customHeight="1" x14ac:dyDescent="0.35">
      <c r="A1577" s="33" t="s">
        <v>1941</v>
      </c>
      <c r="B1577" s="33" t="s">
        <v>83</v>
      </c>
      <c r="C1577" s="33" t="s">
        <v>1942</v>
      </c>
      <c r="D1577" s="33" t="s">
        <v>1944</v>
      </c>
      <c r="E1577" s="33" t="s">
        <v>2844</v>
      </c>
      <c r="F1577" s="38" t="s">
        <v>48</v>
      </c>
    </row>
    <row r="1578" spans="1:6" ht="14.5" hidden="1" customHeight="1" x14ac:dyDescent="0.35">
      <c r="A1578" s="33" t="s">
        <v>1941</v>
      </c>
      <c r="B1578" s="33" t="s">
        <v>19</v>
      </c>
      <c r="C1578" s="33" t="s">
        <v>1942</v>
      </c>
      <c r="D1578" s="33" t="s">
        <v>1945</v>
      </c>
      <c r="E1578" s="33" t="s">
        <v>2839</v>
      </c>
      <c r="F1578" s="38" t="s">
        <v>48</v>
      </c>
    </row>
    <row r="1579" spans="1:6" ht="14.5" customHeight="1" x14ac:dyDescent="0.35">
      <c r="A1579" s="33" t="s">
        <v>1946</v>
      </c>
      <c r="B1579" s="33" t="s">
        <v>80</v>
      </c>
      <c r="C1579" s="33" t="s">
        <v>1947</v>
      </c>
      <c r="D1579" s="33" t="s">
        <v>1948</v>
      </c>
      <c r="E1579" s="33" t="s">
        <v>2879</v>
      </c>
      <c r="F1579" s="38" t="s">
        <v>1687</v>
      </c>
    </row>
    <row r="1580" spans="1:6" ht="14.5" hidden="1" customHeight="1" x14ac:dyDescent="0.35">
      <c r="A1580" s="33" t="s">
        <v>1946</v>
      </c>
      <c r="B1580" s="33" t="s">
        <v>83</v>
      </c>
      <c r="C1580" s="33" t="s">
        <v>1947</v>
      </c>
      <c r="D1580" s="33" t="s">
        <v>1949</v>
      </c>
      <c r="E1580" s="33" t="s">
        <v>2844</v>
      </c>
      <c r="F1580" s="38" t="s">
        <v>48</v>
      </c>
    </row>
    <row r="1581" spans="1:6" ht="14.5" hidden="1" customHeight="1" x14ac:dyDescent="0.35">
      <c r="A1581" s="33" t="s">
        <v>1946</v>
      </c>
      <c r="B1581" s="33" t="s">
        <v>19</v>
      </c>
      <c r="C1581" s="33" t="s">
        <v>1947</v>
      </c>
      <c r="D1581" s="33" t="s">
        <v>1950</v>
      </c>
      <c r="E1581" s="33" t="s">
        <v>2839</v>
      </c>
      <c r="F1581" s="38" t="s">
        <v>48</v>
      </c>
    </row>
    <row r="1582" spans="1:6" ht="14.5" customHeight="1" x14ac:dyDescent="0.35">
      <c r="A1582" s="33" t="s">
        <v>1951</v>
      </c>
      <c r="B1582" s="33" t="s">
        <v>80</v>
      </c>
      <c r="C1582" s="33" t="s">
        <v>1952</v>
      </c>
      <c r="D1582" s="33" t="s">
        <v>1953</v>
      </c>
      <c r="E1582" s="33" t="s">
        <v>2879</v>
      </c>
      <c r="F1582" s="38" t="s">
        <v>1687</v>
      </c>
    </row>
    <row r="1583" spans="1:6" ht="14.5" hidden="1" customHeight="1" x14ac:dyDescent="0.35">
      <c r="A1583" s="33" t="s">
        <v>1951</v>
      </c>
      <c r="B1583" s="33" t="s">
        <v>83</v>
      </c>
      <c r="C1583" s="33" t="s">
        <v>1952</v>
      </c>
      <c r="D1583" s="33" t="s">
        <v>1954</v>
      </c>
      <c r="E1583" s="33" t="s">
        <v>2844</v>
      </c>
      <c r="F1583" s="38" t="s">
        <v>48</v>
      </c>
    </row>
    <row r="1584" spans="1:6" ht="14.5" hidden="1" customHeight="1" x14ac:dyDescent="0.35">
      <c r="A1584" s="33" t="s">
        <v>1951</v>
      </c>
      <c r="B1584" s="33" t="s">
        <v>19</v>
      </c>
      <c r="C1584" s="33" t="s">
        <v>1952</v>
      </c>
      <c r="D1584" s="33" t="s">
        <v>1955</v>
      </c>
      <c r="E1584" s="33" t="s">
        <v>2839</v>
      </c>
      <c r="F1584" s="38" t="s">
        <v>48</v>
      </c>
    </row>
    <row r="1585" spans="1:6" ht="14.5" hidden="1" customHeight="1" x14ac:dyDescent="0.35">
      <c r="A1585" s="33" t="s">
        <v>1956</v>
      </c>
      <c r="B1585" s="33" t="s">
        <v>80</v>
      </c>
      <c r="C1585" s="33" t="s">
        <v>1957</v>
      </c>
      <c r="D1585" s="33" t="s">
        <v>1958</v>
      </c>
      <c r="E1585" s="33" t="s">
        <v>2875</v>
      </c>
      <c r="F1585" s="38" t="s">
        <v>2912</v>
      </c>
    </row>
    <row r="1586" spans="1:6" ht="14.5" hidden="1" customHeight="1" x14ac:dyDescent="0.35">
      <c r="A1586" s="33" t="s">
        <v>1956</v>
      </c>
      <c r="B1586" s="33" t="s">
        <v>19</v>
      </c>
      <c r="C1586" s="33" t="s">
        <v>1957</v>
      </c>
      <c r="D1586" s="33" t="s">
        <v>1959</v>
      </c>
      <c r="E1586" s="33" t="s">
        <v>2861</v>
      </c>
      <c r="F1586" s="38" t="s">
        <v>2740</v>
      </c>
    </row>
    <row r="1587" spans="1:6" ht="14.5" hidden="1" customHeight="1" x14ac:dyDescent="0.35">
      <c r="A1587" s="33" t="s">
        <v>1960</v>
      </c>
      <c r="B1587" s="33" t="s">
        <v>80</v>
      </c>
      <c r="C1587" s="33" t="s">
        <v>1961</v>
      </c>
      <c r="D1587" s="33" t="s">
        <v>1962</v>
      </c>
      <c r="E1587" s="33" t="s">
        <v>2843</v>
      </c>
      <c r="F1587" s="38" t="s">
        <v>56</v>
      </c>
    </row>
    <row r="1588" spans="1:6" ht="14.5" hidden="1" customHeight="1" x14ac:dyDescent="0.35">
      <c r="A1588" s="33" t="s">
        <v>1960</v>
      </c>
      <c r="B1588" s="33" t="s">
        <v>83</v>
      </c>
      <c r="C1588" s="33" t="s">
        <v>1961</v>
      </c>
      <c r="D1588" s="33" t="s">
        <v>1963</v>
      </c>
      <c r="E1588" s="33" t="s">
        <v>2882</v>
      </c>
      <c r="F1588" s="38" t="s">
        <v>2739</v>
      </c>
    </row>
    <row r="1589" spans="1:6" ht="14.5" hidden="1" customHeight="1" x14ac:dyDescent="0.35">
      <c r="A1589" s="33" t="s">
        <v>1960</v>
      </c>
      <c r="B1589" s="33" t="s">
        <v>84</v>
      </c>
      <c r="C1589" s="33" t="s">
        <v>1961</v>
      </c>
      <c r="D1589" s="33" t="s">
        <v>1964</v>
      </c>
      <c r="E1589" s="33" t="s">
        <v>2882</v>
      </c>
      <c r="F1589" s="38" t="s">
        <v>2739</v>
      </c>
    </row>
    <row r="1590" spans="1:6" ht="14.5" hidden="1" customHeight="1" x14ac:dyDescent="0.35">
      <c r="A1590" s="33" t="s">
        <v>1960</v>
      </c>
      <c r="B1590" s="33" t="s">
        <v>86</v>
      </c>
      <c r="C1590" s="33" t="s">
        <v>1961</v>
      </c>
      <c r="D1590" s="33" t="s">
        <v>1965</v>
      </c>
      <c r="E1590" s="33" t="s">
        <v>2844</v>
      </c>
      <c r="F1590" s="38" t="s">
        <v>48</v>
      </c>
    </row>
    <row r="1591" spans="1:6" ht="14.5" hidden="1" customHeight="1" x14ac:dyDescent="0.35">
      <c r="A1591" s="33" t="s">
        <v>1960</v>
      </c>
      <c r="B1591" s="33" t="s">
        <v>89</v>
      </c>
      <c r="C1591" s="33" t="s">
        <v>1961</v>
      </c>
      <c r="D1591" s="33" t="s">
        <v>1966</v>
      </c>
      <c r="E1591" s="33" t="s">
        <v>2839</v>
      </c>
      <c r="F1591" s="38" t="s">
        <v>48</v>
      </c>
    </row>
    <row r="1592" spans="1:6" ht="14.5" hidden="1" customHeight="1" x14ac:dyDescent="0.35">
      <c r="A1592" s="33" t="s">
        <v>1960</v>
      </c>
      <c r="B1592" s="33" t="s">
        <v>87</v>
      </c>
      <c r="C1592" s="33" t="s">
        <v>1961</v>
      </c>
      <c r="D1592" s="33" t="s">
        <v>1967</v>
      </c>
      <c r="E1592" s="33" t="s">
        <v>2843</v>
      </c>
      <c r="F1592" s="38" t="s">
        <v>56</v>
      </c>
    </row>
    <row r="1593" spans="1:6" ht="14.5" customHeight="1" x14ac:dyDescent="0.35">
      <c r="A1593" s="33" t="s">
        <v>1968</v>
      </c>
      <c r="B1593" s="33" t="s">
        <v>80</v>
      </c>
      <c r="C1593" s="33" t="s">
        <v>1969</v>
      </c>
      <c r="D1593" s="33" t="s">
        <v>727</v>
      </c>
      <c r="E1593" s="33" t="s">
        <v>2879</v>
      </c>
      <c r="F1593" s="38" t="s">
        <v>1687</v>
      </c>
    </row>
    <row r="1594" spans="1:6" ht="14.5" hidden="1" customHeight="1" x14ac:dyDescent="0.35">
      <c r="A1594" s="33" t="s">
        <v>1968</v>
      </c>
      <c r="B1594" s="33" t="s">
        <v>83</v>
      </c>
      <c r="C1594" s="33" t="s">
        <v>1969</v>
      </c>
      <c r="D1594" s="33" t="s">
        <v>728</v>
      </c>
      <c r="E1594" s="33" t="s">
        <v>2870</v>
      </c>
      <c r="F1594" s="38" t="s">
        <v>56</v>
      </c>
    </row>
    <row r="1595" spans="1:6" ht="14.5" customHeight="1" x14ac:dyDescent="0.35">
      <c r="A1595" s="33" t="s">
        <v>1968</v>
      </c>
      <c r="B1595" s="33" t="s">
        <v>84</v>
      </c>
      <c r="C1595" s="33" t="s">
        <v>1969</v>
      </c>
      <c r="D1595" s="33" t="s">
        <v>729</v>
      </c>
      <c r="E1595" s="33" t="s">
        <v>2879</v>
      </c>
      <c r="F1595" s="38" t="s">
        <v>1687</v>
      </c>
    </row>
    <row r="1596" spans="1:6" ht="14.5" hidden="1" customHeight="1" x14ac:dyDescent="0.35">
      <c r="A1596" s="33" t="s">
        <v>1968</v>
      </c>
      <c r="B1596" s="33" t="s">
        <v>85</v>
      </c>
      <c r="C1596" s="33" t="s">
        <v>1969</v>
      </c>
      <c r="D1596" s="33" t="s">
        <v>730</v>
      </c>
      <c r="E1596" s="33" t="s">
        <v>2859</v>
      </c>
      <c r="F1596" s="38" t="s">
        <v>56</v>
      </c>
    </row>
    <row r="1597" spans="1:6" ht="14.5" hidden="1" customHeight="1" x14ac:dyDescent="0.35">
      <c r="A1597" s="33" t="s">
        <v>1968</v>
      </c>
      <c r="B1597" s="33" t="s">
        <v>89</v>
      </c>
      <c r="C1597" s="33" t="s">
        <v>1969</v>
      </c>
      <c r="D1597" s="33" t="s">
        <v>731</v>
      </c>
      <c r="E1597" s="33" t="s">
        <v>2844</v>
      </c>
      <c r="F1597" s="38" t="s">
        <v>48</v>
      </c>
    </row>
    <row r="1598" spans="1:6" ht="14.5" hidden="1" customHeight="1" x14ac:dyDescent="0.35">
      <c r="A1598" s="33" t="s">
        <v>1968</v>
      </c>
      <c r="B1598" s="33" t="s">
        <v>87</v>
      </c>
      <c r="C1598" s="33" t="s">
        <v>1969</v>
      </c>
      <c r="D1598" s="33" t="s">
        <v>732</v>
      </c>
      <c r="E1598" s="33" t="s">
        <v>2839</v>
      </c>
      <c r="F1598" s="38" t="s">
        <v>48</v>
      </c>
    </row>
    <row r="1599" spans="1:6" ht="14.5" hidden="1" customHeight="1" x14ac:dyDescent="0.35">
      <c r="A1599" s="33" t="s">
        <v>1970</v>
      </c>
      <c r="B1599" s="33" t="s">
        <v>80</v>
      </c>
      <c r="C1599" s="33" t="s">
        <v>1971</v>
      </c>
      <c r="D1599" s="33" t="s">
        <v>1972</v>
      </c>
      <c r="E1599" s="33" t="s">
        <v>2847</v>
      </c>
      <c r="F1599" s="38" t="s">
        <v>132</v>
      </c>
    </row>
    <row r="1600" spans="1:6" ht="14.5" hidden="1" customHeight="1" x14ac:dyDescent="0.35">
      <c r="A1600" s="33" t="s">
        <v>1973</v>
      </c>
      <c r="B1600" s="33" t="s">
        <v>80</v>
      </c>
      <c r="C1600" s="33" t="s">
        <v>1974</v>
      </c>
      <c r="D1600" s="33" t="s">
        <v>903</v>
      </c>
      <c r="E1600" s="33" t="s">
        <v>2843</v>
      </c>
      <c r="F1600" s="38" t="s">
        <v>56</v>
      </c>
    </row>
    <row r="1601" spans="1:6" ht="14.5" hidden="1" customHeight="1" x14ac:dyDescent="0.35">
      <c r="A1601" s="33" t="s">
        <v>1973</v>
      </c>
      <c r="B1601" s="33" t="s">
        <v>82</v>
      </c>
      <c r="C1601" s="33" t="s">
        <v>1974</v>
      </c>
      <c r="D1601" s="33" t="s">
        <v>904</v>
      </c>
      <c r="E1601" s="33" t="s">
        <v>2861</v>
      </c>
      <c r="F1601" s="38" t="s">
        <v>2740</v>
      </c>
    </row>
    <row r="1602" spans="1:6" ht="14.5" hidden="1" customHeight="1" x14ac:dyDescent="0.35">
      <c r="A1602" s="33" t="s">
        <v>1973</v>
      </c>
      <c r="B1602" s="33" t="s">
        <v>19</v>
      </c>
      <c r="C1602" s="33" t="s">
        <v>1974</v>
      </c>
      <c r="D1602" s="33" t="s">
        <v>905</v>
      </c>
      <c r="E1602" s="33" t="s">
        <v>2869</v>
      </c>
      <c r="F1602" s="38" t="s">
        <v>132</v>
      </c>
    </row>
    <row r="1603" spans="1:6" ht="14.5" hidden="1" customHeight="1" x14ac:dyDescent="0.35">
      <c r="A1603" s="33" t="s">
        <v>1973</v>
      </c>
      <c r="B1603" s="33" t="s">
        <v>84</v>
      </c>
      <c r="C1603" s="33" t="s">
        <v>1974</v>
      </c>
      <c r="D1603" s="33" t="s">
        <v>906</v>
      </c>
      <c r="E1603" s="33" t="s">
        <v>2870</v>
      </c>
      <c r="F1603" s="38" t="s">
        <v>56</v>
      </c>
    </row>
    <row r="1604" spans="1:6" ht="14.5" hidden="1" customHeight="1" x14ac:dyDescent="0.35">
      <c r="A1604" s="33" t="s">
        <v>1973</v>
      </c>
      <c r="B1604" s="33" t="s">
        <v>85</v>
      </c>
      <c r="C1604" s="33" t="s">
        <v>1974</v>
      </c>
      <c r="D1604" s="33" t="s">
        <v>907</v>
      </c>
      <c r="E1604" s="33" t="s">
        <v>2843</v>
      </c>
      <c r="F1604" s="38" t="s">
        <v>56</v>
      </c>
    </row>
    <row r="1605" spans="1:6" ht="14.5" hidden="1" customHeight="1" x14ac:dyDescent="0.35">
      <c r="A1605" s="33" t="s">
        <v>1973</v>
      </c>
      <c r="B1605" s="33" t="s">
        <v>86</v>
      </c>
      <c r="C1605" s="33" t="s">
        <v>1974</v>
      </c>
      <c r="D1605" s="33" t="s">
        <v>908</v>
      </c>
      <c r="E1605" s="33" t="s">
        <v>2861</v>
      </c>
      <c r="F1605" s="38" t="s">
        <v>2740</v>
      </c>
    </row>
    <row r="1606" spans="1:6" ht="14.5" hidden="1" customHeight="1" x14ac:dyDescent="0.35">
      <c r="A1606" s="33" t="s">
        <v>1973</v>
      </c>
      <c r="B1606" s="33" t="s">
        <v>89</v>
      </c>
      <c r="C1606" s="33" t="s">
        <v>1974</v>
      </c>
      <c r="D1606" s="33" t="s">
        <v>909</v>
      </c>
      <c r="E1606" s="33" t="s">
        <v>2843</v>
      </c>
      <c r="F1606" s="38" t="s">
        <v>56</v>
      </c>
    </row>
    <row r="1607" spans="1:6" ht="14.5" hidden="1" customHeight="1" x14ac:dyDescent="0.35">
      <c r="A1607" s="33" t="s">
        <v>1973</v>
      </c>
      <c r="B1607" s="33" t="s">
        <v>87</v>
      </c>
      <c r="C1607" s="33" t="s">
        <v>1974</v>
      </c>
      <c r="D1607" s="33" t="s">
        <v>910</v>
      </c>
      <c r="E1607" s="33" t="s">
        <v>2859</v>
      </c>
      <c r="F1607" s="38" t="s">
        <v>56</v>
      </c>
    </row>
    <row r="1608" spans="1:6" ht="14.5" hidden="1" customHeight="1" x14ac:dyDescent="0.35">
      <c r="A1608" s="33" t="s">
        <v>1973</v>
      </c>
      <c r="B1608" s="33" t="s">
        <v>88</v>
      </c>
      <c r="C1608" s="33" t="s">
        <v>1974</v>
      </c>
      <c r="D1608" s="33" t="s">
        <v>911</v>
      </c>
      <c r="E1608" s="33" t="s">
        <v>2843</v>
      </c>
      <c r="F1608" s="38" t="s">
        <v>56</v>
      </c>
    </row>
    <row r="1609" spans="1:6" ht="14.5" hidden="1" customHeight="1" x14ac:dyDescent="0.35">
      <c r="A1609" s="33" t="s">
        <v>1975</v>
      </c>
      <c r="B1609" s="33" t="s">
        <v>81</v>
      </c>
      <c r="C1609" s="33" t="s">
        <v>1976</v>
      </c>
      <c r="D1609" s="33" t="s">
        <v>1977</v>
      </c>
      <c r="E1609" s="33" t="s">
        <v>2843</v>
      </c>
      <c r="F1609" s="38" t="s">
        <v>56</v>
      </c>
    </row>
    <row r="1610" spans="1:6" ht="14.5" customHeight="1" x14ac:dyDescent="0.35">
      <c r="A1610" s="33" t="s">
        <v>1975</v>
      </c>
      <c r="B1610" s="33" t="s">
        <v>80</v>
      </c>
      <c r="C1610" s="33" t="s">
        <v>1976</v>
      </c>
      <c r="D1610" s="33" t="s">
        <v>1978</v>
      </c>
      <c r="E1610" s="33" t="s">
        <v>2879</v>
      </c>
      <c r="F1610" s="38" t="s">
        <v>1687</v>
      </c>
    </row>
    <row r="1611" spans="1:6" ht="14.5" customHeight="1" x14ac:dyDescent="0.35">
      <c r="A1611" s="33" t="s">
        <v>1975</v>
      </c>
      <c r="B1611" s="33" t="s">
        <v>82</v>
      </c>
      <c r="C1611" s="33" t="s">
        <v>1976</v>
      </c>
      <c r="D1611" s="33" t="s">
        <v>1979</v>
      </c>
      <c r="E1611" s="33" t="s">
        <v>2879</v>
      </c>
      <c r="F1611" s="38" t="s">
        <v>1687</v>
      </c>
    </row>
    <row r="1612" spans="1:6" ht="14.5" hidden="1" customHeight="1" x14ac:dyDescent="0.35">
      <c r="A1612" s="33" t="s">
        <v>1975</v>
      </c>
      <c r="B1612" s="33" t="s">
        <v>83</v>
      </c>
      <c r="C1612" s="33" t="s">
        <v>1976</v>
      </c>
      <c r="D1612" s="33" t="s">
        <v>1980</v>
      </c>
      <c r="E1612" s="33" t="s">
        <v>2870</v>
      </c>
      <c r="F1612" s="38" t="s">
        <v>56</v>
      </c>
    </row>
    <row r="1613" spans="1:6" ht="14.5" hidden="1" customHeight="1" x14ac:dyDescent="0.35">
      <c r="A1613" s="33" t="s">
        <v>1975</v>
      </c>
      <c r="B1613" s="33" t="s">
        <v>19</v>
      </c>
      <c r="C1613" s="33" t="s">
        <v>1976</v>
      </c>
      <c r="D1613" s="33" t="s">
        <v>1981</v>
      </c>
      <c r="E1613" s="33" t="s">
        <v>2861</v>
      </c>
      <c r="F1613" s="38" t="s">
        <v>2740</v>
      </c>
    </row>
    <row r="1614" spans="1:6" ht="14.5" hidden="1" customHeight="1" x14ac:dyDescent="0.35">
      <c r="A1614" s="33" t="s">
        <v>1975</v>
      </c>
      <c r="B1614" s="33" t="s">
        <v>174</v>
      </c>
      <c r="C1614" s="33" t="s">
        <v>1976</v>
      </c>
      <c r="D1614" s="33" t="s">
        <v>1982</v>
      </c>
      <c r="E1614" s="33" t="s">
        <v>2861</v>
      </c>
      <c r="F1614" s="38" t="s">
        <v>2740</v>
      </c>
    </row>
    <row r="1615" spans="1:6" ht="14.5" hidden="1" customHeight="1" x14ac:dyDescent="0.35">
      <c r="A1615" s="33" t="s">
        <v>1975</v>
      </c>
      <c r="B1615" s="33" t="s">
        <v>84</v>
      </c>
      <c r="C1615" s="33" t="s">
        <v>1976</v>
      </c>
      <c r="D1615" s="33" t="s">
        <v>1983</v>
      </c>
      <c r="E1615" s="33" t="s">
        <v>2859</v>
      </c>
      <c r="F1615" s="38" t="s">
        <v>56</v>
      </c>
    </row>
    <row r="1616" spans="1:6" ht="14.5" hidden="1" customHeight="1" x14ac:dyDescent="0.35">
      <c r="A1616" s="33" t="s">
        <v>1975</v>
      </c>
      <c r="B1616" s="33" t="s">
        <v>85</v>
      </c>
      <c r="C1616" s="33" t="s">
        <v>1976</v>
      </c>
      <c r="D1616" s="33" t="s">
        <v>1984</v>
      </c>
      <c r="E1616" s="33" t="s">
        <v>2869</v>
      </c>
      <c r="F1616" s="38" t="s">
        <v>132</v>
      </c>
    </row>
    <row r="1617" spans="1:6" ht="14.5" customHeight="1" x14ac:dyDescent="0.35">
      <c r="A1617" s="33" t="s">
        <v>1975</v>
      </c>
      <c r="B1617" s="33" t="s">
        <v>89</v>
      </c>
      <c r="C1617" s="33" t="s">
        <v>1976</v>
      </c>
      <c r="D1617" s="33" t="s">
        <v>1985</v>
      </c>
      <c r="E1617" s="33" t="s">
        <v>2879</v>
      </c>
      <c r="F1617" s="38" t="s">
        <v>1687</v>
      </c>
    </row>
    <row r="1618" spans="1:6" ht="14.5" customHeight="1" x14ac:dyDescent="0.35">
      <c r="A1618" s="33" t="s">
        <v>1975</v>
      </c>
      <c r="B1618" s="33" t="s">
        <v>87</v>
      </c>
      <c r="C1618" s="33" t="s">
        <v>1976</v>
      </c>
      <c r="D1618" s="33" t="s">
        <v>1986</v>
      </c>
      <c r="E1618" s="33" t="s">
        <v>2879</v>
      </c>
      <c r="F1618" s="38" t="s">
        <v>1687</v>
      </c>
    </row>
    <row r="1619" spans="1:6" ht="14.5" hidden="1" customHeight="1" x14ac:dyDescent="0.35">
      <c r="A1619" s="33" t="s">
        <v>1975</v>
      </c>
      <c r="B1619" s="33" t="s">
        <v>88</v>
      </c>
      <c r="C1619" s="33" t="s">
        <v>1976</v>
      </c>
      <c r="D1619" s="33" t="s">
        <v>1987</v>
      </c>
      <c r="E1619" s="33" t="s">
        <v>2843</v>
      </c>
      <c r="F1619" s="38" t="s">
        <v>56</v>
      </c>
    </row>
    <row r="1620" spans="1:6" ht="14.5" hidden="1" customHeight="1" x14ac:dyDescent="0.35">
      <c r="A1620" s="33" t="s">
        <v>1988</v>
      </c>
      <c r="B1620" s="33" t="s">
        <v>81</v>
      </c>
      <c r="C1620" s="33" t="s">
        <v>1989</v>
      </c>
      <c r="D1620" s="33" t="s">
        <v>1990</v>
      </c>
      <c r="E1620" s="33" t="s">
        <v>2845</v>
      </c>
      <c r="F1620" s="38" t="s">
        <v>50</v>
      </c>
    </row>
    <row r="1621" spans="1:6" ht="14.5" hidden="1" customHeight="1" x14ac:dyDescent="0.35">
      <c r="A1621" s="33" t="s">
        <v>1988</v>
      </c>
      <c r="B1621" s="33" t="s">
        <v>80</v>
      </c>
      <c r="C1621" s="33" t="s">
        <v>1989</v>
      </c>
      <c r="D1621" s="33" t="s">
        <v>1991</v>
      </c>
      <c r="E1621" s="33" t="s">
        <v>2845</v>
      </c>
      <c r="F1621" s="38" t="s">
        <v>50</v>
      </c>
    </row>
    <row r="1622" spans="1:6" ht="14.5" hidden="1" customHeight="1" x14ac:dyDescent="0.35">
      <c r="A1622" s="33" t="s">
        <v>1992</v>
      </c>
      <c r="B1622" s="33" t="s">
        <v>81</v>
      </c>
      <c r="C1622" s="33" t="s">
        <v>1993</v>
      </c>
      <c r="D1622" s="33" t="s">
        <v>1990</v>
      </c>
      <c r="E1622" s="33" t="s">
        <v>2845</v>
      </c>
      <c r="F1622" s="38" t="s">
        <v>50</v>
      </c>
    </row>
    <row r="1623" spans="1:6" ht="14.5" hidden="1" customHeight="1" x14ac:dyDescent="0.35">
      <c r="A1623" s="33" t="s">
        <v>1992</v>
      </c>
      <c r="B1623" s="33" t="s">
        <v>80</v>
      </c>
      <c r="C1623" s="33" t="s">
        <v>1993</v>
      </c>
      <c r="D1623" s="33" t="s">
        <v>1991</v>
      </c>
      <c r="E1623" s="33" t="s">
        <v>2845</v>
      </c>
      <c r="F1623" s="38" t="s">
        <v>50</v>
      </c>
    </row>
    <row r="1624" spans="1:6" ht="14.5" hidden="1" customHeight="1" x14ac:dyDescent="0.35">
      <c r="A1624" s="33" t="s">
        <v>1994</v>
      </c>
      <c r="B1624" s="33" t="s">
        <v>19</v>
      </c>
      <c r="C1624" s="33" t="s">
        <v>1995</v>
      </c>
      <c r="D1624" s="33" t="s">
        <v>1996</v>
      </c>
      <c r="E1624" s="33" t="s">
        <v>2884</v>
      </c>
      <c r="F1624" s="38" t="s">
        <v>2492</v>
      </c>
    </row>
    <row r="1625" spans="1:6" ht="14.5" hidden="1" customHeight="1" x14ac:dyDescent="0.35">
      <c r="A1625" s="33" t="s">
        <v>1997</v>
      </c>
      <c r="B1625" s="33" t="s">
        <v>80</v>
      </c>
      <c r="C1625" s="33" t="s">
        <v>1998</v>
      </c>
      <c r="D1625" s="33" t="s">
        <v>1999</v>
      </c>
      <c r="E1625" s="33" t="s">
        <v>2873</v>
      </c>
      <c r="F1625" s="38" t="s">
        <v>132</v>
      </c>
    </row>
    <row r="1626" spans="1:6" ht="14.5" hidden="1" customHeight="1" x14ac:dyDescent="0.35">
      <c r="A1626" s="33" t="s">
        <v>2000</v>
      </c>
      <c r="B1626" s="33" t="s">
        <v>80</v>
      </c>
      <c r="C1626" s="33" t="s">
        <v>2001</v>
      </c>
      <c r="D1626" s="33" t="s">
        <v>2002</v>
      </c>
      <c r="E1626" s="33" t="s">
        <v>2873</v>
      </c>
      <c r="F1626" s="38" t="s">
        <v>132</v>
      </c>
    </row>
    <row r="1627" spans="1:6" ht="14.5" hidden="1" customHeight="1" x14ac:dyDescent="0.35">
      <c r="A1627" s="33" t="s">
        <v>2003</v>
      </c>
      <c r="B1627" s="33" t="s">
        <v>80</v>
      </c>
      <c r="C1627" s="33" t="s">
        <v>2004</v>
      </c>
      <c r="D1627" s="33" t="s">
        <v>2005</v>
      </c>
      <c r="E1627" s="33" t="s">
        <v>2873</v>
      </c>
      <c r="F1627" s="38" t="s">
        <v>132</v>
      </c>
    </row>
    <row r="1628" spans="1:6" ht="14.5" customHeight="1" x14ac:dyDescent="0.35">
      <c r="A1628" s="33" t="s">
        <v>2006</v>
      </c>
      <c r="B1628" s="33" t="s">
        <v>80</v>
      </c>
      <c r="C1628" s="33" t="s">
        <v>2007</v>
      </c>
      <c r="D1628" s="33" t="s">
        <v>2007</v>
      </c>
      <c r="E1628" s="33" t="s">
        <v>2879</v>
      </c>
      <c r="F1628" s="38" t="s">
        <v>1687</v>
      </c>
    </row>
    <row r="1629" spans="1:6" ht="14.5" customHeight="1" x14ac:dyDescent="0.35">
      <c r="A1629" s="33" t="s">
        <v>2008</v>
      </c>
      <c r="B1629" s="33" t="s">
        <v>80</v>
      </c>
      <c r="C1629" s="33" t="s">
        <v>2009</v>
      </c>
      <c r="D1629" s="33" t="s">
        <v>2009</v>
      </c>
      <c r="E1629" s="33" t="s">
        <v>2879</v>
      </c>
      <c r="F1629" s="38" t="s">
        <v>1687</v>
      </c>
    </row>
    <row r="1630" spans="1:6" ht="14.5" hidden="1" customHeight="1" x14ac:dyDescent="0.35">
      <c r="A1630" s="33" t="s">
        <v>2010</v>
      </c>
      <c r="B1630" s="33" t="s">
        <v>80</v>
      </c>
      <c r="C1630" s="33" t="s">
        <v>2011</v>
      </c>
      <c r="D1630" s="33" t="s">
        <v>2012</v>
      </c>
      <c r="E1630" s="33" t="s">
        <v>2845</v>
      </c>
      <c r="F1630" s="38" t="s">
        <v>50</v>
      </c>
    </row>
    <row r="1631" spans="1:6" ht="14.5" hidden="1" customHeight="1" x14ac:dyDescent="0.35">
      <c r="A1631" s="33" t="s">
        <v>2010</v>
      </c>
      <c r="B1631" s="33" t="s">
        <v>82</v>
      </c>
      <c r="C1631" s="33" t="s">
        <v>2011</v>
      </c>
      <c r="D1631" s="33" t="s">
        <v>2013</v>
      </c>
      <c r="E1631" s="33" t="s">
        <v>2845</v>
      </c>
      <c r="F1631" s="38" t="s">
        <v>50</v>
      </c>
    </row>
    <row r="1632" spans="1:6" ht="14.5" hidden="1" customHeight="1" x14ac:dyDescent="0.35">
      <c r="A1632" s="33" t="s">
        <v>2014</v>
      </c>
      <c r="B1632" s="33" t="s">
        <v>80</v>
      </c>
      <c r="C1632" s="33" t="s">
        <v>2015</v>
      </c>
      <c r="D1632" s="33" t="s">
        <v>2015</v>
      </c>
      <c r="E1632" s="33" t="s">
        <v>2845</v>
      </c>
      <c r="F1632" s="38" t="s">
        <v>50</v>
      </c>
    </row>
    <row r="1633" spans="1:6" ht="14.5" hidden="1" customHeight="1" x14ac:dyDescent="0.35">
      <c r="A1633" s="33" t="s">
        <v>2016</v>
      </c>
      <c r="B1633" s="33" t="s">
        <v>81</v>
      </c>
      <c r="C1633" s="33" t="s">
        <v>2017</v>
      </c>
      <c r="D1633" s="33" t="s">
        <v>2018</v>
      </c>
      <c r="E1633" s="33" t="s">
        <v>2873</v>
      </c>
      <c r="F1633" s="38" t="s">
        <v>132</v>
      </c>
    </row>
    <row r="1634" spans="1:6" ht="14.5" hidden="1" customHeight="1" x14ac:dyDescent="0.35">
      <c r="A1634" s="33" t="s">
        <v>2016</v>
      </c>
      <c r="B1634" s="33" t="s">
        <v>80</v>
      </c>
      <c r="C1634" s="33" t="s">
        <v>2017</v>
      </c>
      <c r="D1634" s="33" t="s">
        <v>2019</v>
      </c>
      <c r="E1634" s="33" t="s">
        <v>2845</v>
      </c>
      <c r="F1634" s="38" t="s">
        <v>50</v>
      </c>
    </row>
    <row r="1635" spans="1:6" ht="14.5" hidden="1" customHeight="1" x14ac:dyDescent="0.35">
      <c r="A1635" s="33" t="s">
        <v>2016</v>
      </c>
      <c r="B1635" s="33" t="s">
        <v>82</v>
      </c>
      <c r="C1635" s="33" t="s">
        <v>2017</v>
      </c>
      <c r="D1635" s="33" t="s">
        <v>2020</v>
      </c>
      <c r="E1635" s="33" t="s">
        <v>2845</v>
      </c>
      <c r="F1635" s="38" t="s">
        <v>50</v>
      </c>
    </row>
    <row r="1636" spans="1:6" ht="14.5" hidden="1" customHeight="1" x14ac:dyDescent="0.35">
      <c r="A1636" s="33" t="s">
        <v>2021</v>
      </c>
      <c r="B1636" s="33" t="s">
        <v>80</v>
      </c>
      <c r="C1636" s="33" t="s">
        <v>2022</v>
      </c>
      <c r="D1636" s="33" t="s">
        <v>2022</v>
      </c>
      <c r="E1636" s="33" t="s">
        <v>2845</v>
      </c>
      <c r="F1636" s="38" t="s">
        <v>50</v>
      </c>
    </row>
    <row r="1637" spans="1:6" ht="14.5" hidden="1" customHeight="1" x14ac:dyDescent="0.35">
      <c r="A1637" s="33" t="s">
        <v>2023</v>
      </c>
      <c r="B1637" s="33" t="s">
        <v>82</v>
      </c>
      <c r="C1637" s="33" t="s">
        <v>2024</v>
      </c>
      <c r="D1637" s="33" t="s">
        <v>2025</v>
      </c>
      <c r="E1637" s="33" t="s">
        <v>2837</v>
      </c>
      <c r="F1637" s="38" t="s">
        <v>742</v>
      </c>
    </row>
    <row r="1638" spans="1:6" ht="14.5" hidden="1" customHeight="1" x14ac:dyDescent="0.35">
      <c r="A1638" s="33" t="s">
        <v>2026</v>
      </c>
      <c r="B1638" s="33" t="s">
        <v>80</v>
      </c>
      <c r="C1638" s="33" t="s">
        <v>2027</v>
      </c>
      <c r="D1638" s="33" t="s">
        <v>2027</v>
      </c>
      <c r="E1638" s="33" t="s">
        <v>2884</v>
      </c>
      <c r="F1638" s="38" t="s">
        <v>2492</v>
      </c>
    </row>
    <row r="1639" spans="1:6" ht="14.5" hidden="1" customHeight="1" x14ac:dyDescent="0.35">
      <c r="A1639" s="33" t="s">
        <v>2028</v>
      </c>
      <c r="B1639" s="33" t="s">
        <v>80</v>
      </c>
      <c r="C1639" s="33" t="s">
        <v>2029</v>
      </c>
      <c r="D1639" s="33" t="s">
        <v>2029</v>
      </c>
      <c r="E1639" s="33" t="s">
        <v>2884</v>
      </c>
      <c r="F1639" s="38" t="s">
        <v>2492</v>
      </c>
    </row>
    <row r="1640" spans="1:6" ht="14.5" hidden="1" customHeight="1" x14ac:dyDescent="0.35">
      <c r="A1640" s="33" t="s">
        <v>2049</v>
      </c>
      <c r="B1640" s="33" t="s">
        <v>80</v>
      </c>
      <c r="C1640" s="33" t="s">
        <v>2050</v>
      </c>
      <c r="D1640" s="33" t="s">
        <v>2051</v>
      </c>
      <c r="E1640" s="33" t="s">
        <v>2845</v>
      </c>
      <c r="F1640" s="38" t="s">
        <v>50</v>
      </c>
    </row>
    <row r="1641" spans="1:6" ht="14.5" hidden="1" customHeight="1" x14ac:dyDescent="0.35">
      <c r="A1641" s="33" t="s">
        <v>2049</v>
      </c>
      <c r="B1641" s="33" t="s">
        <v>82</v>
      </c>
      <c r="C1641" s="33" t="s">
        <v>2050</v>
      </c>
      <c r="D1641" s="33" t="s">
        <v>2052</v>
      </c>
      <c r="E1641" s="33" t="s">
        <v>2845</v>
      </c>
      <c r="F1641" s="38" t="s">
        <v>50</v>
      </c>
    </row>
    <row r="1642" spans="1:6" ht="14.5" customHeight="1" x14ac:dyDescent="0.35">
      <c r="A1642" s="33" t="s">
        <v>2053</v>
      </c>
      <c r="B1642" s="33" t="s">
        <v>80</v>
      </c>
      <c r="C1642" s="33" t="s">
        <v>2054</v>
      </c>
      <c r="D1642" s="33" t="s">
        <v>2055</v>
      </c>
      <c r="E1642" s="33" t="s">
        <v>2879</v>
      </c>
      <c r="F1642" s="38" t="s">
        <v>1687</v>
      </c>
    </row>
    <row r="1643" spans="1:6" ht="14.5" hidden="1" customHeight="1" x14ac:dyDescent="0.35">
      <c r="A1643" s="33" t="s">
        <v>2053</v>
      </c>
      <c r="B1643" s="33" t="s">
        <v>82</v>
      </c>
      <c r="C1643" s="33" t="s">
        <v>2054</v>
      </c>
      <c r="D1643" s="33" t="s">
        <v>2056</v>
      </c>
      <c r="E1643" s="33" t="s">
        <v>2870</v>
      </c>
      <c r="F1643" s="38" t="s">
        <v>56</v>
      </c>
    </row>
    <row r="1644" spans="1:6" ht="14.5" hidden="1" customHeight="1" x14ac:dyDescent="0.35">
      <c r="A1644" s="33" t="s">
        <v>2053</v>
      </c>
      <c r="B1644" s="33" t="s">
        <v>83</v>
      </c>
      <c r="C1644" s="33" t="s">
        <v>2054</v>
      </c>
      <c r="D1644" s="33" t="s">
        <v>2057</v>
      </c>
      <c r="E1644" s="33" t="s">
        <v>2859</v>
      </c>
      <c r="F1644" s="38" t="s">
        <v>56</v>
      </c>
    </row>
    <row r="1645" spans="1:6" ht="14.5" customHeight="1" x14ac:dyDescent="0.35">
      <c r="A1645" s="33" t="s">
        <v>2053</v>
      </c>
      <c r="B1645" s="33" t="s">
        <v>19</v>
      </c>
      <c r="C1645" s="33" t="s">
        <v>2054</v>
      </c>
      <c r="D1645" s="33" t="s">
        <v>2058</v>
      </c>
      <c r="E1645" s="33" t="s">
        <v>2879</v>
      </c>
      <c r="F1645" s="38" t="s">
        <v>1687</v>
      </c>
    </row>
    <row r="1646" spans="1:6" ht="14.5" hidden="1" customHeight="1" x14ac:dyDescent="0.35">
      <c r="A1646" s="33" t="s">
        <v>2059</v>
      </c>
      <c r="B1646" s="33" t="s">
        <v>80</v>
      </c>
      <c r="C1646" s="33" t="s">
        <v>2060</v>
      </c>
      <c r="D1646" s="33" t="s">
        <v>2061</v>
      </c>
      <c r="E1646" s="33" t="s">
        <v>2843</v>
      </c>
      <c r="F1646" s="38" t="s">
        <v>56</v>
      </c>
    </row>
    <row r="1647" spans="1:6" ht="14.5" customHeight="1" x14ac:dyDescent="0.35">
      <c r="A1647" s="33" t="s">
        <v>2059</v>
      </c>
      <c r="B1647" s="33" t="s">
        <v>82</v>
      </c>
      <c r="C1647" s="33" t="s">
        <v>2060</v>
      </c>
      <c r="D1647" s="33" t="s">
        <v>2062</v>
      </c>
      <c r="E1647" s="33" t="s">
        <v>2879</v>
      </c>
      <c r="F1647" s="38" t="s">
        <v>1687</v>
      </c>
    </row>
    <row r="1648" spans="1:6" ht="14.5" customHeight="1" x14ac:dyDescent="0.35">
      <c r="A1648" s="33" t="s">
        <v>2059</v>
      </c>
      <c r="B1648" s="33" t="s">
        <v>83</v>
      </c>
      <c r="C1648" s="33" t="s">
        <v>2060</v>
      </c>
      <c r="D1648" s="33" t="s">
        <v>2063</v>
      </c>
      <c r="E1648" s="33" t="s">
        <v>2879</v>
      </c>
      <c r="F1648" s="38" t="s">
        <v>1687</v>
      </c>
    </row>
    <row r="1649" spans="1:6" ht="14.5" hidden="1" customHeight="1" x14ac:dyDescent="0.35">
      <c r="A1649" s="33" t="s">
        <v>2059</v>
      </c>
      <c r="B1649" s="33" t="s">
        <v>84</v>
      </c>
      <c r="C1649" s="33" t="s">
        <v>2060</v>
      </c>
      <c r="D1649" s="33" t="s">
        <v>2064</v>
      </c>
      <c r="E1649" s="33" t="s">
        <v>2844</v>
      </c>
      <c r="F1649" s="38" t="s">
        <v>48</v>
      </c>
    </row>
    <row r="1650" spans="1:6" ht="14.5" hidden="1" customHeight="1" x14ac:dyDescent="0.35">
      <c r="A1650" s="33" t="s">
        <v>2059</v>
      </c>
      <c r="B1650" s="33" t="s">
        <v>85</v>
      </c>
      <c r="C1650" s="33" t="s">
        <v>2060</v>
      </c>
      <c r="D1650" s="33" t="s">
        <v>2065</v>
      </c>
      <c r="E1650" s="33" t="s">
        <v>2839</v>
      </c>
      <c r="F1650" s="38" t="s">
        <v>48</v>
      </c>
    </row>
    <row r="1651" spans="1:6" ht="14.5" hidden="1" customHeight="1" x14ac:dyDescent="0.35">
      <c r="A1651" s="33" t="s">
        <v>2059</v>
      </c>
      <c r="B1651" s="33" t="s">
        <v>86</v>
      </c>
      <c r="C1651" s="33" t="s">
        <v>2060</v>
      </c>
      <c r="D1651" s="33" t="s">
        <v>2066</v>
      </c>
      <c r="E1651" s="33" t="s">
        <v>2870</v>
      </c>
      <c r="F1651" s="38" t="s">
        <v>56</v>
      </c>
    </row>
    <row r="1652" spans="1:6" ht="14.5" hidden="1" customHeight="1" x14ac:dyDescent="0.35">
      <c r="A1652" s="33" t="s">
        <v>2059</v>
      </c>
      <c r="B1652" s="33" t="s">
        <v>89</v>
      </c>
      <c r="C1652" s="33" t="s">
        <v>2060</v>
      </c>
      <c r="D1652" s="33" t="s">
        <v>2067</v>
      </c>
      <c r="E1652" s="33" t="s">
        <v>2859</v>
      </c>
      <c r="F1652" s="38" t="s">
        <v>56</v>
      </c>
    </row>
    <row r="1653" spans="1:6" ht="14.5" customHeight="1" x14ac:dyDescent="0.35">
      <c r="A1653" s="33" t="s">
        <v>2059</v>
      </c>
      <c r="B1653" s="33" t="s">
        <v>87</v>
      </c>
      <c r="C1653" s="33" t="s">
        <v>2060</v>
      </c>
      <c r="D1653" s="33" t="s">
        <v>2068</v>
      </c>
      <c r="E1653" s="33" t="s">
        <v>2879</v>
      </c>
      <c r="F1653" s="38" t="s">
        <v>1687</v>
      </c>
    </row>
    <row r="1654" spans="1:6" ht="14.5" customHeight="1" x14ac:dyDescent="0.35">
      <c r="A1654" s="33" t="s">
        <v>2059</v>
      </c>
      <c r="B1654" s="33" t="s">
        <v>88</v>
      </c>
      <c r="C1654" s="33" t="s">
        <v>2060</v>
      </c>
      <c r="D1654" s="33" t="s">
        <v>2069</v>
      </c>
      <c r="E1654" s="33" t="s">
        <v>2879</v>
      </c>
      <c r="F1654" s="38" t="s">
        <v>1687</v>
      </c>
    </row>
    <row r="1655" spans="1:6" ht="14.5" hidden="1" customHeight="1" x14ac:dyDescent="0.35">
      <c r="A1655" s="33" t="s">
        <v>2059</v>
      </c>
      <c r="B1655" s="33" t="s">
        <v>91</v>
      </c>
      <c r="C1655" s="33" t="s">
        <v>2060</v>
      </c>
      <c r="D1655" s="33" t="s">
        <v>2070</v>
      </c>
      <c r="E1655" s="33" t="s">
        <v>2844</v>
      </c>
      <c r="F1655" s="38" t="s">
        <v>48</v>
      </c>
    </row>
    <row r="1656" spans="1:6" ht="14.5" hidden="1" customHeight="1" x14ac:dyDescent="0.35">
      <c r="A1656" s="33" t="s">
        <v>2059</v>
      </c>
      <c r="B1656" s="33" t="s">
        <v>92</v>
      </c>
      <c r="C1656" s="33" t="s">
        <v>2060</v>
      </c>
      <c r="D1656" s="33" t="s">
        <v>2071</v>
      </c>
      <c r="E1656" s="33" t="s">
        <v>2839</v>
      </c>
      <c r="F1656" s="38" t="s">
        <v>48</v>
      </c>
    </row>
    <row r="1657" spans="1:6" ht="14.5" hidden="1" customHeight="1" x14ac:dyDescent="0.35">
      <c r="A1657" s="33" t="s">
        <v>2059</v>
      </c>
      <c r="B1657" s="33" t="s">
        <v>94</v>
      </c>
      <c r="C1657" s="33" t="s">
        <v>2060</v>
      </c>
      <c r="D1657" s="33" t="s">
        <v>2072</v>
      </c>
      <c r="E1657" s="33" t="s">
        <v>2843</v>
      </c>
      <c r="F1657" s="38" t="s">
        <v>56</v>
      </c>
    </row>
    <row r="1658" spans="1:6" ht="14.5" hidden="1" customHeight="1" x14ac:dyDescent="0.35">
      <c r="A1658" s="33" t="s">
        <v>2073</v>
      </c>
      <c r="B1658" s="33" t="s">
        <v>82</v>
      </c>
      <c r="C1658" s="33" t="s">
        <v>2074</v>
      </c>
      <c r="D1658" s="33" t="s">
        <v>2075</v>
      </c>
      <c r="E1658" s="33" t="s">
        <v>2861</v>
      </c>
      <c r="F1658" s="38" t="s">
        <v>2740</v>
      </c>
    </row>
    <row r="1659" spans="1:6" ht="14.5" hidden="1" customHeight="1" x14ac:dyDescent="0.35">
      <c r="A1659" s="33" t="s">
        <v>2073</v>
      </c>
      <c r="B1659" s="33" t="s">
        <v>83</v>
      </c>
      <c r="C1659" s="33" t="s">
        <v>2074</v>
      </c>
      <c r="D1659" s="33" t="s">
        <v>2076</v>
      </c>
      <c r="E1659" s="33" t="s">
        <v>2841</v>
      </c>
      <c r="F1659" s="38" t="s">
        <v>2569</v>
      </c>
    </row>
    <row r="1660" spans="1:6" ht="14.5" customHeight="1" x14ac:dyDescent="0.35">
      <c r="A1660" s="33" t="s">
        <v>2073</v>
      </c>
      <c r="B1660" s="33" t="s">
        <v>19</v>
      </c>
      <c r="C1660" s="33" t="s">
        <v>2074</v>
      </c>
      <c r="D1660" s="33" t="s">
        <v>2077</v>
      </c>
      <c r="E1660" s="33" t="s">
        <v>2879</v>
      </c>
      <c r="F1660" s="38" t="s">
        <v>1687</v>
      </c>
    </row>
    <row r="1661" spans="1:6" ht="14.5" hidden="1" customHeight="1" x14ac:dyDescent="0.35">
      <c r="A1661" s="33" t="s">
        <v>2073</v>
      </c>
      <c r="B1661" s="33" t="s">
        <v>84</v>
      </c>
      <c r="C1661" s="33" t="s">
        <v>2074</v>
      </c>
      <c r="D1661" s="33" t="s">
        <v>2078</v>
      </c>
      <c r="E1661" s="33" t="s">
        <v>2882</v>
      </c>
      <c r="F1661" s="38" t="s">
        <v>2739</v>
      </c>
    </row>
    <row r="1662" spans="1:6" ht="14.5" hidden="1" customHeight="1" x14ac:dyDescent="0.35">
      <c r="A1662" s="33" t="s">
        <v>2073</v>
      </c>
      <c r="B1662" s="33" t="s">
        <v>85</v>
      </c>
      <c r="C1662" s="33" t="s">
        <v>2074</v>
      </c>
      <c r="D1662" s="33" t="s">
        <v>2079</v>
      </c>
      <c r="E1662" s="33" t="s">
        <v>2858</v>
      </c>
      <c r="F1662" s="38" t="s">
        <v>132</v>
      </c>
    </row>
    <row r="1663" spans="1:6" ht="14.5" hidden="1" customHeight="1" x14ac:dyDescent="0.35">
      <c r="A1663" s="33" t="s">
        <v>2080</v>
      </c>
      <c r="B1663" s="33" t="s">
        <v>80</v>
      </c>
      <c r="C1663" s="33" t="s">
        <v>2081</v>
      </c>
      <c r="D1663" s="33" t="s">
        <v>2082</v>
      </c>
      <c r="E1663" s="33" t="s">
        <v>2873</v>
      </c>
      <c r="F1663" s="38" t="s">
        <v>132</v>
      </c>
    </row>
    <row r="1664" spans="1:6" ht="14.5" hidden="1" customHeight="1" x14ac:dyDescent="0.35">
      <c r="A1664" s="33" t="s">
        <v>2083</v>
      </c>
      <c r="B1664" s="33" t="s">
        <v>80</v>
      </c>
      <c r="C1664" s="33" t="s">
        <v>2084</v>
      </c>
      <c r="D1664" s="33" t="s">
        <v>2085</v>
      </c>
      <c r="E1664" s="33" t="s">
        <v>2873</v>
      </c>
      <c r="F1664" s="38" t="s">
        <v>132</v>
      </c>
    </row>
    <row r="1665" spans="1:6" ht="14.5" hidden="1" customHeight="1" x14ac:dyDescent="0.35">
      <c r="A1665" s="33" t="s">
        <v>2086</v>
      </c>
      <c r="B1665" s="33" t="s">
        <v>80</v>
      </c>
      <c r="C1665" s="33" t="s">
        <v>2087</v>
      </c>
      <c r="D1665" s="33" t="s">
        <v>2088</v>
      </c>
      <c r="E1665" s="33" t="s">
        <v>2845</v>
      </c>
      <c r="F1665" s="38" t="s">
        <v>50</v>
      </c>
    </row>
    <row r="1666" spans="1:6" ht="14.5" hidden="1" customHeight="1" x14ac:dyDescent="0.35">
      <c r="A1666" s="33" t="s">
        <v>2086</v>
      </c>
      <c r="B1666" s="33" t="s">
        <v>108</v>
      </c>
      <c r="C1666" s="33" t="s">
        <v>2087</v>
      </c>
      <c r="D1666" s="33" t="s">
        <v>2089</v>
      </c>
      <c r="E1666" s="33" t="s">
        <v>2843</v>
      </c>
      <c r="F1666" s="38" t="s">
        <v>56</v>
      </c>
    </row>
    <row r="1667" spans="1:6" ht="14.5" hidden="1" customHeight="1" x14ac:dyDescent="0.35">
      <c r="A1667" s="33" t="s">
        <v>2086</v>
      </c>
      <c r="B1667" s="33" t="s">
        <v>329</v>
      </c>
      <c r="C1667" s="33" t="s">
        <v>2087</v>
      </c>
      <c r="D1667" s="33" t="s">
        <v>2090</v>
      </c>
      <c r="E1667" s="33" t="s">
        <v>2845</v>
      </c>
      <c r="F1667" s="38" t="s">
        <v>50</v>
      </c>
    </row>
    <row r="1668" spans="1:6" ht="14.5" hidden="1" customHeight="1" x14ac:dyDescent="0.35">
      <c r="A1668" s="33" t="s">
        <v>2086</v>
      </c>
      <c r="B1668" s="33" t="s">
        <v>215</v>
      </c>
      <c r="C1668" s="33" t="s">
        <v>2087</v>
      </c>
      <c r="D1668" s="33" t="s">
        <v>2091</v>
      </c>
      <c r="E1668" s="33" t="s">
        <v>2845</v>
      </c>
      <c r="F1668" s="38" t="s">
        <v>50</v>
      </c>
    </row>
    <row r="1669" spans="1:6" ht="14.5" hidden="1" customHeight="1" x14ac:dyDescent="0.35">
      <c r="A1669" s="33" t="s">
        <v>2086</v>
      </c>
      <c r="B1669" s="33" t="s">
        <v>84</v>
      </c>
      <c r="C1669" s="33" t="s">
        <v>2087</v>
      </c>
      <c r="D1669" s="33" t="s">
        <v>2092</v>
      </c>
      <c r="E1669" s="33" t="s">
        <v>2844</v>
      </c>
      <c r="F1669" s="38" t="s">
        <v>48</v>
      </c>
    </row>
    <row r="1670" spans="1:6" ht="14.5" hidden="1" customHeight="1" x14ac:dyDescent="0.35">
      <c r="A1670" s="33" t="s">
        <v>2086</v>
      </c>
      <c r="B1670" s="33" t="s">
        <v>85</v>
      </c>
      <c r="C1670" s="33" t="s">
        <v>2087</v>
      </c>
      <c r="D1670" s="33" t="s">
        <v>2093</v>
      </c>
      <c r="E1670" s="33" t="s">
        <v>2839</v>
      </c>
      <c r="F1670" s="38" t="s">
        <v>48</v>
      </c>
    </row>
    <row r="1671" spans="1:6" ht="14.5" hidden="1" customHeight="1" x14ac:dyDescent="0.35">
      <c r="A1671" s="33" t="s">
        <v>2086</v>
      </c>
      <c r="B1671" s="33" t="s">
        <v>378</v>
      </c>
      <c r="C1671" s="33" t="s">
        <v>2087</v>
      </c>
      <c r="D1671" s="33" t="s">
        <v>2094</v>
      </c>
      <c r="E1671" s="33" t="s">
        <v>2845</v>
      </c>
      <c r="F1671" s="38" t="s">
        <v>50</v>
      </c>
    </row>
    <row r="1672" spans="1:6" ht="14.5" hidden="1" customHeight="1" x14ac:dyDescent="0.35">
      <c r="A1672" s="33" t="s">
        <v>2086</v>
      </c>
      <c r="B1672" s="33" t="s">
        <v>89</v>
      </c>
      <c r="C1672" s="33" t="s">
        <v>2087</v>
      </c>
      <c r="D1672" s="33" t="s">
        <v>2095</v>
      </c>
      <c r="E1672" s="33" t="s">
        <v>2843</v>
      </c>
      <c r="F1672" s="38" t="s">
        <v>56</v>
      </c>
    </row>
    <row r="1673" spans="1:6" ht="14.5" customHeight="1" x14ac:dyDescent="0.35">
      <c r="A1673" s="33" t="s">
        <v>2100</v>
      </c>
      <c r="B1673" s="33" t="s">
        <v>82</v>
      </c>
      <c r="C1673" s="33" t="s">
        <v>2101</v>
      </c>
      <c r="D1673" s="33" t="s">
        <v>2101</v>
      </c>
      <c r="E1673" s="33" t="s">
        <v>2879</v>
      </c>
      <c r="F1673" s="38" t="s">
        <v>1687</v>
      </c>
    </row>
    <row r="1674" spans="1:6" ht="14.5" hidden="1" customHeight="1" x14ac:dyDescent="0.35">
      <c r="A1674" s="33" t="s">
        <v>2102</v>
      </c>
      <c r="B1674" s="33" t="s">
        <v>80</v>
      </c>
      <c r="C1674" s="33" t="s">
        <v>2103</v>
      </c>
      <c r="D1674" s="33" t="s">
        <v>2104</v>
      </c>
      <c r="E1674" s="33" t="s">
        <v>2845</v>
      </c>
      <c r="F1674" s="38" t="s">
        <v>50</v>
      </c>
    </row>
    <row r="1675" spans="1:6" ht="14.5" hidden="1" customHeight="1" x14ac:dyDescent="0.35">
      <c r="A1675" s="33" t="s">
        <v>2102</v>
      </c>
      <c r="B1675" s="33" t="s">
        <v>83</v>
      </c>
      <c r="C1675" s="33" t="s">
        <v>2103</v>
      </c>
      <c r="D1675" s="33" t="s">
        <v>2105</v>
      </c>
      <c r="E1675" s="33" t="s">
        <v>2845</v>
      </c>
      <c r="F1675" s="38" t="s">
        <v>50</v>
      </c>
    </row>
    <row r="1676" spans="1:6" ht="14.5" hidden="1" customHeight="1" x14ac:dyDescent="0.35">
      <c r="A1676" s="33" t="s">
        <v>2102</v>
      </c>
      <c r="B1676" s="33" t="s">
        <v>84</v>
      </c>
      <c r="C1676" s="33" t="s">
        <v>2103</v>
      </c>
      <c r="D1676" s="33" t="s">
        <v>2106</v>
      </c>
      <c r="E1676" s="33" t="s">
        <v>2859</v>
      </c>
      <c r="F1676" s="38" t="s">
        <v>56</v>
      </c>
    </row>
    <row r="1677" spans="1:6" ht="14.5" hidden="1" customHeight="1" x14ac:dyDescent="0.35">
      <c r="A1677" s="33" t="s">
        <v>2107</v>
      </c>
      <c r="B1677" s="33" t="s">
        <v>80</v>
      </c>
      <c r="C1677" s="33" t="s">
        <v>2108</v>
      </c>
      <c r="D1677" s="33" t="s">
        <v>2104</v>
      </c>
      <c r="E1677" s="33" t="s">
        <v>2845</v>
      </c>
      <c r="F1677" s="38" t="s">
        <v>50</v>
      </c>
    </row>
    <row r="1678" spans="1:6" ht="14.5" hidden="1" customHeight="1" x14ac:dyDescent="0.35">
      <c r="A1678" s="33" t="s">
        <v>2107</v>
      </c>
      <c r="B1678" s="33" t="s">
        <v>83</v>
      </c>
      <c r="C1678" s="33" t="s">
        <v>2108</v>
      </c>
      <c r="D1678" s="33" t="s">
        <v>2105</v>
      </c>
      <c r="E1678" s="33" t="s">
        <v>2845</v>
      </c>
      <c r="F1678" s="38" t="s">
        <v>50</v>
      </c>
    </row>
    <row r="1679" spans="1:6" ht="14.5" hidden="1" customHeight="1" x14ac:dyDescent="0.35">
      <c r="A1679" s="33" t="s">
        <v>2107</v>
      </c>
      <c r="B1679" s="33" t="s">
        <v>84</v>
      </c>
      <c r="C1679" s="33" t="s">
        <v>2108</v>
      </c>
      <c r="D1679" s="33" t="s">
        <v>2106</v>
      </c>
      <c r="E1679" s="33" t="s">
        <v>2859</v>
      </c>
      <c r="F1679" s="38" t="s">
        <v>56</v>
      </c>
    </row>
    <row r="1680" spans="1:6" ht="14.5" hidden="1" customHeight="1" x14ac:dyDescent="0.35">
      <c r="A1680" s="33" t="s">
        <v>2117</v>
      </c>
      <c r="B1680" s="33" t="s">
        <v>80</v>
      </c>
      <c r="C1680" s="33" t="s">
        <v>2118</v>
      </c>
      <c r="D1680" s="33" t="s">
        <v>2119</v>
      </c>
      <c r="E1680" s="33" t="s">
        <v>2856</v>
      </c>
      <c r="F1680" s="38" t="s">
        <v>56</v>
      </c>
    </row>
    <row r="1681" spans="1:6" ht="14.5" hidden="1" customHeight="1" x14ac:dyDescent="0.35">
      <c r="A1681" s="33" t="s">
        <v>2117</v>
      </c>
      <c r="B1681" s="33" t="s">
        <v>622</v>
      </c>
      <c r="C1681" s="33" t="s">
        <v>2118</v>
      </c>
      <c r="D1681" s="33" t="s">
        <v>2118</v>
      </c>
      <c r="E1681" s="33" t="s">
        <v>2845</v>
      </c>
      <c r="F1681" s="38" t="s">
        <v>50</v>
      </c>
    </row>
    <row r="1682" spans="1:6" ht="14.5" hidden="1" customHeight="1" x14ac:dyDescent="0.35">
      <c r="A1682" s="33" t="s">
        <v>2117</v>
      </c>
      <c r="B1682" s="33" t="s">
        <v>226</v>
      </c>
      <c r="C1682" s="33" t="s">
        <v>2118</v>
      </c>
      <c r="D1682" s="33" t="s">
        <v>2120</v>
      </c>
      <c r="E1682" s="33" t="s">
        <v>2861</v>
      </c>
      <c r="F1682" s="38" t="s">
        <v>2740</v>
      </c>
    </row>
    <row r="1683" spans="1:6" ht="14.5" hidden="1" customHeight="1" x14ac:dyDescent="0.35">
      <c r="A1683" s="33" t="s">
        <v>2117</v>
      </c>
      <c r="B1683" s="33" t="s">
        <v>82</v>
      </c>
      <c r="C1683" s="33" t="s">
        <v>2118</v>
      </c>
      <c r="D1683" s="33" t="s">
        <v>2121</v>
      </c>
      <c r="E1683" s="33" t="s">
        <v>2856</v>
      </c>
      <c r="F1683" s="38" t="s">
        <v>56</v>
      </c>
    </row>
    <row r="1684" spans="1:6" ht="14.5" hidden="1" customHeight="1" x14ac:dyDescent="0.35">
      <c r="A1684" s="33" t="s">
        <v>2124</v>
      </c>
      <c r="B1684" s="33" t="s">
        <v>80</v>
      </c>
      <c r="C1684" s="33" t="s">
        <v>2125</v>
      </c>
      <c r="D1684" s="33" t="s">
        <v>2125</v>
      </c>
      <c r="E1684" s="33" t="s">
        <v>2873</v>
      </c>
      <c r="F1684" s="38" t="s">
        <v>132</v>
      </c>
    </row>
    <row r="1685" spans="1:6" ht="14.5" hidden="1" customHeight="1" x14ac:dyDescent="0.35">
      <c r="A1685" s="33" t="s">
        <v>2126</v>
      </c>
      <c r="B1685" s="33" t="s">
        <v>80</v>
      </c>
      <c r="C1685" s="33" t="s">
        <v>2127</v>
      </c>
      <c r="D1685" s="33" t="s">
        <v>2127</v>
      </c>
      <c r="E1685" s="33" t="s">
        <v>2862</v>
      </c>
      <c r="F1685" s="38" t="s">
        <v>2738</v>
      </c>
    </row>
    <row r="1686" spans="1:6" ht="14.5" hidden="1" customHeight="1" x14ac:dyDescent="0.35">
      <c r="A1686" s="33" t="s">
        <v>2126</v>
      </c>
      <c r="B1686" s="33" t="s">
        <v>226</v>
      </c>
      <c r="C1686" s="33" t="s">
        <v>2127</v>
      </c>
      <c r="D1686" s="33" t="s">
        <v>2127</v>
      </c>
      <c r="E1686" s="33" t="s">
        <v>2862</v>
      </c>
      <c r="F1686" s="38" t="s">
        <v>2738</v>
      </c>
    </row>
    <row r="1687" spans="1:6" ht="14.5" hidden="1" customHeight="1" x14ac:dyDescent="0.35">
      <c r="A1687" s="33" t="s">
        <v>2126</v>
      </c>
      <c r="B1687" s="33" t="s">
        <v>83</v>
      </c>
      <c r="C1687" s="33" t="s">
        <v>2127</v>
      </c>
      <c r="D1687" s="33" t="s">
        <v>2128</v>
      </c>
      <c r="E1687" s="33" t="s">
        <v>2844</v>
      </c>
      <c r="F1687" s="38" t="s">
        <v>48</v>
      </c>
    </row>
    <row r="1688" spans="1:6" ht="14.5" hidden="1" customHeight="1" x14ac:dyDescent="0.35">
      <c r="A1688" s="33" t="s">
        <v>2126</v>
      </c>
      <c r="B1688" s="33" t="s">
        <v>19</v>
      </c>
      <c r="C1688" s="33" t="s">
        <v>2127</v>
      </c>
      <c r="D1688" s="33" t="s">
        <v>2129</v>
      </c>
      <c r="E1688" s="33" t="s">
        <v>2839</v>
      </c>
      <c r="F1688" s="38" t="s">
        <v>48</v>
      </c>
    </row>
    <row r="1689" spans="1:6" ht="14.5" hidden="1" customHeight="1" x14ac:dyDescent="0.35">
      <c r="A1689" s="33" t="s">
        <v>2130</v>
      </c>
      <c r="B1689" s="33" t="s">
        <v>80</v>
      </c>
      <c r="C1689" s="33" t="s">
        <v>2131</v>
      </c>
      <c r="D1689" s="33" t="s">
        <v>2132</v>
      </c>
      <c r="E1689" s="33" t="s">
        <v>2862</v>
      </c>
      <c r="F1689" s="38" t="s">
        <v>2738</v>
      </c>
    </row>
    <row r="1690" spans="1:6" ht="14.5" hidden="1" customHeight="1" x14ac:dyDescent="0.35">
      <c r="A1690" s="33" t="s">
        <v>2130</v>
      </c>
      <c r="B1690" s="33" t="s">
        <v>82</v>
      </c>
      <c r="C1690" s="33" t="s">
        <v>2131</v>
      </c>
      <c r="D1690" s="33" t="s">
        <v>2133</v>
      </c>
      <c r="E1690" s="33" t="s">
        <v>2862</v>
      </c>
      <c r="F1690" s="38" t="s">
        <v>2738</v>
      </c>
    </row>
    <row r="1691" spans="1:6" ht="14.5" hidden="1" customHeight="1" x14ac:dyDescent="0.35">
      <c r="A1691" s="33" t="s">
        <v>2130</v>
      </c>
      <c r="B1691" s="33" t="s">
        <v>83</v>
      </c>
      <c r="C1691" s="33" t="s">
        <v>2131</v>
      </c>
      <c r="D1691" s="33" t="s">
        <v>2134</v>
      </c>
      <c r="E1691" s="33" t="s">
        <v>2862</v>
      </c>
      <c r="F1691" s="38" t="s">
        <v>2738</v>
      </c>
    </row>
    <row r="1692" spans="1:6" ht="14.5" hidden="1" customHeight="1" x14ac:dyDescent="0.35">
      <c r="A1692" s="33" t="s">
        <v>2130</v>
      </c>
      <c r="B1692" s="33" t="s">
        <v>19</v>
      </c>
      <c r="C1692" s="33" t="s">
        <v>2131</v>
      </c>
      <c r="D1692" s="33" t="s">
        <v>2135</v>
      </c>
      <c r="E1692" s="33" t="s">
        <v>2862</v>
      </c>
      <c r="F1692" s="38" t="s">
        <v>2738</v>
      </c>
    </row>
    <row r="1693" spans="1:6" ht="14.5" hidden="1" customHeight="1" x14ac:dyDescent="0.35">
      <c r="A1693" s="33" t="s">
        <v>2130</v>
      </c>
      <c r="B1693" s="33" t="s">
        <v>84</v>
      </c>
      <c r="C1693" s="33" t="s">
        <v>2131</v>
      </c>
      <c r="D1693" s="33" t="s">
        <v>2136</v>
      </c>
      <c r="E1693" s="33" t="s">
        <v>2862</v>
      </c>
      <c r="F1693" s="38" t="s">
        <v>2738</v>
      </c>
    </row>
    <row r="1694" spans="1:6" ht="14.5" hidden="1" customHeight="1" x14ac:dyDescent="0.35">
      <c r="A1694" s="33" t="s">
        <v>2130</v>
      </c>
      <c r="B1694" s="33" t="s">
        <v>86</v>
      </c>
      <c r="C1694" s="33" t="s">
        <v>2131</v>
      </c>
      <c r="D1694" s="33" t="s">
        <v>2137</v>
      </c>
      <c r="E1694" s="33" t="s">
        <v>2844</v>
      </c>
      <c r="F1694" s="38" t="s">
        <v>48</v>
      </c>
    </row>
    <row r="1695" spans="1:6" ht="14.5" hidden="1" customHeight="1" x14ac:dyDescent="0.35">
      <c r="A1695" s="33" t="s">
        <v>2130</v>
      </c>
      <c r="B1695" s="33" t="s">
        <v>89</v>
      </c>
      <c r="C1695" s="33" t="s">
        <v>2131</v>
      </c>
      <c r="D1695" s="33" t="s">
        <v>2138</v>
      </c>
      <c r="E1695" s="33" t="s">
        <v>2839</v>
      </c>
      <c r="F1695" s="38" t="s">
        <v>48</v>
      </c>
    </row>
    <row r="1696" spans="1:6" ht="14.5" hidden="1" customHeight="1" x14ac:dyDescent="0.35">
      <c r="A1696" s="33" t="s">
        <v>2139</v>
      </c>
      <c r="B1696" s="33" t="s">
        <v>80</v>
      </c>
      <c r="C1696" s="33" t="s">
        <v>2140</v>
      </c>
      <c r="D1696" s="33" t="s">
        <v>2141</v>
      </c>
      <c r="E1696" s="33" t="s">
        <v>2862</v>
      </c>
      <c r="F1696" s="38" t="s">
        <v>2738</v>
      </c>
    </row>
    <row r="1697" spans="1:6" ht="14.5" hidden="1" customHeight="1" x14ac:dyDescent="0.35">
      <c r="A1697" s="33" t="s">
        <v>2139</v>
      </c>
      <c r="B1697" s="33" t="s">
        <v>82</v>
      </c>
      <c r="C1697" s="33" t="s">
        <v>2140</v>
      </c>
      <c r="D1697" s="33" t="s">
        <v>2142</v>
      </c>
      <c r="E1697" s="33" t="s">
        <v>2862</v>
      </c>
      <c r="F1697" s="38" t="s">
        <v>2738</v>
      </c>
    </row>
    <row r="1698" spans="1:6" ht="14.5" hidden="1" customHeight="1" x14ac:dyDescent="0.35">
      <c r="A1698" s="33" t="s">
        <v>2139</v>
      </c>
      <c r="B1698" s="33" t="s">
        <v>83</v>
      </c>
      <c r="C1698" s="33" t="s">
        <v>2140</v>
      </c>
      <c r="D1698" s="33" t="s">
        <v>2143</v>
      </c>
      <c r="E1698" s="33" t="s">
        <v>2862</v>
      </c>
      <c r="F1698" s="38" t="s">
        <v>2738</v>
      </c>
    </row>
    <row r="1699" spans="1:6" ht="14.5" hidden="1" customHeight="1" x14ac:dyDescent="0.35">
      <c r="A1699" s="33" t="s">
        <v>2139</v>
      </c>
      <c r="B1699" s="33" t="s">
        <v>19</v>
      </c>
      <c r="C1699" s="33" t="s">
        <v>2140</v>
      </c>
      <c r="D1699" s="33" t="s">
        <v>2144</v>
      </c>
      <c r="E1699" s="33" t="s">
        <v>2862</v>
      </c>
      <c r="F1699" s="38" t="s">
        <v>2738</v>
      </c>
    </row>
    <row r="1700" spans="1:6" ht="14.5" hidden="1" customHeight="1" x14ac:dyDescent="0.35">
      <c r="A1700" s="33" t="s">
        <v>2139</v>
      </c>
      <c r="B1700" s="33" t="s">
        <v>84</v>
      </c>
      <c r="C1700" s="33" t="s">
        <v>2140</v>
      </c>
      <c r="D1700" s="33" t="s">
        <v>2145</v>
      </c>
      <c r="E1700" s="33" t="s">
        <v>2862</v>
      </c>
      <c r="F1700" s="38" t="s">
        <v>2738</v>
      </c>
    </row>
    <row r="1701" spans="1:6" ht="14.5" hidden="1" customHeight="1" x14ac:dyDescent="0.35">
      <c r="A1701" s="33" t="s">
        <v>2139</v>
      </c>
      <c r="B1701" s="33" t="s">
        <v>86</v>
      </c>
      <c r="C1701" s="33" t="s">
        <v>2140</v>
      </c>
      <c r="D1701" s="33" t="s">
        <v>2137</v>
      </c>
      <c r="E1701" s="33" t="s">
        <v>2844</v>
      </c>
      <c r="F1701" s="38" t="s">
        <v>48</v>
      </c>
    </row>
    <row r="1702" spans="1:6" ht="14.5" hidden="1" customHeight="1" x14ac:dyDescent="0.35">
      <c r="A1702" s="33" t="s">
        <v>2139</v>
      </c>
      <c r="B1702" s="33" t="s">
        <v>89</v>
      </c>
      <c r="C1702" s="33" t="s">
        <v>2140</v>
      </c>
      <c r="D1702" s="33" t="s">
        <v>2138</v>
      </c>
      <c r="E1702" s="33" t="s">
        <v>2839</v>
      </c>
      <c r="F1702" s="38" t="s">
        <v>48</v>
      </c>
    </row>
    <row r="1703" spans="1:6" ht="14.5" hidden="1" customHeight="1" x14ac:dyDescent="0.35">
      <c r="A1703" s="33" t="s">
        <v>2146</v>
      </c>
      <c r="B1703" s="33" t="s">
        <v>80</v>
      </c>
      <c r="C1703" s="33" t="s">
        <v>2147</v>
      </c>
      <c r="D1703" s="33" t="s">
        <v>2148</v>
      </c>
      <c r="E1703" s="33" t="s">
        <v>2862</v>
      </c>
      <c r="F1703" s="38" t="s">
        <v>2738</v>
      </c>
    </row>
    <row r="1704" spans="1:6" ht="14.5" hidden="1" customHeight="1" x14ac:dyDescent="0.35">
      <c r="A1704" s="33" t="s">
        <v>2146</v>
      </c>
      <c r="B1704" s="33" t="s">
        <v>82</v>
      </c>
      <c r="C1704" s="33" t="s">
        <v>2147</v>
      </c>
      <c r="D1704" s="33" t="s">
        <v>2149</v>
      </c>
      <c r="E1704" s="33" t="s">
        <v>2862</v>
      </c>
      <c r="F1704" s="38" t="s">
        <v>2738</v>
      </c>
    </row>
    <row r="1705" spans="1:6" ht="14.5" hidden="1" customHeight="1" x14ac:dyDescent="0.35">
      <c r="A1705" s="33" t="s">
        <v>2146</v>
      </c>
      <c r="B1705" s="33" t="s">
        <v>83</v>
      </c>
      <c r="C1705" s="33" t="s">
        <v>2147</v>
      </c>
      <c r="D1705" s="33" t="s">
        <v>2150</v>
      </c>
      <c r="E1705" s="33" t="s">
        <v>2862</v>
      </c>
      <c r="F1705" s="38" t="s">
        <v>2738</v>
      </c>
    </row>
    <row r="1706" spans="1:6" ht="14.5" hidden="1" customHeight="1" x14ac:dyDescent="0.35">
      <c r="A1706" s="33" t="s">
        <v>2146</v>
      </c>
      <c r="B1706" s="33" t="s">
        <v>19</v>
      </c>
      <c r="C1706" s="33" t="s">
        <v>2147</v>
      </c>
      <c r="D1706" s="33" t="s">
        <v>2151</v>
      </c>
      <c r="E1706" s="33" t="s">
        <v>2862</v>
      </c>
      <c r="F1706" s="38" t="s">
        <v>2738</v>
      </c>
    </row>
    <row r="1707" spans="1:6" ht="14.5" hidden="1" customHeight="1" x14ac:dyDescent="0.35">
      <c r="A1707" s="33" t="s">
        <v>2146</v>
      </c>
      <c r="B1707" s="33" t="s">
        <v>84</v>
      </c>
      <c r="C1707" s="33" t="s">
        <v>2147</v>
      </c>
      <c r="D1707" s="33" t="s">
        <v>2152</v>
      </c>
      <c r="E1707" s="33" t="s">
        <v>2862</v>
      </c>
      <c r="F1707" s="38" t="s">
        <v>2738</v>
      </c>
    </row>
    <row r="1708" spans="1:6" ht="14.5" hidden="1" customHeight="1" x14ac:dyDescent="0.35">
      <c r="A1708" s="33" t="s">
        <v>2146</v>
      </c>
      <c r="B1708" s="33" t="s">
        <v>86</v>
      </c>
      <c r="C1708" s="33" t="s">
        <v>2147</v>
      </c>
      <c r="D1708" s="33" t="s">
        <v>2137</v>
      </c>
      <c r="E1708" s="33" t="s">
        <v>2844</v>
      </c>
      <c r="F1708" s="38" t="s">
        <v>48</v>
      </c>
    </row>
    <row r="1709" spans="1:6" ht="14.5" hidden="1" customHeight="1" x14ac:dyDescent="0.35">
      <c r="A1709" s="33" t="s">
        <v>2146</v>
      </c>
      <c r="B1709" s="33" t="s">
        <v>89</v>
      </c>
      <c r="C1709" s="33" t="s">
        <v>2147</v>
      </c>
      <c r="D1709" s="33" t="s">
        <v>2138</v>
      </c>
      <c r="E1709" s="33" t="s">
        <v>2839</v>
      </c>
      <c r="F1709" s="38" t="s">
        <v>48</v>
      </c>
    </row>
    <row r="1710" spans="1:6" ht="14.5" hidden="1" customHeight="1" x14ac:dyDescent="0.35">
      <c r="A1710" s="33" t="s">
        <v>2153</v>
      </c>
      <c r="B1710" s="33" t="s">
        <v>80</v>
      </c>
      <c r="C1710" s="33" t="s">
        <v>2154</v>
      </c>
      <c r="D1710" s="33" t="s">
        <v>2155</v>
      </c>
      <c r="E1710" s="33" t="s">
        <v>2885</v>
      </c>
      <c r="F1710" s="38" t="s">
        <v>132</v>
      </c>
    </row>
    <row r="1711" spans="1:6" ht="14.5" hidden="1" customHeight="1" x14ac:dyDescent="0.35">
      <c r="A1711" s="33" t="s">
        <v>2156</v>
      </c>
      <c r="B1711" s="33" t="s">
        <v>80</v>
      </c>
      <c r="C1711" s="33" t="s">
        <v>2157</v>
      </c>
      <c r="D1711" s="33" t="s">
        <v>2158</v>
      </c>
      <c r="E1711" s="33" t="s">
        <v>2847</v>
      </c>
      <c r="F1711" s="38" t="s">
        <v>132</v>
      </c>
    </row>
    <row r="1712" spans="1:6" ht="14.5" hidden="1" customHeight="1" x14ac:dyDescent="0.35">
      <c r="A1712" s="33" t="s">
        <v>2156</v>
      </c>
      <c r="B1712" s="33" t="s">
        <v>226</v>
      </c>
      <c r="C1712" s="33" t="s">
        <v>2157</v>
      </c>
      <c r="D1712" s="33" t="s">
        <v>2159</v>
      </c>
      <c r="E1712" s="33" t="s">
        <v>2870</v>
      </c>
      <c r="F1712" s="38" t="s">
        <v>56</v>
      </c>
    </row>
    <row r="1713" spans="1:6" ht="14.5" hidden="1" customHeight="1" x14ac:dyDescent="0.35">
      <c r="A1713" s="33" t="s">
        <v>2156</v>
      </c>
      <c r="B1713" s="33" t="s">
        <v>82</v>
      </c>
      <c r="C1713" s="33" t="s">
        <v>2157</v>
      </c>
      <c r="D1713" s="33" t="s">
        <v>2160</v>
      </c>
      <c r="E1713" s="33" t="s">
        <v>2869</v>
      </c>
      <c r="F1713" s="38" t="s">
        <v>132</v>
      </c>
    </row>
    <row r="1714" spans="1:6" ht="14.5" hidden="1" customHeight="1" x14ac:dyDescent="0.35">
      <c r="A1714" s="33" t="s">
        <v>2156</v>
      </c>
      <c r="B1714" s="33" t="s">
        <v>19</v>
      </c>
      <c r="C1714" s="33" t="s">
        <v>2157</v>
      </c>
      <c r="D1714" s="33" t="s">
        <v>2161</v>
      </c>
      <c r="E1714" s="33" t="s">
        <v>2861</v>
      </c>
      <c r="F1714" s="38" t="s">
        <v>2740</v>
      </c>
    </row>
    <row r="1715" spans="1:6" ht="14.5" hidden="1" customHeight="1" x14ac:dyDescent="0.35">
      <c r="A1715" s="33" t="s">
        <v>2156</v>
      </c>
      <c r="B1715" s="33" t="s">
        <v>84</v>
      </c>
      <c r="C1715" s="33" t="s">
        <v>2157</v>
      </c>
      <c r="D1715" s="33" t="s">
        <v>2162</v>
      </c>
      <c r="E1715" s="33" t="s">
        <v>2847</v>
      </c>
      <c r="F1715" s="38" t="s">
        <v>132</v>
      </c>
    </row>
    <row r="1716" spans="1:6" ht="14.5" hidden="1" customHeight="1" x14ac:dyDescent="0.35">
      <c r="A1716" s="33" t="s">
        <v>2156</v>
      </c>
      <c r="B1716" s="33" t="s">
        <v>85</v>
      </c>
      <c r="C1716" s="33" t="s">
        <v>2157</v>
      </c>
      <c r="D1716" s="33" t="s">
        <v>2163</v>
      </c>
      <c r="E1716" s="33" t="s">
        <v>2861</v>
      </c>
      <c r="F1716" s="38" t="s">
        <v>2740</v>
      </c>
    </row>
    <row r="1717" spans="1:6" ht="14.5" hidden="1" customHeight="1" x14ac:dyDescent="0.35">
      <c r="A1717" s="33" t="s">
        <v>2156</v>
      </c>
      <c r="B1717" s="33" t="s">
        <v>86</v>
      </c>
      <c r="C1717" s="33" t="s">
        <v>2157</v>
      </c>
      <c r="D1717" s="33" t="s">
        <v>2164</v>
      </c>
      <c r="E1717" s="33" t="s">
        <v>2859</v>
      </c>
      <c r="F1717" s="38" t="s">
        <v>56</v>
      </c>
    </row>
    <row r="1718" spans="1:6" ht="14.5" hidden="1" customHeight="1" x14ac:dyDescent="0.35">
      <c r="A1718" s="33" t="s">
        <v>2165</v>
      </c>
      <c r="B1718" s="33" t="s">
        <v>80</v>
      </c>
      <c r="C1718" s="33" t="s">
        <v>2166</v>
      </c>
      <c r="D1718" s="33" t="s">
        <v>2167</v>
      </c>
      <c r="E1718" s="33" t="s">
        <v>2862</v>
      </c>
      <c r="F1718" s="38" t="s">
        <v>2738</v>
      </c>
    </row>
    <row r="1719" spans="1:6" ht="14.5" hidden="1" customHeight="1" x14ac:dyDescent="0.35">
      <c r="A1719" s="33" t="s">
        <v>2165</v>
      </c>
      <c r="B1719" s="33" t="s">
        <v>82</v>
      </c>
      <c r="C1719" s="33" t="s">
        <v>2166</v>
      </c>
      <c r="D1719" s="33" t="s">
        <v>2168</v>
      </c>
      <c r="E1719" s="33" t="s">
        <v>2862</v>
      </c>
      <c r="F1719" s="38" t="s">
        <v>2738</v>
      </c>
    </row>
    <row r="1720" spans="1:6" ht="14.5" hidden="1" customHeight="1" x14ac:dyDescent="0.35">
      <c r="A1720" s="33" t="s">
        <v>2165</v>
      </c>
      <c r="B1720" s="33" t="s">
        <v>83</v>
      </c>
      <c r="C1720" s="33" t="s">
        <v>2166</v>
      </c>
      <c r="D1720" s="33" t="s">
        <v>2169</v>
      </c>
      <c r="E1720" s="33" t="s">
        <v>2862</v>
      </c>
      <c r="F1720" s="38" t="s">
        <v>2738</v>
      </c>
    </row>
    <row r="1721" spans="1:6" ht="14.5" hidden="1" customHeight="1" x14ac:dyDescent="0.35">
      <c r="A1721" s="33" t="s">
        <v>2165</v>
      </c>
      <c r="B1721" s="33" t="s">
        <v>19</v>
      </c>
      <c r="C1721" s="33" t="s">
        <v>2166</v>
      </c>
      <c r="D1721" s="33" t="s">
        <v>2170</v>
      </c>
      <c r="E1721" s="33" t="s">
        <v>2862</v>
      </c>
      <c r="F1721" s="38" t="s">
        <v>2738</v>
      </c>
    </row>
    <row r="1722" spans="1:6" ht="14.5" hidden="1" customHeight="1" x14ac:dyDescent="0.35">
      <c r="A1722" s="33" t="s">
        <v>2165</v>
      </c>
      <c r="B1722" s="33" t="s">
        <v>84</v>
      </c>
      <c r="C1722" s="33" t="s">
        <v>2166</v>
      </c>
      <c r="D1722" s="33" t="s">
        <v>2171</v>
      </c>
      <c r="E1722" s="33" t="s">
        <v>2862</v>
      </c>
      <c r="F1722" s="38" t="s">
        <v>2738</v>
      </c>
    </row>
    <row r="1723" spans="1:6" ht="14.5" hidden="1" customHeight="1" x14ac:dyDescent="0.35">
      <c r="A1723" s="33" t="s">
        <v>2165</v>
      </c>
      <c r="B1723" s="33" t="s">
        <v>86</v>
      </c>
      <c r="C1723" s="33" t="s">
        <v>2166</v>
      </c>
      <c r="D1723" s="33" t="s">
        <v>2172</v>
      </c>
      <c r="E1723" s="33" t="s">
        <v>2844</v>
      </c>
      <c r="F1723" s="38" t="s">
        <v>48</v>
      </c>
    </row>
    <row r="1724" spans="1:6" ht="14.5" hidden="1" customHeight="1" x14ac:dyDescent="0.35">
      <c r="A1724" s="33" t="s">
        <v>2165</v>
      </c>
      <c r="B1724" s="33" t="s">
        <v>89</v>
      </c>
      <c r="C1724" s="33" t="s">
        <v>2166</v>
      </c>
      <c r="D1724" s="33" t="s">
        <v>2173</v>
      </c>
      <c r="E1724" s="33" t="s">
        <v>2839</v>
      </c>
      <c r="F1724" s="38" t="s">
        <v>48</v>
      </c>
    </row>
    <row r="1725" spans="1:6" ht="14.5" hidden="1" customHeight="1" x14ac:dyDescent="0.35">
      <c r="A1725" s="33" t="s">
        <v>2177</v>
      </c>
      <c r="B1725" s="33" t="s">
        <v>80</v>
      </c>
      <c r="C1725" s="33" t="s">
        <v>2178</v>
      </c>
      <c r="D1725" s="33" t="s">
        <v>2179</v>
      </c>
      <c r="E1725" s="33" t="s">
        <v>2840</v>
      </c>
      <c r="F1725" s="38" t="s">
        <v>132</v>
      </c>
    </row>
    <row r="1726" spans="1:6" ht="14.5" hidden="1" customHeight="1" x14ac:dyDescent="0.35">
      <c r="A1726" s="33" t="s">
        <v>2180</v>
      </c>
      <c r="B1726" s="33" t="s">
        <v>80</v>
      </c>
      <c r="C1726" s="33" t="s">
        <v>2181</v>
      </c>
      <c r="D1726" s="33" t="s">
        <v>2182</v>
      </c>
      <c r="E1726" s="33" t="s">
        <v>2843</v>
      </c>
      <c r="F1726" s="38" t="s">
        <v>56</v>
      </c>
    </row>
    <row r="1727" spans="1:6" ht="14.5" customHeight="1" x14ac:dyDescent="0.35">
      <c r="A1727" s="33" t="s">
        <v>2180</v>
      </c>
      <c r="B1727" s="33" t="s">
        <v>82</v>
      </c>
      <c r="C1727" s="33" t="s">
        <v>2181</v>
      </c>
      <c r="D1727" s="33" t="s">
        <v>2181</v>
      </c>
      <c r="E1727" s="33" t="s">
        <v>2879</v>
      </c>
      <c r="F1727" s="38" t="s">
        <v>1687</v>
      </c>
    </row>
    <row r="1728" spans="1:6" ht="14.5" hidden="1" customHeight="1" x14ac:dyDescent="0.35">
      <c r="A1728" s="33" t="s">
        <v>2180</v>
      </c>
      <c r="B1728" s="33" t="s">
        <v>19</v>
      </c>
      <c r="C1728" s="33" t="s">
        <v>2181</v>
      </c>
      <c r="D1728" s="33" t="s">
        <v>2183</v>
      </c>
      <c r="E1728" s="33" t="s">
        <v>2844</v>
      </c>
      <c r="F1728" s="38" t="s">
        <v>48</v>
      </c>
    </row>
    <row r="1729" spans="1:6" ht="14.5" hidden="1" customHeight="1" x14ac:dyDescent="0.35">
      <c r="A1729" s="33" t="s">
        <v>2180</v>
      </c>
      <c r="B1729" s="33" t="s">
        <v>84</v>
      </c>
      <c r="C1729" s="33" t="s">
        <v>2181</v>
      </c>
      <c r="D1729" s="33" t="s">
        <v>2184</v>
      </c>
      <c r="E1729" s="33" t="s">
        <v>2839</v>
      </c>
      <c r="F1729" s="38" t="s">
        <v>48</v>
      </c>
    </row>
    <row r="1730" spans="1:6" ht="14.5" hidden="1" customHeight="1" x14ac:dyDescent="0.35">
      <c r="A1730" s="33" t="s">
        <v>2180</v>
      </c>
      <c r="B1730" s="33" t="s">
        <v>85</v>
      </c>
      <c r="C1730" s="33" t="s">
        <v>2181</v>
      </c>
      <c r="D1730" s="33" t="s">
        <v>2185</v>
      </c>
      <c r="E1730" s="33" t="s">
        <v>2843</v>
      </c>
      <c r="F1730" s="38" t="s">
        <v>56</v>
      </c>
    </row>
    <row r="1731" spans="1:6" ht="14.5" hidden="1" customHeight="1" x14ac:dyDescent="0.35">
      <c r="A1731" s="33" t="s">
        <v>2186</v>
      </c>
      <c r="B1731" s="33" t="s">
        <v>80</v>
      </c>
      <c r="C1731" s="33" t="s">
        <v>2187</v>
      </c>
      <c r="D1731" s="33" t="s">
        <v>2188</v>
      </c>
      <c r="E1731" s="33" t="s">
        <v>2837</v>
      </c>
      <c r="F1731" s="38" t="s">
        <v>742</v>
      </c>
    </row>
    <row r="1732" spans="1:6" ht="14.5" hidden="1" customHeight="1" x14ac:dyDescent="0.35">
      <c r="A1732" s="33" t="s">
        <v>2186</v>
      </c>
      <c r="B1732" s="33" t="s">
        <v>82</v>
      </c>
      <c r="C1732" s="33" t="s">
        <v>2187</v>
      </c>
      <c r="D1732" s="33" t="s">
        <v>2189</v>
      </c>
      <c r="E1732" s="33" t="s">
        <v>2843</v>
      </c>
      <c r="F1732" s="38" t="s">
        <v>56</v>
      </c>
    </row>
    <row r="1733" spans="1:6" ht="14.5" hidden="1" customHeight="1" x14ac:dyDescent="0.35">
      <c r="A1733" s="33" t="s">
        <v>2186</v>
      </c>
      <c r="B1733" s="33" t="s">
        <v>83</v>
      </c>
      <c r="C1733" s="33" t="s">
        <v>2187</v>
      </c>
      <c r="D1733" s="33" t="s">
        <v>2190</v>
      </c>
      <c r="E1733" s="33" t="s">
        <v>2873</v>
      </c>
      <c r="F1733" s="38" t="s">
        <v>132</v>
      </c>
    </row>
    <row r="1734" spans="1:6" ht="14.5" hidden="1" customHeight="1" x14ac:dyDescent="0.35">
      <c r="A1734" s="33" t="s">
        <v>2186</v>
      </c>
      <c r="B1734" s="33" t="s">
        <v>19</v>
      </c>
      <c r="C1734" s="33" t="s">
        <v>2187</v>
      </c>
      <c r="D1734" s="33" t="s">
        <v>2191</v>
      </c>
      <c r="E1734" s="33" t="s">
        <v>2856</v>
      </c>
      <c r="F1734" s="38" t="s">
        <v>56</v>
      </c>
    </row>
    <row r="1735" spans="1:6" ht="14.5" hidden="1" customHeight="1" x14ac:dyDescent="0.35">
      <c r="A1735" s="33" t="s">
        <v>2192</v>
      </c>
      <c r="B1735" s="33" t="s">
        <v>80</v>
      </c>
      <c r="C1735" s="33" t="s">
        <v>2193</v>
      </c>
      <c r="D1735" s="33" t="s">
        <v>2194</v>
      </c>
      <c r="E1735" s="33" t="s">
        <v>2843</v>
      </c>
      <c r="F1735" s="38" t="s">
        <v>56</v>
      </c>
    </row>
    <row r="1736" spans="1:6" ht="14.5" hidden="1" customHeight="1" x14ac:dyDescent="0.35">
      <c r="A1736" s="33" t="s">
        <v>2192</v>
      </c>
      <c r="B1736" s="33" t="s">
        <v>83</v>
      </c>
      <c r="C1736" s="33" t="s">
        <v>2193</v>
      </c>
      <c r="D1736" s="33" t="s">
        <v>2195</v>
      </c>
      <c r="E1736" s="33" t="s">
        <v>2859</v>
      </c>
      <c r="F1736" s="38" t="s">
        <v>56</v>
      </c>
    </row>
    <row r="1737" spans="1:6" ht="14.5" hidden="1" customHeight="1" x14ac:dyDescent="0.35">
      <c r="A1737" s="33" t="s">
        <v>2192</v>
      </c>
      <c r="B1737" s="33" t="s">
        <v>19</v>
      </c>
      <c r="C1737" s="33" t="s">
        <v>2193</v>
      </c>
      <c r="D1737" s="33" t="s">
        <v>2196</v>
      </c>
      <c r="E1737" s="33" t="s">
        <v>2861</v>
      </c>
      <c r="F1737" s="38" t="s">
        <v>2740</v>
      </c>
    </row>
    <row r="1738" spans="1:6" ht="14.5" hidden="1" customHeight="1" x14ac:dyDescent="0.35">
      <c r="A1738" s="33" t="s">
        <v>2192</v>
      </c>
      <c r="B1738" s="33" t="s">
        <v>84</v>
      </c>
      <c r="C1738" s="33" t="s">
        <v>2193</v>
      </c>
      <c r="D1738" s="33" t="s">
        <v>2197</v>
      </c>
      <c r="E1738" s="33" t="s">
        <v>2860</v>
      </c>
      <c r="F1738" s="38" t="s">
        <v>50</v>
      </c>
    </row>
    <row r="1739" spans="1:6" ht="14.5" hidden="1" customHeight="1" x14ac:dyDescent="0.35">
      <c r="A1739" s="33" t="s">
        <v>2192</v>
      </c>
      <c r="B1739" s="33" t="s">
        <v>85</v>
      </c>
      <c r="C1739" s="33" t="s">
        <v>2193</v>
      </c>
      <c r="D1739" s="33" t="s">
        <v>2198</v>
      </c>
      <c r="E1739" s="33" t="s">
        <v>2861</v>
      </c>
      <c r="F1739" s="38" t="s">
        <v>2740</v>
      </c>
    </row>
    <row r="1740" spans="1:6" ht="14.5" hidden="1" customHeight="1" x14ac:dyDescent="0.35">
      <c r="A1740" s="33" t="s">
        <v>2192</v>
      </c>
      <c r="B1740" s="33" t="s">
        <v>86</v>
      </c>
      <c r="C1740" s="33" t="s">
        <v>2193</v>
      </c>
      <c r="D1740" s="33" t="s">
        <v>2199</v>
      </c>
      <c r="E1740" s="33" t="s">
        <v>2843</v>
      </c>
      <c r="F1740" s="38" t="s">
        <v>56</v>
      </c>
    </row>
    <row r="1741" spans="1:6" ht="14.5" hidden="1" customHeight="1" x14ac:dyDescent="0.35">
      <c r="A1741" s="33" t="s">
        <v>2200</v>
      </c>
      <c r="B1741" s="33" t="s">
        <v>80</v>
      </c>
      <c r="C1741" s="33" t="s">
        <v>2201</v>
      </c>
      <c r="D1741" s="33" t="s">
        <v>2202</v>
      </c>
      <c r="E1741" s="33" t="s">
        <v>2843</v>
      </c>
      <c r="F1741" s="38" t="s">
        <v>56</v>
      </c>
    </row>
    <row r="1742" spans="1:6" ht="14.5" hidden="1" customHeight="1" x14ac:dyDescent="0.35">
      <c r="A1742" s="33" t="s">
        <v>2200</v>
      </c>
      <c r="B1742" s="33" t="s">
        <v>82</v>
      </c>
      <c r="C1742" s="33" t="s">
        <v>2201</v>
      </c>
      <c r="D1742" s="33" t="s">
        <v>2203</v>
      </c>
      <c r="E1742" s="33" t="s">
        <v>2874</v>
      </c>
      <c r="F1742" s="38" t="s">
        <v>2739</v>
      </c>
    </row>
    <row r="1743" spans="1:6" ht="14.5" hidden="1" customHeight="1" x14ac:dyDescent="0.35">
      <c r="A1743" s="33" t="s">
        <v>2200</v>
      </c>
      <c r="B1743" s="33" t="s">
        <v>83</v>
      </c>
      <c r="C1743" s="33" t="s">
        <v>2201</v>
      </c>
      <c r="D1743" s="33" t="s">
        <v>2204</v>
      </c>
      <c r="E1743" s="33" t="s">
        <v>2882</v>
      </c>
      <c r="F1743" s="38" t="s">
        <v>2739</v>
      </c>
    </row>
    <row r="1744" spans="1:6" ht="14.5" hidden="1" customHeight="1" x14ac:dyDescent="0.35">
      <c r="A1744" s="33" t="s">
        <v>2200</v>
      </c>
      <c r="B1744" s="33" t="s">
        <v>84</v>
      </c>
      <c r="C1744" s="33" t="s">
        <v>2201</v>
      </c>
      <c r="D1744" s="33" t="s">
        <v>2205</v>
      </c>
      <c r="E1744" s="33" t="s">
        <v>2844</v>
      </c>
      <c r="F1744" s="38" t="s">
        <v>48</v>
      </c>
    </row>
    <row r="1745" spans="1:6" ht="14.5" hidden="1" customHeight="1" x14ac:dyDescent="0.35">
      <c r="A1745" s="33" t="s">
        <v>2200</v>
      </c>
      <c r="B1745" s="33" t="s">
        <v>85</v>
      </c>
      <c r="C1745" s="33" t="s">
        <v>2201</v>
      </c>
      <c r="D1745" s="33" t="s">
        <v>2206</v>
      </c>
      <c r="E1745" s="33" t="s">
        <v>2839</v>
      </c>
      <c r="F1745" s="38" t="s">
        <v>48</v>
      </c>
    </row>
    <row r="1746" spans="1:6" ht="14.5" hidden="1" customHeight="1" x14ac:dyDescent="0.35">
      <c r="A1746" s="33" t="s">
        <v>2200</v>
      </c>
      <c r="B1746" s="33" t="s">
        <v>86</v>
      </c>
      <c r="C1746" s="33" t="s">
        <v>2201</v>
      </c>
      <c r="D1746" s="33" t="s">
        <v>2202</v>
      </c>
      <c r="E1746" s="33" t="s">
        <v>2843</v>
      </c>
      <c r="F1746" s="38" t="s">
        <v>56</v>
      </c>
    </row>
    <row r="1747" spans="1:6" ht="14.5" hidden="1" customHeight="1" x14ac:dyDescent="0.35">
      <c r="A1747" s="33" t="s">
        <v>2207</v>
      </c>
      <c r="B1747" s="33" t="s">
        <v>99</v>
      </c>
      <c r="C1747" s="33" t="s">
        <v>2208</v>
      </c>
      <c r="D1747" s="33" t="s">
        <v>2209</v>
      </c>
      <c r="E1747" s="33" t="s">
        <v>2871</v>
      </c>
      <c r="F1747" s="38" t="s">
        <v>54</v>
      </c>
    </row>
    <row r="1748" spans="1:6" ht="14.5" hidden="1" customHeight="1" x14ac:dyDescent="0.35">
      <c r="A1748" s="33" t="s">
        <v>2207</v>
      </c>
      <c r="B1748" s="33" t="s">
        <v>100</v>
      </c>
      <c r="C1748" s="33" t="s">
        <v>2208</v>
      </c>
      <c r="D1748" s="33" t="s">
        <v>2210</v>
      </c>
      <c r="E1748" s="33" t="s">
        <v>2855</v>
      </c>
      <c r="F1748" s="38" t="s">
        <v>54</v>
      </c>
    </row>
    <row r="1749" spans="1:6" ht="14.5" hidden="1" customHeight="1" x14ac:dyDescent="0.35">
      <c r="A1749" s="33" t="s">
        <v>2207</v>
      </c>
      <c r="B1749" s="33" t="s">
        <v>101</v>
      </c>
      <c r="C1749" s="33" t="s">
        <v>2208</v>
      </c>
      <c r="D1749" s="33" t="s">
        <v>2211</v>
      </c>
      <c r="E1749" s="33" t="s">
        <v>2877</v>
      </c>
      <c r="F1749" s="38" t="s">
        <v>54</v>
      </c>
    </row>
    <row r="1750" spans="1:6" ht="14.5" hidden="1" customHeight="1" x14ac:dyDescent="0.35">
      <c r="A1750" s="33" t="s">
        <v>2215</v>
      </c>
      <c r="B1750" s="33" t="s">
        <v>80</v>
      </c>
      <c r="C1750" s="33" t="s">
        <v>2216</v>
      </c>
      <c r="D1750" s="33" t="s">
        <v>2216</v>
      </c>
      <c r="E1750" s="33" t="s">
        <v>2871</v>
      </c>
      <c r="F1750" s="38" t="s">
        <v>54</v>
      </c>
    </row>
    <row r="1751" spans="1:6" ht="14.5" hidden="1" customHeight="1" x14ac:dyDescent="0.35">
      <c r="A1751" s="33" t="s">
        <v>2215</v>
      </c>
      <c r="B1751" s="33" t="s">
        <v>82</v>
      </c>
      <c r="C1751" s="33" t="s">
        <v>2216</v>
      </c>
      <c r="D1751" s="33" t="s">
        <v>2217</v>
      </c>
      <c r="E1751" s="33" t="s">
        <v>2877</v>
      </c>
      <c r="F1751" s="38" t="s">
        <v>54</v>
      </c>
    </row>
    <row r="1752" spans="1:6" ht="14.5" hidden="1" customHeight="1" x14ac:dyDescent="0.35">
      <c r="A1752" s="33" t="s">
        <v>2218</v>
      </c>
      <c r="B1752" s="33" t="s">
        <v>80</v>
      </c>
      <c r="C1752" s="33" t="s">
        <v>2219</v>
      </c>
      <c r="D1752" s="33" t="s">
        <v>2220</v>
      </c>
      <c r="E1752" s="33" t="s">
        <v>2843</v>
      </c>
      <c r="F1752" s="38" t="s">
        <v>56</v>
      </c>
    </row>
    <row r="1753" spans="1:6" ht="14.5" hidden="1" customHeight="1" x14ac:dyDescent="0.35">
      <c r="A1753" s="33" t="s">
        <v>2218</v>
      </c>
      <c r="B1753" s="33" t="s">
        <v>82</v>
      </c>
      <c r="C1753" s="33" t="s">
        <v>2219</v>
      </c>
      <c r="D1753" s="33" t="s">
        <v>2221</v>
      </c>
      <c r="E1753" s="33" t="s">
        <v>2869</v>
      </c>
      <c r="F1753" s="38" t="s">
        <v>132</v>
      </c>
    </row>
    <row r="1754" spans="1:6" ht="14.5" hidden="1" customHeight="1" x14ac:dyDescent="0.35">
      <c r="A1754" s="33" t="s">
        <v>2218</v>
      </c>
      <c r="B1754" s="33" t="s">
        <v>83</v>
      </c>
      <c r="C1754" s="33" t="s">
        <v>2219</v>
      </c>
      <c r="D1754" s="33" t="s">
        <v>2222</v>
      </c>
      <c r="E1754" s="33" t="s">
        <v>2843</v>
      </c>
      <c r="F1754" s="38" t="s">
        <v>56</v>
      </c>
    </row>
    <row r="1755" spans="1:6" ht="14.5" customHeight="1" x14ac:dyDescent="0.35">
      <c r="A1755" s="33" t="s">
        <v>2223</v>
      </c>
      <c r="B1755" s="33" t="s">
        <v>80</v>
      </c>
      <c r="C1755" s="33" t="s">
        <v>2224</v>
      </c>
      <c r="D1755" s="33" t="s">
        <v>2224</v>
      </c>
      <c r="E1755" s="33" t="s">
        <v>2879</v>
      </c>
      <c r="F1755" s="38" t="s">
        <v>1687</v>
      </c>
    </row>
    <row r="1756" spans="1:6" ht="14.5" hidden="1" customHeight="1" x14ac:dyDescent="0.35">
      <c r="A1756" s="33" t="s">
        <v>2223</v>
      </c>
      <c r="B1756" s="33" t="s">
        <v>82</v>
      </c>
      <c r="C1756" s="33" t="s">
        <v>2224</v>
      </c>
      <c r="D1756" s="33" t="s">
        <v>2225</v>
      </c>
      <c r="E1756" s="33" t="s">
        <v>2859</v>
      </c>
      <c r="F1756" s="38" t="s">
        <v>56</v>
      </c>
    </row>
    <row r="1757" spans="1:6" ht="14.5" customHeight="1" x14ac:dyDescent="0.35">
      <c r="A1757" s="33" t="s">
        <v>2234</v>
      </c>
      <c r="B1757" s="33" t="s">
        <v>80</v>
      </c>
      <c r="C1757" s="33" t="s">
        <v>2235</v>
      </c>
      <c r="D1757" s="33" t="s">
        <v>2235</v>
      </c>
      <c r="E1757" s="33" t="s">
        <v>2879</v>
      </c>
      <c r="F1757" s="38" t="s">
        <v>1687</v>
      </c>
    </row>
    <row r="1758" spans="1:6" ht="14.5" hidden="1" customHeight="1" x14ac:dyDescent="0.35">
      <c r="A1758" s="33" t="s">
        <v>2236</v>
      </c>
      <c r="B1758" s="33" t="s">
        <v>81</v>
      </c>
      <c r="C1758" s="33" t="s">
        <v>2237</v>
      </c>
      <c r="D1758" s="33" t="s">
        <v>2238</v>
      </c>
      <c r="E1758" s="33" t="s">
        <v>2845</v>
      </c>
      <c r="F1758" s="38" t="s">
        <v>50</v>
      </c>
    </row>
    <row r="1759" spans="1:6" ht="14.5" hidden="1" customHeight="1" x14ac:dyDescent="0.35">
      <c r="A1759" s="33" t="s">
        <v>2236</v>
      </c>
      <c r="B1759" s="33" t="s">
        <v>80</v>
      </c>
      <c r="C1759" s="33" t="s">
        <v>2237</v>
      </c>
      <c r="D1759" s="33" t="s">
        <v>2237</v>
      </c>
      <c r="E1759" s="33" t="s">
        <v>2845</v>
      </c>
      <c r="F1759" s="38" t="s">
        <v>50</v>
      </c>
    </row>
    <row r="1760" spans="1:6" ht="14.5" hidden="1" customHeight="1" x14ac:dyDescent="0.35">
      <c r="A1760" s="33" t="s">
        <v>2260</v>
      </c>
      <c r="B1760" s="33" t="s">
        <v>80</v>
      </c>
      <c r="C1760" s="33" t="s">
        <v>2261</v>
      </c>
      <c r="D1760" s="33" t="s">
        <v>2262</v>
      </c>
      <c r="E1760" s="33" t="s">
        <v>2843</v>
      </c>
      <c r="F1760" s="38" t="s">
        <v>56</v>
      </c>
    </row>
    <row r="1761" spans="1:6" ht="14.5" hidden="1" customHeight="1" x14ac:dyDescent="0.35">
      <c r="A1761" s="33" t="s">
        <v>2260</v>
      </c>
      <c r="B1761" s="33" t="s">
        <v>82</v>
      </c>
      <c r="C1761" s="33" t="s">
        <v>2261</v>
      </c>
      <c r="D1761" s="33" t="s">
        <v>2263</v>
      </c>
      <c r="E1761" s="33" t="s">
        <v>2874</v>
      </c>
      <c r="F1761" s="38" t="s">
        <v>2739</v>
      </c>
    </row>
    <row r="1762" spans="1:6" ht="14.5" hidden="1" customHeight="1" x14ac:dyDescent="0.35">
      <c r="A1762" s="33" t="s">
        <v>2260</v>
      </c>
      <c r="B1762" s="33" t="s">
        <v>83</v>
      </c>
      <c r="C1762" s="33" t="s">
        <v>2261</v>
      </c>
      <c r="D1762" s="33" t="s">
        <v>2264</v>
      </c>
      <c r="E1762" s="33" t="s">
        <v>2861</v>
      </c>
      <c r="F1762" s="38" t="s">
        <v>2740</v>
      </c>
    </row>
    <row r="1763" spans="1:6" ht="14.5" hidden="1" customHeight="1" x14ac:dyDescent="0.35">
      <c r="A1763" s="33" t="s">
        <v>2260</v>
      </c>
      <c r="B1763" s="33" t="s">
        <v>19</v>
      </c>
      <c r="C1763" s="33" t="s">
        <v>2261</v>
      </c>
      <c r="D1763" s="33" t="s">
        <v>2265</v>
      </c>
      <c r="E1763" s="33" t="s">
        <v>2874</v>
      </c>
      <c r="F1763" s="38" t="s">
        <v>2739</v>
      </c>
    </row>
    <row r="1764" spans="1:6" ht="14.5" hidden="1" customHeight="1" x14ac:dyDescent="0.35">
      <c r="A1764" s="33" t="s">
        <v>2260</v>
      </c>
      <c r="B1764" s="33" t="s">
        <v>84</v>
      </c>
      <c r="C1764" s="33" t="s">
        <v>2261</v>
      </c>
      <c r="D1764" s="33" t="s">
        <v>2266</v>
      </c>
      <c r="E1764" s="33" t="s">
        <v>2861</v>
      </c>
      <c r="F1764" s="38" t="s">
        <v>2740</v>
      </c>
    </row>
    <row r="1765" spans="1:6" ht="14.5" hidden="1" customHeight="1" x14ac:dyDescent="0.35">
      <c r="A1765" s="33" t="s">
        <v>2260</v>
      </c>
      <c r="B1765" s="33" t="s">
        <v>85</v>
      </c>
      <c r="C1765" s="33" t="s">
        <v>2261</v>
      </c>
      <c r="D1765" s="33" t="s">
        <v>2267</v>
      </c>
      <c r="E1765" s="33" t="s">
        <v>2859</v>
      </c>
      <c r="F1765" s="38" t="s">
        <v>56</v>
      </c>
    </row>
    <row r="1766" spans="1:6" ht="14.5" hidden="1" customHeight="1" x14ac:dyDescent="0.35">
      <c r="A1766" s="33" t="s">
        <v>2260</v>
      </c>
      <c r="B1766" s="33" t="s">
        <v>86</v>
      </c>
      <c r="C1766" s="33" t="s">
        <v>2261</v>
      </c>
      <c r="D1766" s="33" t="s">
        <v>2268</v>
      </c>
      <c r="E1766" s="33" t="s">
        <v>2874</v>
      </c>
      <c r="F1766" s="38" t="s">
        <v>2739</v>
      </c>
    </row>
    <row r="1767" spans="1:6" ht="14.5" hidden="1" customHeight="1" x14ac:dyDescent="0.35">
      <c r="A1767" s="33" t="s">
        <v>2260</v>
      </c>
      <c r="B1767" s="33" t="s">
        <v>89</v>
      </c>
      <c r="C1767" s="33" t="s">
        <v>2261</v>
      </c>
      <c r="D1767" s="33" t="s">
        <v>2269</v>
      </c>
      <c r="E1767" s="33" t="s">
        <v>2843</v>
      </c>
      <c r="F1767" s="38" t="s">
        <v>56</v>
      </c>
    </row>
    <row r="1768" spans="1:6" ht="14.5" hidden="1" customHeight="1" x14ac:dyDescent="0.35">
      <c r="A1768" s="33" t="s">
        <v>2274</v>
      </c>
      <c r="B1768" s="33" t="s">
        <v>80</v>
      </c>
      <c r="C1768" s="33" t="s">
        <v>2275</v>
      </c>
      <c r="D1768" s="33" t="s">
        <v>2275</v>
      </c>
      <c r="E1768" s="33" t="s">
        <v>2871</v>
      </c>
      <c r="F1768" s="38" t="s">
        <v>54</v>
      </c>
    </row>
    <row r="1769" spans="1:6" ht="14.5" hidden="1" customHeight="1" x14ac:dyDescent="0.35">
      <c r="A1769" s="33" t="s">
        <v>2276</v>
      </c>
      <c r="B1769" s="33" t="s">
        <v>80</v>
      </c>
      <c r="C1769" s="33" t="s">
        <v>2277</v>
      </c>
      <c r="D1769" s="33" t="s">
        <v>2277</v>
      </c>
      <c r="E1769" s="33" t="s">
        <v>2871</v>
      </c>
      <c r="F1769" s="38" t="s">
        <v>54</v>
      </c>
    </row>
    <row r="1770" spans="1:6" ht="14.5" hidden="1" customHeight="1" x14ac:dyDescent="0.35">
      <c r="A1770" s="33" t="s">
        <v>2278</v>
      </c>
      <c r="B1770" s="33" t="s">
        <v>80</v>
      </c>
      <c r="C1770" s="33" t="s">
        <v>2279</v>
      </c>
      <c r="D1770" s="33" t="s">
        <v>2279</v>
      </c>
      <c r="E1770" s="33" t="s">
        <v>2871</v>
      </c>
      <c r="F1770" s="38" t="s">
        <v>54</v>
      </c>
    </row>
    <row r="1771" spans="1:6" ht="14.5" hidden="1" customHeight="1" x14ac:dyDescent="0.35">
      <c r="A1771" s="33" t="s">
        <v>2280</v>
      </c>
      <c r="B1771" s="33" t="s">
        <v>80</v>
      </c>
      <c r="C1771" s="33" t="s">
        <v>2281</v>
      </c>
      <c r="D1771" s="33" t="s">
        <v>2281</v>
      </c>
      <c r="E1771" s="33" t="s">
        <v>2871</v>
      </c>
      <c r="F1771" s="38" t="s">
        <v>54</v>
      </c>
    </row>
    <row r="1772" spans="1:6" ht="14.5" hidden="1" customHeight="1" x14ac:dyDescent="0.35">
      <c r="A1772" s="33" t="s">
        <v>2282</v>
      </c>
      <c r="B1772" s="33" t="s">
        <v>83</v>
      </c>
      <c r="C1772" s="33" t="s">
        <v>2283</v>
      </c>
      <c r="D1772" s="33" t="s">
        <v>2284</v>
      </c>
      <c r="E1772" s="33" t="s">
        <v>2843</v>
      </c>
      <c r="F1772" s="38" t="s">
        <v>56</v>
      </c>
    </row>
    <row r="1773" spans="1:6" ht="14.5" hidden="1" customHeight="1" x14ac:dyDescent="0.35">
      <c r="A1773" s="33" t="s">
        <v>2282</v>
      </c>
      <c r="B1773" s="33" t="s">
        <v>89</v>
      </c>
      <c r="C1773" s="33" t="s">
        <v>2283</v>
      </c>
      <c r="D1773" s="33" t="s">
        <v>2285</v>
      </c>
      <c r="E1773" s="33" t="s">
        <v>2843</v>
      </c>
      <c r="F1773" s="38" t="s">
        <v>56</v>
      </c>
    </row>
    <row r="1774" spans="1:6" ht="14.5" hidden="1" customHeight="1" x14ac:dyDescent="0.35">
      <c r="A1774" s="33" t="s">
        <v>2286</v>
      </c>
      <c r="B1774" s="33" t="s">
        <v>83</v>
      </c>
      <c r="C1774" s="33" t="s">
        <v>2287</v>
      </c>
      <c r="D1774" s="33" t="s">
        <v>2288</v>
      </c>
      <c r="E1774" s="33" t="s">
        <v>2843</v>
      </c>
      <c r="F1774" s="38" t="s">
        <v>56</v>
      </c>
    </row>
    <row r="1775" spans="1:6" ht="14.5" hidden="1" customHeight="1" x14ac:dyDescent="0.35">
      <c r="A1775" s="33" t="s">
        <v>2286</v>
      </c>
      <c r="B1775" s="33" t="s">
        <v>89</v>
      </c>
      <c r="C1775" s="33" t="s">
        <v>2287</v>
      </c>
      <c r="D1775" s="33" t="s">
        <v>2289</v>
      </c>
      <c r="E1775" s="33" t="s">
        <v>2843</v>
      </c>
      <c r="F1775" s="38" t="s">
        <v>56</v>
      </c>
    </row>
    <row r="1776" spans="1:6" ht="14.5" hidden="1" customHeight="1" x14ac:dyDescent="0.35">
      <c r="A1776" s="33" t="s">
        <v>2290</v>
      </c>
      <c r="B1776" s="33" t="s">
        <v>83</v>
      </c>
      <c r="C1776" s="33" t="s">
        <v>2291</v>
      </c>
      <c r="D1776" s="33" t="s">
        <v>2292</v>
      </c>
      <c r="E1776" s="33" t="s">
        <v>2843</v>
      </c>
      <c r="F1776" s="38" t="s">
        <v>56</v>
      </c>
    </row>
    <row r="1777" spans="1:6" ht="14.5" hidden="1" customHeight="1" x14ac:dyDescent="0.35">
      <c r="A1777" s="33" t="s">
        <v>2290</v>
      </c>
      <c r="B1777" s="33" t="s">
        <v>89</v>
      </c>
      <c r="C1777" s="33" t="s">
        <v>2291</v>
      </c>
      <c r="D1777" s="33" t="s">
        <v>2293</v>
      </c>
      <c r="E1777" s="33" t="s">
        <v>2843</v>
      </c>
      <c r="F1777" s="38" t="s">
        <v>56</v>
      </c>
    </row>
    <row r="1778" spans="1:6" ht="14.5" hidden="1" customHeight="1" x14ac:dyDescent="0.35">
      <c r="A1778" s="33" t="s">
        <v>2294</v>
      </c>
      <c r="B1778" s="33" t="s">
        <v>83</v>
      </c>
      <c r="C1778" s="33" t="s">
        <v>2295</v>
      </c>
      <c r="D1778" s="33" t="s">
        <v>2296</v>
      </c>
      <c r="E1778" s="33" t="s">
        <v>2843</v>
      </c>
      <c r="F1778" s="38" t="s">
        <v>56</v>
      </c>
    </row>
    <row r="1779" spans="1:6" ht="14.5" hidden="1" customHeight="1" x14ac:dyDescent="0.35">
      <c r="A1779" s="33" t="s">
        <v>2294</v>
      </c>
      <c r="B1779" s="33" t="s">
        <v>89</v>
      </c>
      <c r="C1779" s="33" t="s">
        <v>2295</v>
      </c>
      <c r="D1779" s="33" t="s">
        <v>2297</v>
      </c>
      <c r="E1779" s="33" t="s">
        <v>2843</v>
      </c>
      <c r="F1779" s="38" t="s">
        <v>56</v>
      </c>
    </row>
    <row r="1780" spans="1:6" ht="14.5" hidden="1" customHeight="1" x14ac:dyDescent="0.35">
      <c r="A1780" s="33" t="s">
        <v>2298</v>
      </c>
      <c r="B1780" s="33" t="s">
        <v>83</v>
      </c>
      <c r="C1780" s="33" t="s">
        <v>2299</v>
      </c>
      <c r="D1780" s="33" t="s">
        <v>2300</v>
      </c>
      <c r="E1780" s="33" t="s">
        <v>2843</v>
      </c>
      <c r="F1780" s="38" t="s">
        <v>56</v>
      </c>
    </row>
    <row r="1781" spans="1:6" ht="14.5" hidden="1" customHeight="1" x14ac:dyDescent="0.35">
      <c r="A1781" s="33" t="s">
        <v>2298</v>
      </c>
      <c r="B1781" s="33" t="s">
        <v>89</v>
      </c>
      <c r="C1781" s="33" t="s">
        <v>2299</v>
      </c>
      <c r="D1781" s="33" t="s">
        <v>2301</v>
      </c>
      <c r="E1781" s="33" t="s">
        <v>2843</v>
      </c>
      <c r="F1781" s="38" t="s">
        <v>56</v>
      </c>
    </row>
    <row r="1782" spans="1:6" ht="14.5" hidden="1" customHeight="1" x14ac:dyDescent="0.35">
      <c r="A1782" s="33" t="s">
        <v>2302</v>
      </c>
      <c r="B1782" s="33" t="s">
        <v>83</v>
      </c>
      <c r="C1782" s="33" t="s">
        <v>2303</v>
      </c>
      <c r="D1782" s="33" t="s">
        <v>2304</v>
      </c>
      <c r="E1782" s="33" t="s">
        <v>2843</v>
      </c>
      <c r="F1782" s="38" t="s">
        <v>56</v>
      </c>
    </row>
    <row r="1783" spans="1:6" ht="14.5" hidden="1" customHeight="1" x14ac:dyDescent="0.35">
      <c r="A1783" s="33" t="s">
        <v>2302</v>
      </c>
      <c r="B1783" s="33" t="s">
        <v>89</v>
      </c>
      <c r="C1783" s="33" t="s">
        <v>2303</v>
      </c>
      <c r="D1783" s="33" t="s">
        <v>2305</v>
      </c>
      <c r="E1783" s="33" t="s">
        <v>2843</v>
      </c>
      <c r="F1783" s="38" t="s">
        <v>56</v>
      </c>
    </row>
    <row r="1784" spans="1:6" ht="14.5" hidden="1" customHeight="1" x14ac:dyDescent="0.35">
      <c r="A1784" s="33" t="s">
        <v>2306</v>
      </c>
      <c r="B1784" s="33" t="s">
        <v>83</v>
      </c>
      <c r="C1784" s="33" t="s">
        <v>2307</v>
      </c>
      <c r="D1784" s="33" t="s">
        <v>2308</v>
      </c>
      <c r="E1784" s="33" t="s">
        <v>2843</v>
      </c>
      <c r="F1784" s="38" t="s">
        <v>56</v>
      </c>
    </row>
    <row r="1785" spans="1:6" ht="14.5" hidden="1" customHeight="1" x14ac:dyDescent="0.35">
      <c r="A1785" s="33" t="s">
        <v>2306</v>
      </c>
      <c r="B1785" s="33" t="s">
        <v>89</v>
      </c>
      <c r="C1785" s="33" t="s">
        <v>2307</v>
      </c>
      <c r="D1785" s="33" t="s">
        <v>2309</v>
      </c>
      <c r="E1785" s="33" t="s">
        <v>2843</v>
      </c>
      <c r="F1785" s="38" t="s">
        <v>56</v>
      </c>
    </row>
    <row r="1786" spans="1:6" ht="14.5" hidden="1" customHeight="1" x14ac:dyDescent="0.35">
      <c r="A1786" s="33" t="s">
        <v>2310</v>
      </c>
      <c r="B1786" s="33" t="s">
        <v>83</v>
      </c>
      <c r="C1786" s="33" t="s">
        <v>2311</v>
      </c>
      <c r="D1786" s="33" t="s">
        <v>2312</v>
      </c>
      <c r="E1786" s="33" t="s">
        <v>2843</v>
      </c>
      <c r="F1786" s="38" t="s">
        <v>56</v>
      </c>
    </row>
    <row r="1787" spans="1:6" ht="14.5" hidden="1" customHeight="1" x14ac:dyDescent="0.35">
      <c r="A1787" s="33" t="s">
        <v>2310</v>
      </c>
      <c r="B1787" s="33" t="s">
        <v>89</v>
      </c>
      <c r="C1787" s="33" t="s">
        <v>2311</v>
      </c>
      <c r="D1787" s="33" t="s">
        <v>2313</v>
      </c>
      <c r="E1787" s="33" t="s">
        <v>2843</v>
      </c>
      <c r="F1787" s="38" t="s">
        <v>56</v>
      </c>
    </row>
    <row r="1788" spans="1:6" ht="14.5" hidden="1" customHeight="1" x14ac:dyDescent="0.35">
      <c r="A1788" s="33" t="s">
        <v>2314</v>
      </c>
      <c r="B1788" s="33" t="s">
        <v>83</v>
      </c>
      <c r="C1788" s="33" t="s">
        <v>2315</v>
      </c>
      <c r="D1788" s="33" t="s">
        <v>2316</v>
      </c>
      <c r="E1788" s="33" t="s">
        <v>2843</v>
      </c>
      <c r="F1788" s="38" t="s">
        <v>56</v>
      </c>
    </row>
    <row r="1789" spans="1:6" ht="14.5" hidden="1" customHeight="1" x14ac:dyDescent="0.35">
      <c r="A1789" s="33" t="s">
        <v>2314</v>
      </c>
      <c r="B1789" s="33" t="s">
        <v>89</v>
      </c>
      <c r="C1789" s="33" t="s">
        <v>2315</v>
      </c>
      <c r="D1789" s="33" t="s">
        <v>2317</v>
      </c>
      <c r="E1789" s="33" t="s">
        <v>2843</v>
      </c>
      <c r="F1789" s="38" t="s">
        <v>56</v>
      </c>
    </row>
    <row r="1790" spans="1:6" ht="14.5" hidden="1" customHeight="1" x14ac:dyDescent="0.35">
      <c r="A1790" s="33" t="s">
        <v>2318</v>
      </c>
      <c r="B1790" s="33" t="s">
        <v>83</v>
      </c>
      <c r="C1790" s="33" t="s">
        <v>2319</v>
      </c>
      <c r="D1790" s="33" t="s">
        <v>2320</v>
      </c>
      <c r="E1790" s="33" t="s">
        <v>2843</v>
      </c>
      <c r="F1790" s="38" t="s">
        <v>56</v>
      </c>
    </row>
    <row r="1791" spans="1:6" ht="14.5" hidden="1" customHeight="1" x14ac:dyDescent="0.35">
      <c r="A1791" s="33" t="s">
        <v>2318</v>
      </c>
      <c r="B1791" s="33" t="s">
        <v>89</v>
      </c>
      <c r="C1791" s="33" t="s">
        <v>2319</v>
      </c>
      <c r="D1791" s="33" t="s">
        <v>2321</v>
      </c>
      <c r="E1791" s="33" t="s">
        <v>2843</v>
      </c>
      <c r="F1791" s="38" t="s">
        <v>56</v>
      </c>
    </row>
    <row r="1792" spans="1:6" ht="14.5" hidden="1" customHeight="1" x14ac:dyDescent="0.35">
      <c r="A1792" s="33" t="s">
        <v>2322</v>
      </c>
      <c r="B1792" s="33" t="s">
        <v>80</v>
      </c>
      <c r="C1792" s="33" t="s">
        <v>2323</v>
      </c>
      <c r="D1792" s="33" t="s">
        <v>2323</v>
      </c>
      <c r="E1792" s="33" t="s">
        <v>2871</v>
      </c>
      <c r="F1792" s="38" t="s">
        <v>54</v>
      </c>
    </row>
    <row r="1793" spans="1:6" ht="14.5" hidden="1" customHeight="1" x14ac:dyDescent="0.35">
      <c r="A1793" s="33" t="s">
        <v>2324</v>
      </c>
      <c r="B1793" s="33" t="s">
        <v>80</v>
      </c>
      <c r="C1793" s="33" t="s">
        <v>2325</v>
      </c>
      <c r="D1793" s="33" t="s">
        <v>2325</v>
      </c>
      <c r="E1793" s="33" t="s">
        <v>2871</v>
      </c>
      <c r="F1793" s="38" t="s">
        <v>54</v>
      </c>
    </row>
    <row r="1794" spans="1:6" ht="14.5" hidden="1" customHeight="1" x14ac:dyDescent="0.35">
      <c r="A1794" s="33" t="s">
        <v>2326</v>
      </c>
      <c r="B1794" s="33" t="s">
        <v>80</v>
      </c>
      <c r="C1794" s="33" t="s">
        <v>2327</v>
      </c>
      <c r="D1794" s="33" t="s">
        <v>2327</v>
      </c>
      <c r="E1794" s="33" t="s">
        <v>2871</v>
      </c>
      <c r="F1794" s="38" t="s">
        <v>54</v>
      </c>
    </row>
    <row r="1795" spans="1:6" ht="14.5" hidden="1" customHeight="1" x14ac:dyDescent="0.35">
      <c r="A1795" s="33" t="s">
        <v>2328</v>
      </c>
      <c r="B1795" s="33" t="s">
        <v>80</v>
      </c>
      <c r="C1795" s="33" t="s">
        <v>2329</v>
      </c>
      <c r="D1795" s="33" t="s">
        <v>2329</v>
      </c>
      <c r="E1795" s="33" t="s">
        <v>2871</v>
      </c>
      <c r="F1795" s="38" t="s">
        <v>54</v>
      </c>
    </row>
    <row r="1796" spans="1:6" ht="14.5" hidden="1" customHeight="1" x14ac:dyDescent="0.35">
      <c r="A1796" s="33" t="s">
        <v>2330</v>
      </c>
      <c r="B1796" s="33" t="s">
        <v>80</v>
      </c>
      <c r="C1796" s="33" t="s">
        <v>2331</v>
      </c>
      <c r="D1796" s="33" t="s">
        <v>2331</v>
      </c>
      <c r="E1796" s="33" t="s">
        <v>2871</v>
      </c>
      <c r="F1796" s="38" t="s">
        <v>54</v>
      </c>
    </row>
    <row r="1797" spans="1:6" ht="14.5" hidden="1" customHeight="1" x14ac:dyDescent="0.35">
      <c r="A1797" s="33" t="s">
        <v>2332</v>
      </c>
      <c r="B1797" s="33" t="s">
        <v>80</v>
      </c>
      <c r="C1797" s="33" t="s">
        <v>2333</v>
      </c>
      <c r="D1797" s="33" t="s">
        <v>2333</v>
      </c>
      <c r="E1797" s="33" t="s">
        <v>2871</v>
      </c>
      <c r="F1797" s="38" t="s">
        <v>54</v>
      </c>
    </row>
    <row r="1798" spans="1:6" ht="14.5" hidden="1" customHeight="1" x14ac:dyDescent="0.35">
      <c r="A1798" s="33" t="s">
        <v>2334</v>
      </c>
      <c r="B1798" s="33" t="s">
        <v>80</v>
      </c>
      <c r="C1798" s="33" t="s">
        <v>2335</v>
      </c>
      <c r="D1798" s="33" t="s">
        <v>2335</v>
      </c>
      <c r="E1798" s="33" t="s">
        <v>2871</v>
      </c>
      <c r="F1798" s="38" t="s">
        <v>54</v>
      </c>
    </row>
    <row r="1799" spans="1:6" ht="14.5" hidden="1" customHeight="1" x14ac:dyDescent="0.35">
      <c r="A1799" s="33" t="s">
        <v>2336</v>
      </c>
      <c r="B1799" s="33" t="s">
        <v>83</v>
      </c>
      <c r="C1799" s="33" t="s">
        <v>2337</v>
      </c>
      <c r="D1799" s="33" t="s">
        <v>2338</v>
      </c>
      <c r="E1799" s="33" t="s">
        <v>2843</v>
      </c>
      <c r="F1799" s="38" t="s">
        <v>56</v>
      </c>
    </row>
    <row r="1800" spans="1:6" ht="14.5" hidden="1" customHeight="1" x14ac:dyDescent="0.35">
      <c r="A1800" s="33" t="s">
        <v>2336</v>
      </c>
      <c r="B1800" s="33" t="s">
        <v>89</v>
      </c>
      <c r="C1800" s="33" t="s">
        <v>2337</v>
      </c>
      <c r="D1800" s="33" t="s">
        <v>2339</v>
      </c>
      <c r="E1800" s="33" t="s">
        <v>2843</v>
      </c>
      <c r="F1800" s="38" t="s">
        <v>56</v>
      </c>
    </row>
    <row r="1801" spans="1:6" ht="14.5" hidden="1" customHeight="1" x14ac:dyDescent="0.35">
      <c r="A1801" s="33" t="s">
        <v>2340</v>
      </c>
      <c r="B1801" s="33" t="s">
        <v>80</v>
      </c>
      <c r="C1801" s="33" t="s">
        <v>2341</v>
      </c>
      <c r="D1801" s="33" t="s">
        <v>2341</v>
      </c>
      <c r="E1801" s="33" t="s">
        <v>2871</v>
      </c>
      <c r="F1801" s="38" t="s">
        <v>54</v>
      </c>
    </row>
    <row r="1802" spans="1:6" ht="14.5" customHeight="1" x14ac:dyDescent="0.35">
      <c r="A1802" s="33" t="s">
        <v>2342</v>
      </c>
      <c r="B1802" s="33" t="s">
        <v>80</v>
      </c>
      <c r="C1802" s="33" t="s">
        <v>2343</v>
      </c>
      <c r="D1802" s="33" t="s">
        <v>2343</v>
      </c>
      <c r="E1802" s="33" t="s">
        <v>2879</v>
      </c>
      <c r="F1802" s="38" t="s">
        <v>1687</v>
      </c>
    </row>
    <row r="1803" spans="1:6" ht="14.5" hidden="1" customHeight="1" x14ac:dyDescent="0.35">
      <c r="A1803" s="33" t="s">
        <v>2352</v>
      </c>
      <c r="B1803" s="33" t="s">
        <v>80</v>
      </c>
      <c r="C1803" s="33" t="s">
        <v>2353</v>
      </c>
      <c r="D1803" s="33" t="s">
        <v>2354</v>
      </c>
      <c r="E1803" s="33" t="s">
        <v>2855</v>
      </c>
      <c r="F1803" s="38" t="s">
        <v>54</v>
      </c>
    </row>
    <row r="1804" spans="1:6" ht="14.5" hidden="1" customHeight="1" x14ac:dyDescent="0.35">
      <c r="A1804" s="33" t="s">
        <v>2352</v>
      </c>
      <c r="B1804" s="33" t="s">
        <v>82</v>
      </c>
      <c r="C1804" s="33" t="s">
        <v>2353</v>
      </c>
      <c r="D1804" s="33" t="s">
        <v>2355</v>
      </c>
      <c r="E1804" s="33" t="s">
        <v>2855</v>
      </c>
      <c r="F1804" s="38" t="s">
        <v>54</v>
      </c>
    </row>
    <row r="1805" spans="1:6" ht="14.5" hidden="1" customHeight="1" x14ac:dyDescent="0.35">
      <c r="A1805" s="33" t="s">
        <v>2352</v>
      </c>
      <c r="B1805" s="33" t="s">
        <v>83</v>
      </c>
      <c r="C1805" s="33" t="s">
        <v>2353</v>
      </c>
      <c r="D1805" s="33" t="s">
        <v>2356</v>
      </c>
      <c r="E1805" s="33" t="s">
        <v>2855</v>
      </c>
      <c r="F1805" s="38" t="s">
        <v>54</v>
      </c>
    </row>
    <row r="1806" spans="1:6" ht="14.5" hidden="1" customHeight="1" x14ac:dyDescent="0.35">
      <c r="A1806" s="33" t="s">
        <v>2352</v>
      </c>
      <c r="B1806" s="33" t="s">
        <v>19</v>
      </c>
      <c r="C1806" s="33" t="s">
        <v>2353</v>
      </c>
      <c r="D1806" s="33" t="s">
        <v>2357</v>
      </c>
      <c r="E1806" s="33" t="s">
        <v>2843</v>
      </c>
      <c r="F1806" s="38" t="s">
        <v>56</v>
      </c>
    </row>
    <row r="1807" spans="1:6" ht="14.5" hidden="1" customHeight="1" x14ac:dyDescent="0.35">
      <c r="A1807" s="33" t="s">
        <v>2352</v>
      </c>
      <c r="B1807" s="33" t="s">
        <v>84</v>
      </c>
      <c r="C1807" s="33" t="s">
        <v>2353</v>
      </c>
      <c r="D1807" s="33" t="s">
        <v>2358</v>
      </c>
      <c r="E1807" s="33" t="s">
        <v>2855</v>
      </c>
      <c r="F1807" s="38" t="s">
        <v>54</v>
      </c>
    </row>
    <row r="1808" spans="1:6" ht="14.5" hidden="1" customHeight="1" x14ac:dyDescent="0.35">
      <c r="A1808" s="33" t="s">
        <v>2352</v>
      </c>
      <c r="B1808" s="33" t="s">
        <v>85</v>
      </c>
      <c r="C1808" s="33" t="s">
        <v>2353</v>
      </c>
      <c r="D1808" s="33" t="s">
        <v>2355</v>
      </c>
      <c r="E1808" s="33" t="s">
        <v>2855</v>
      </c>
      <c r="F1808" s="38" t="s">
        <v>54</v>
      </c>
    </row>
    <row r="1809" spans="1:6" ht="14.5" hidden="1" customHeight="1" x14ac:dyDescent="0.35">
      <c r="A1809" s="33" t="s">
        <v>2352</v>
      </c>
      <c r="B1809" s="33" t="s">
        <v>86</v>
      </c>
      <c r="C1809" s="33" t="s">
        <v>2353</v>
      </c>
      <c r="D1809" s="33" t="s">
        <v>2359</v>
      </c>
      <c r="E1809" s="33" t="s">
        <v>2843</v>
      </c>
      <c r="F1809" s="38" t="s">
        <v>56</v>
      </c>
    </row>
    <row r="1810" spans="1:6" ht="14.5" hidden="1" customHeight="1" x14ac:dyDescent="0.35">
      <c r="A1810" s="33" t="s">
        <v>2372</v>
      </c>
      <c r="B1810" s="33" t="s">
        <v>80</v>
      </c>
      <c r="C1810" s="33" t="s">
        <v>2373</v>
      </c>
      <c r="D1810" s="33" t="s">
        <v>2374</v>
      </c>
      <c r="E1810" s="33" t="s">
        <v>2862</v>
      </c>
      <c r="F1810" s="38" t="s">
        <v>2738</v>
      </c>
    </row>
    <row r="1811" spans="1:6" ht="14.5" hidden="1" customHeight="1" x14ac:dyDescent="0.35">
      <c r="A1811" s="33" t="s">
        <v>2372</v>
      </c>
      <c r="B1811" s="33" t="s">
        <v>83</v>
      </c>
      <c r="C1811" s="33" t="s">
        <v>2373</v>
      </c>
      <c r="D1811" s="33" t="s">
        <v>2375</v>
      </c>
      <c r="E1811" s="33" t="s">
        <v>2856</v>
      </c>
      <c r="F1811" s="38" t="s">
        <v>56</v>
      </c>
    </row>
    <row r="1812" spans="1:6" ht="14.5" hidden="1" customHeight="1" x14ac:dyDescent="0.35">
      <c r="A1812" s="33" t="s">
        <v>2372</v>
      </c>
      <c r="B1812" s="33" t="s">
        <v>84</v>
      </c>
      <c r="C1812" s="33" t="s">
        <v>2373</v>
      </c>
      <c r="D1812" s="33" t="s">
        <v>2376</v>
      </c>
      <c r="E1812" s="33" t="s">
        <v>2862</v>
      </c>
      <c r="F1812" s="38" t="s">
        <v>2738</v>
      </c>
    </row>
    <row r="1813" spans="1:6" ht="14.5" hidden="1" customHeight="1" x14ac:dyDescent="0.35">
      <c r="A1813" s="33" t="s">
        <v>2372</v>
      </c>
      <c r="B1813" s="33" t="s">
        <v>86</v>
      </c>
      <c r="C1813" s="33" t="s">
        <v>2373</v>
      </c>
      <c r="D1813" s="33" t="s">
        <v>2377</v>
      </c>
      <c r="E1813" s="33" t="s">
        <v>2838</v>
      </c>
      <c r="F1813" s="38" t="s">
        <v>48</v>
      </c>
    </row>
    <row r="1814" spans="1:6" ht="14.5" hidden="1" customHeight="1" x14ac:dyDescent="0.35">
      <c r="A1814" s="33" t="s">
        <v>2372</v>
      </c>
      <c r="B1814" s="33" t="s">
        <v>87</v>
      </c>
      <c r="C1814" s="33" t="s">
        <v>2373</v>
      </c>
      <c r="D1814" s="33" t="s">
        <v>2378</v>
      </c>
      <c r="E1814" s="33" t="s">
        <v>2856</v>
      </c>
      <c r="F1814" s="38" t="s">
        <v>56</v>
      </c>
    </row>
    <row r="1815" spans="1:6" ht="14.5" hidden="1" customHeight="1" x14ac:dyDescent="0.35">
      <c r="A1815" s="33" t="s">
        <v>2387</v>
      </c>
      <c r="B1815" s="33" t="s">
        <v>80</v>
      </c>
      <c r="C1815" s="33" t="s">
        <v>2388</v>
      </c>
      <c r="D1815" s="33" t="s">
        <v>2389</v>
      </c>
      <c r="E1815" s="33" t="s">
        <v>2840</v>
      </c>
      <c r="F1815" s="38" t="s">
        <v>132</v>
      </c>
    </row>
    <row r="1816" spans="1:6" ht="14.5" hidden="1" customHeight="1" x14ac:dyDescent="0.35">
      <c r="A1816" s="33" t="s">
        <v>2390</v>
      </c>
      <c r="B1816" s="33" t="s">
        <v>80</v>
      </c>
      <c r="C1816" s="33" t="s">
        <v>2391</v>
      </c>
      <c r="D1816" s="33" t="s">
        <v>2391</v>
      </c>
      <c r="E1816" s="33" t="s">
        <v>2847</v>
      </c>
      <c r="F1816" s="38" t="s">
        <v>132</v>
      </c>
    </row>
    <row r="1817" spans="1:6" ht="14.5" hidden="1" customHeight="1" x14ac:dyDescent="0.35">
      <c r="A1817" s="33" t="s">
        <v>2392</v>
      </c>
      <c r="B1817" s="33" t="s">
        <v>80</v>
      </c>
      <c r="C1817" s="33" t="s">
        <v>2393</v>
      </c>
      <c r="D1817" s="33" t="s">
        <v>2394</v>
      </c>
      <c r="E1817" s="33" t="s">
        <v>2837</v>
      </c>
      <c r="F1817" s="38" t="s">
        <v>742</v>
      </c>
    </row>
    <row r="1818" spans="1:6" ht="14.5" hidden="1" customHeight="1" x14ac:dyDescent="0.35">
      <c r="A1818" s="33" t="s">
        <v>2392</v>
      </c>
      <c r="B1818" s="33" t="s">
        <v>82</v>
      </c>
      <c r="C1818" s="33" t="s">
        <v>2393</v>
      </c>
      <c r="D1818" s="33" t="s">
        <v>2395</v>
      </c>
      <c r="E1818" s="33" t="s">
        <v>2845</v>
      </c>
      <c r="F1818" s="38" t="s">
        <v>50</v>
      </c>
    </row>
    <row r="1819" spans="1:6" ht="14.5" hidden="1" customHeight="1" x14ac:dyDescent="0.35">
      <c r="A1819" s="33" t="s">
        <v>2392</v>
      </c>
      <c r="B1819" s="33" t="s">
        <v>83</v>
      </c>
      <c r="C1819" s="33" t="s">
        <v>2393</v>
      </c>
      <c r="D1819" s="33" t="s">
        <v>2396</v>
      </c>
      <c r="E1819" s="33" t="s">
        <v>2845</v>
      </c>
      <c r="F1819" s="38" t="s">
        <v>50</v>
      </c>
    </row>
    <row r="1820" spans="1:6" ht="14.5" hidden="1" customHeight="1" x14ac:dyDescent="0.35">
      <c r="A1820" s="33" t="s">
        <v>2392</v>
      </c>
      <c r="B1820" s="33" t="s">
        <v>19</v>
      </c>
      <c r="C1820" s="33" t="s">
        <v>2393</v>
      </c>
      <c r="D1820" s="33" t="s">
        <v>2397</v>
      </c>
      <c r="E1820" s="33" t="s">
        <v>2837</v>
      </c>
      <c r="F1820" s="38" t="s">
        <v>742</v>
      </c>
    </row>
    <row r="1821" spans="1:6" ht="14.5" hidden="1" customHeight="1" x14ac:dyDescent="0.35">
      <c r="A1821" s="33" t="s">
        <v>2398</v>
      </c>
      <c r="B1821" s="33" t="s">
        <v>80</v>
      </c>
      <c r="C1821" s="33" t="s">
        <v>2399</v>
      </c>
      <c r="D1821" s="33" t="s">
        <v>2400</v>
      </c>
      <c r="E1821" s="33" t="s">
        <v>2845</v>
      </c>
      <c r="F1821" s="38" t="s">
        <v>50</v>
      </c>
    </row>
    <row r="1822" spans="1:6" ht="14.5" hidden="1" customHeight="1" x14ac:dyDescent="0.35">
      <c r="A1822" s="33" t="s">
        <v>2398</v>
      </c>
      <c r="B1822" s="33" t="s">
        <v>82</v>
      </c>
      <c r="C1822" s="33" t="s">
        <v>2399</v>
      </c>
      <c r="D1822" s="33" t="s">
        <v>2401</v>
      </c>
      <c r="E1822" s="33" t="s">
        <v>2845</v>
      </c>
      <c r="F1822" s="38" t="s">
        <v>50</v>
      </c>
    </row>
    <row r="1823" spans="1:6" ht="14.5" hidden="1" customHeight="1" x14ac:dyDescent="0.35">
      <c r="A1823" s="33" t="s">
        <v>2402</v>
      </c>
      <c r="B1823" s="33" t="s">
        <v>80</v>
      </c>
      <c r="C1823" s="33" t="s">
        <v>2403</v>
      </c>
      <c r="D1823" s="33" t="s">
        <v>2404</v>
      </c>
      <c r="E1823" s="33" t="s">
        <v>2845</v>
      </c>
      <c r="F1823" s="38" t="s">
        <v>50</v>
      </c>
    </row>
    <row r="1824" spans="1:6" ht="14.5" hidden="1" customHeight="1" x14ac:dyDescent="0.35">
      <c r="A1824" s="33" t="s">
        <v>2402</v>
      </c>
      <c r="B1824" s="33" t="s">
        <v>83</v>
      </c>
      <c r="C1824" s="33" t="s">
        <v>2403</v>
      </c>
      <c r="D1824" s="33" t="s">
        <v>2405</v>
      </c>
      <c r="E1824" s="33" t="s">
        <v>2845</v>
      </c>
      <c r="F1824" s="38" t="s">
        <v>50</v>
      </c>
    </row>
    <row r="1825" spans="1:6" ht="14.5" hidden="1" customHeight="1" x14ac:dyDescent="0.35">
      <c r="A1825" s="33" t="s">
        <v>2402</v>
      </c>
      <c r="B1825" s="33" t="s">
        <v>19</v>
      </c>
      <c r="C1825" s="33" t="s">
        <v>2403</v>
      </c>
      <c r="D1825" s="33" t="s">
        <v>2406</v>
      </c>
      <c r="E1825" s="33" t="s">
        <v>2844</v>
      </c>
      <c r="F1825" s="38" t="s">
        <v>48</v>
      </c>
    </row>
    <row r="1826" spans="1:6" ht="14.5" hidden="1" customHeight="1" x14ac:dyDescent="0.35">
      <c r="A1826" s="33" t="s">
        <v>2402</v>
      </c>
      <c r="B1826" s="33" t="s">
        <v>84</v>
      </c>
      <c r="C1826" s="33" t="s">
        <v>2403</v>
      </c>
      <c r="D1826" s="33" t="s">
        <v>2407</v>
      </c>
      <c r="E1826" s="33" t="s">
        <v>2839</v>
      </c>
      <c r="F1826" s="38" t="s">
        <v>48</v>
      </c>
    </row>
    <row r="1827" spans="1:6" ht="14.5" hidden="1" customHeight="1" x14ac:dyDescent="0.35">
      <c r="A1827" s="33" t="s">
        <v>2402</v>
      </c>
      <c r="B1827" s="33" t="s">
        <v>86</v>
      </c>
      <c r="C1827" s="33" t="s">
        <v>2403</v>
      </c>
      <c r="D1827" s="33" t="s">
        <v>2408</v>
      </c>
      <c r="E1827" s="33" t="s">
        <v>2845</v>
      </c>
      <c r="F1827" s="38" t="s">
        <v>50</v>
      </c>
    </row>
    <row r="1828" spans="1:6" ht="14.5" hidden="1" customHeight="1" x14ac:dyDescent="0.35">
      <c r="A1828" s="33" t="s">
        <v>2402</v>
      </c>
      <c r="B1828" s="33" t="s">
        <v>89</v>
      </c>
      <c r="C1828" s="33" t="s">
        <v>2403</v>
      </c>
      <c r="D1828" s="33" t="s">
        <v>2409</v>
      </c>
      <c r="E1828" s="33" t="s">
        <v>2845</v>
      </c>
      <c r="F1828" s="38" t="s">
        <v>50</v>
      </c>
    </row>
    <row r="1829" spans="1:6" ht="14.5" hidden="1" customHeight="1" x14ac:dyDescent="0.35">
      <c r="A1829" s="33" t="s">
        <v>2402</v>
      </c>
      <c r="B1829" s="33" t="s">
        <v>87</v>
      </c>
      <c r="C1829" s="33" t="s">
        <v>2403</v>
      </c>
      <c r="D1829" s="33" t="s">
        <v>2410</v>
      </c>
      <c r="E1829" s="33" t="s">
        <v>2844</v>
      </c>
      <c r="F1829" s="38" t="s">
        <v>48</v>
      </c>
    </row>
    <row r="1830" spans="1:6" ht="14.5" hidden="1" customHeight="1" x14ac:dyDescent="0.35">
      <c r="A1830" s="33" t="s">
        <v>2402</v>
      </c>
      <c r="B1830" s="33" t="s">
        <v>88</v>
      </c>
      <c r="C1830" s="33" t="s">
        <v>2403</v>
      </c>
      <c r="D1830" s="33" t="s">
        <v>2411</v>
      </c>
      <c r="E1830" s="33" t="s">
        <v>2839</v>
      </c>
      <c r="F1830" s="38" t="s">
        <v>48</v>
      </c>
    </row>
    <row r="1831" spans="1:6" ht="14.5" customHeight="1" x14ac:dyDescent="0.35">
      <c r="A1831" s="33" t="s">
        <v>230</v>
      </c>
      <c r="B1831" s="33" t="s">
        <v>82</v>
      </c>
      <c r="C1831" s="33" t="s">
        <v>231</v>
      </c>
      <c r="D1831" s="33" t="s">
        <v>231</v>
      </c>
      <c r="E1831" s="33" t="s">
        <v>2879</v>
      </c>
      <c r="F1831" s="38" t="s">
        <v>1687</v>
      </c>
    </row>
    <row r="1832" spans="1:6" ht="14.5" customHeight="1" x14ac:dyDescent="0.35">
      <c r="A1832" s="33" t="s">
        <v>232</v>
      </c>
      <c r="B1832" s="33" t="s">
        <v>82</v>
      </c>
      <c r="C1832" s="33" t="s">
        <v>233</v>
      </c>
      <c r="D1832" s="33" t="s">
        <v>233</v>
      </c>
      <c r="E1832" s="33" t="s">
        <v>2879</v>
      </c>
      <c r="F1832" s="38" t="s">
        <v>1687</v>
      </c>
    </row>
    <row r="1833" spans="1:6" ht="14.5" hidden="1" customHeight="1" x14ac:dyDescent="0.35">
      <c r="A1833" s="33" t="s">
        <v>277</v>
      </c>
      <c r="B1833" s="33" t="s">
        <v>278</v>
      </c>
      <c r="C1833" s="33" t="s">
        <v>279</v>
      </c>
      <c r="D1833" s="33" t="s">
        <v>280</v>
      </c>
      <c r="E1833" s="33" t="s">
        <v>2847</v>
      </c>
      <c r="F1833" s="38" t="s">
        <v>2886</v>
      </c>
    </row>
    <row r="1834" spans="1:6" ht="14.5" hidden="1" customHeight="1" x14ac:dyDescent="0.35">
      <c r="A1834" s="33" t="s">
        <v>277</v>
      </c>
      <c r="B1834" s="33" t="s">
        <v>282</v>
      </c>
      <c r="C1834" s="33" t="s">
        <v>279</v>
      </c>
      <c r="D1834" s="33" t="s">
        <v>283</v>
      </c>
      <c r="E1834" s="33" t="s">
        <v>2843</v>
      </c>
      <c r="F1834" s="38" t="s">
        <v>56</v>
      </c>
    </row>
    <row r="1835" spans="1:6" ht="14.5" hidden="1" customHeight="1" x14ac:dyDescent="0.35">
      <c r="A1835" s="33" t="s">
        <v>277</v>
      </c>
      <c r="B1835" s="33" t="s">
        <v>80</v>
      </c>
      <c r="C1835" s="33" t="s">
        <v>279</v>
      </c>
      <c r="D1835" s="33" t="s">
        <v>284</v>
      </c>
      <c r="E1835" s="33" t="s">
        <v>2847</v>
      </c>
      <c r="F1835" s="38" t="s">
        <v>2886</v>
      </c>
    </row>
    <row r="1836" spans="1:6" ht="14.5" hidden="1" customHeight="1" x14ac:dyDescent="0.35">
      <c r="A1836" s="33" t="s">
        <v>277</v>
      </c>
      <c r="B1836" s="33" t="s">
        <v>226</v>
      </c>
      <c r="C1836" s="33" t="s">
        <v>279</v>
      </c>
      <c r="D1836" s="33" t="s">
        <v>285</v>
      </c>
      <c r="E1836" s="33" t="s">
        <v>2870</v>
      </c>
      <c r="F1836" s="38" t="s">
        <v>56</v>
      </c>
    </row>
    <row r="1837" spans="1:6" ht="14.5" hidden="1" customHeight="1" x14ac:dyDescent="0.35">
      <c r="A1837" s="33" t="s">
        <v>277</v>
      </c>
      <c r="B1837" s="33" t="s">
        <v>82</v>
      </c>
      <c r="C1837" s="33" t="s">
        <v>279</v>
      </c>
      <c r="D1837" s="33" t="s">
        <v>286</v>
      </c>
      <c r="E1837" s="33" t="s">
        <v>2869</v>
      </c>
      <c r="F1837" s="38" t="s">
        <v>132</v>
      </c>
    </row>
    <row r="1838" spans="1:6" ht="14.5" hidden="1" customHeight="1" x14ac:dyDescent="0.35">
      <c r="A1838" s="33" t="s">
        <v>277</v>
      </c>
      <c r="B1838" s="33" t="s">
        <v>83</v>
      </c>
      <c r="C1838" s="33" t="s">
        <v>279</v>
      </c>
      <c r="D1838" s="33" t="s">
        <v>287</v>
      </c>
      <c r="E1838" s="33" t="s">
        <v>2859</v>
      </c>
      <c r="F1838" s="38" t="s">
        <v>56</v>
      </c>
    </row>
    <row r="1839" spans="1:6" ht="14.5" hidden="1" customHeight="1" x14ac:dyDescent="0.35">
      <c r="A1839" s="33" t="s">
        <v>277</v>
      </c>
      <c r="B1839" s="33" t="s">
        <v>19</v>
      </c>
      <c r="C1839" s="33" t="s">
        <v>279</v>
      </c>
      <c r="D1839" s="33" t="s">
        <v>288</v>
      </c>
      <c r="E1839" s="33" t="s">
        <v>2861</v>
      </c>
      <c r="F1839" s="38" t="s">
        <v>2740</v>
      </c>
    </row>
    <row r="1840" spans="1:6" ht="14.5" hidden="1" customHeight="1" x14ac:dyDescent="0.35">
      <c r="A1840" s="33" t="s">
        <v>277</v>
      </c>
      <c r="B1840" s="33" t="s">
        <v>84</v>
      </c>
      <c r="C1840" s="33" t="s">
        <v>279</v>
      </c>
      <c r="D1840" s="33" t="s">
        <v>289</v>
      </c>
      <c r="E1840" s="33" t="s">
        <v>2859</v>
      </c>
      <c r="F1840" s="38" t="s">
        <v>56</v>
      </c>
    </row>
    <row r="1841" spans="1:6" ht="14.5" hidden="1" customHeight="1" x14ac:dyDescent="0.35">
      <c r="A1841" s="33" t="s">
        <v>277</v>
      </c>
      <c r="B1841" s="33" t="s">
        <v>85</v>
      </c>
      <c r="C1841" s="33" t="s">
        <v>279</v>
      </c>
      <c r="D1841" s="33" t="s">
        <v>290</v>
      </c>
      <c r="E1841" s="33" t="s">
        <v>2847</v>
      </c>
      <c r="F1841" s="38" t="s">
        <v>2886</v>
      </c>
    </row>
    <row r="1842" spans="1:6" ht="14.5" hidden="1" customHeight="1" x14ac:dyDescent="0.35">
      <c r="A1842" s="33" t="s">
        <v>277</v>
      </c>
      <c r="B1842" s="33" t="s">
        <v>86</v>
      </c>
      <c r="C1842" s="33" t="s">
        <v>279</v>
      </c>
      <c r="D1842" s="33" t="s">
        <v>291</v>
      </c>
      <c r="E1842" s="33" t="s">
        <v>2847</v>
      </c>
      <c r="F1842" s="38" t="s">
        <v>2886</v>
      </c>
    </row>
    <row r="1843" spans="1:6" ht="14.5" hidden="1" customHeight="1" x14ac:dyDescent="0.35">
      <c r="A1843" s="33" t="s">
        <v>277</v>
      </c>
      <c r="B1843" s="33" t="s">
        <v>89</v>
      </c>
      <c r="C1843" s="33" t="s">
        <v>279</v>
      </c>
      <c r="D1843" s="33" t="s">
        <v>292</v>
      </c>
      <c r="E1843" s="33" t="s">
        <v>2859</v>
      </c>
      <c r="F1843" s="38" t="s">
        <v>56</v>
      </c>
    </row>
    <row r="1844" spans="1:6" ht="14.5" hidden="1" customHeight="1" x14ac:dyDescent="0.35">
      <c r="A1844" s="33" t="s">
        <v>277</v>
      </c>
      <c r="B1844" s="33" t="s">
        <v>87</v>
      </c>
      <c r="C1844" s="33" t="s">
        <v>279</v>
      </c>
      <c r="D1844" s="33" t="s">
        <v>293</v>
      </c>
      <c r="E1844" s="33" t="s">
        <v>2847</v>
      </c>
      <c r="F1844" s="38" t="s">
        <v>2886</v>
      </c>
    </row>
    <row r="1845" spans="1:6" ht="14.5" hidden="1" customHeight="1" x14ac:dyDescent="0.35">
      <c r="A1845" s="33" t="s">
        <v>277</v>
      </c>
      <c r="B1845" s="33" t="s">
        <v>88</v>
      </c>
      <c r="C1845" s="33" t="s">
        <v>279</v>
      </c>
      <c r="D1845" s="33" t="s">
        <v>294</v>
      </c>
      <c r="E1845" s="33" t="s">
        <v>2847</v>
      </c>
      <c r="F1845" s="38" t="s">
        <v>2886</v>
      </c>
    </row>
    <row r="1846" spans="1:6" ht="14.5" hidden="1" customHeight="1" x14ac:dyDescent="0.35">
      <c r="A1846" s="33" t="s">
        <v>277</v>
      </c>
      <c r="B1846" s="33" t="s">
        <v>90</v>
      </c>
      <c r="C1846" s="33" t="s">
        <v>279</v>
      </c>
      <c r="D1846" s="33" t="s">
        <v>295</v>
      </c>
      <c r="E1846" s="33" t="s">
        <v>2859</v>
      </c>
      <c r="F1846" s="38" t="s">
        <v>56</v>
      </c>
    </row>
    <row r="1847" spans="1:6" ht="14.5" hidden="1" customHeight="1" x14ac:dyDescent="0.35">
      <c r="A1847" s="33" t="s">
        <v>277</v>
      </c>
      <c r="B1847" s="33" t="s">
        <v>91</v>
      </c>
      <c r="C1847" s="33" t="s">
        <v>279</v>
      </c>
      <c r="D1847" s="33" t="s">
        <v>296</v>
      </c>
      <c r="E1847" s="33" t="s">
        <v>2861</v>
      </c>
      <c r="F1847" s="38" t="s">
        <v>2740</v>
      </c>
    </row>
    <row r="1848" spans="1:6" ht="14.5" hidden="1" customHeight="1" x14ac:dyDescent="0.35">
      <c r="A1848" s="33" t="s">
        <v>277</v>
      </c>
      <c r="B1848" s="33" t="s">
        <v>92</v>
      </c>
      <c r="C1848" s="33" t="s">
        <v>279</v>
      </c>
      <c r="D1848" s="33" t="s">
        <v>297</v>
      </c>
      <c r="E1848" s="33" t="s">
        <v>2859</v>
      </c>
      <c r="F1848" s="38" t="s">
        <v>56</v>
      </c>
    </row>
    <row r="1849" spans="1:6" ht="14.5" hidden="1" customHeight="1" x14ac:dyDescent="0.35">
      <c r="A1849" s="33" t="s">
        <v>277</v>
      </c>
      <c r="B1849" s="33" t="s">
        <v>93</v>
      </c>
      <c r="C1849" s="33" t="s">
        <v>279</v>
      </c>
      <c r="D1849" s="33" t="s">
        <v>298</v>
      </c>
      <c r="E1849" s="33" t="s">
        <v>2847</v>
      </c>
      <c r="F1849" s="38" t="s">
        <v>2886</v>
      </c>
    </row>
    <row r="1850" spans="1:6" ht="14.5" hidden="1" customHeight="1" x14ac:dyDescent="0.35">
      <c r="A1850" s="33" t="s">
        <v>277</v>
      </c>
      <c r="B1850" s="33" t="s">
        <v>94</v>
      </c>
      <c r="C1850" s="33" t="s">
        <v>279</v>
      </c>
      <c r="D1850" s="33" t="s">
        <v>299</v>
      </c>
      <c r="E1850" s="33" t="s">
        <v>2847</v>
      </c>
      <c r="F1850" s="38" t="s">
        <v>2886</v>
      </c>
    </row>
    <row r="1851" spans="1:6" ht="14.5" hidden="1" customHeight="1" x14ac:dyDescent="0.35">
      <c r="A1851" s="33" t="s">
        <v>277</v>
      </c>
      <c r="B1851" s="33" t="s">
        <v>97</v>
      </c>
      <c r="C1851" s="33" t="s">
        <v>279</v>
      </c>
      <c r="D1851" s="33" t="s">
        <v>300</v>
      </c>
      <c r="E1851" s="33" t="s">
        <v>2843</v>
      </c>
      <c r="F1851" s="38" t="s">
        <v>56</v>
      </c>
    </row>
    <row r="1852" spans="1:6" ht="14.5" hidden="1" customHeight="1" x14ac:dyDescent="0.35">
      <c r="A1852" s="33" t="s">
        <v>306</v>
      </c>
      <c r="B1852" s="33" t="s">
        <v>80</v>
      </c>
      <c r="C1852" s="33" t="s">
        <v>307</v>
      </c>
      <c r="D1852" s="33" t="s">
        <v>308</v>
      </c>
      <c r="E1852" s="33" t="s">
        <v>2847</v>
      </c>
      <c r="F1852" s="38" t="s">
        <v>132</v>
      </c>
    </row>
    <row r="1853" spans="1:6" ht="14.5" hidden="1" customHeight="1" x14ac:dyDescent="0.35">
      <c r="A1853" s="33" t="s">
        <v>306</v>
      </c>
      <c r="B1853" s="33" t="s">
        <v>83</v>
      </c>
      <c r="C1853" s="33" t="s">
        <v>307</v>
      </c>
      <c r="D1853" s="33" t="s">
        <v>309</v>
      </c>
      <c r="E1853" s="33" t="s">
        <v>2843</v>
      </c>
      <c r="F1853" s="38" t="s">
        <v>56</v>
      </c>
    </row>
    <row r="1854" spans="1:6" ht="14.5" hidden="1" customHeight="1" x14ac:dyDescent="0.35">
      <c r="A1854" s="33" t="s">
        <v>306</v>
      </c>
      <c r="B1854" s="33" t="s">
        <v>19</v>
      </c>
      <c r="C1854" s="33" t="s">
        <v>307</v>
      </c>
      <c r="D1854" s="33" t="s">
        <v>310</v>
      </c>
      <c r="E1854" s="33" t="s">
        <v>2861</v>
      </c>
      <c r="F1854" s="38" t="s">
        <v>2740</v>
      </c>
    </row>
    <row r="1855" spans="1:6" ht="14.5" hidden="1" customHeight="1" x14ac:dyDescent="0.35">
      <c r="A1855" s="33" t="s">
        <v>306</v>
      </c>
      <c r="B1855" s="33" t="s">
        <v>84</v>
      </c>
      <c r="C1855" s="33" t="s">
        <v>307</v>
      </c>
      <c r="D1855" s="33" t="s">
        <v>311</v>
      </c>
      <c r="E1855" s="33" t="s">
        <v>2847</v>
      </c>
      <c r="F1855" s="38" t="s">
        <v>132</v>
      </c>
    </row>
    <row r="1856" spans="1:6" ht="14.5" hidden="1" customHeight="1" x14ac:dyDescent="0.35">
      <c r="A1856" s="33" t="s">
        <v>306</v>
      </c>
      <c r="B1856" s="33" t="s">
        <v>85</v>
      </c>
      <c r="C1856" s="33" t="s">
        <v>307</v>
      </c>
      <c r="D1856" s="33" t="s">
        <v>312</v>
      </c>
      <c r="E1856" s="33" t="s">
        <v>2847</v>
      </c>
      <c r="F1856" s="38" t="s">
        <v>132</v>
      </c>
    </row>
    <row r="1857" spans="1:6" ht="14.5" hidden="1" customHeight="1" x14ac:dyDescent="0.35">
      <c r="A1857" s="33" t="s">
        <v>306</v>
      </c>
      <c r="B1857" s="33" t="s">
        <v>86</v>
      </c>
      <c r="C1857" s="33" t="s">
        <v>307</v>
      </c>
      <c r="D1857" s="33" t="s">
        <v>313</v>
      </c>
      <c r="E1857" s="33" t="s">
        <v>2861</v>
      </c>
      <c r="F1857" s="38" t="s">
        <v>2740</v>
      </c>
    </row>
    <row r="1858" spans="1:6" ht="14.5" hidden="1" customHeight="1" x14ac:dyDescent="0.35">
      <c r="A1858" s="33" t="s">
        <v>306</v>
      </c>
      <c r="B1858" s="33" t="s">
        <v>89</v>
      </c>
      <c r="C1858" s="33" t="s">
        <v>307</v>
      </c>
      <c r="D1858" s="33" t="s">
        <v>314</v>
      </c>
      <c r="E1858" s="33" t="s">
        <v>2859</v>
      </c>
      <c r="F1858" s="38" t="s">
        <v>56</v>
      </c>
    </row>
    <row r="1859" spans="1:6" ht="14.5" hidden="1" customHeight="1" x14ac:dyDescent="0.35">
      <c r="A1859" s="33" t="s">
        <v>306</v>
      </c>
      <c r="B1859" s="33" t="s">
        <v>87</v>
      </c>
      <c r="C1859" s="33" t="s">
        <v>307</v>
      </c>
      <c r="D1859" s="33" t="s">
        <v>315</v>
      </c>
      <c r="E1859" s="33" t="s">
        <v>2843</v>
      </c>
      <c r="F1859" s="38" t="s">
        <v>56</v>
      </c>
    </row>
    <row r="1860" spans="1:6" ht="14.5" hidden="1" customHeight="1" x14ac:dyDescent="0.35">
      <c r="A1860" s="33" t="s">
        <v>306</v>
      </c>
      <c r="B1860" s="33" t="s">
        <v>88</v>
      </c>
      <c r="C1860" s="33" t="s">
        <v>307</v>
      </c>
      <c r="D1860" s="33" t="s">
        <v>316</v>
      </c>
      <c r="E1860" s="33" t="s">
        <v>2847</v>
      </c>
      <c r="F1860" s="38" t="s">
        <v>132</v>
      </c>
    </row>
    <row r="1861" spans="1:6" ht="14.5" customHeight="1" x14ac:dyDescent="0.35">
      <c r="A1861" s="33" t="s">
        <v>350</v>
      </c>
      <c r="B1861" s="33" t="s">
        <v>80</v>
      </c>
      <c r="C1861" s="33" t="s">
        <v>351</v>
      </c>
      <c r="D1861" s="33" t="s">
        <v>352</v>
      </c>
      <c r="E1861" s="33" t="s">
        <v>2879</v>
      </c>
      <c r="F1861" s="38" t="s">
        <v>1687</v>
      </c>
    </row>
    <row r="1862" spans="1:6" ht="14.5" hidden="1" customHeight="1" x14ac:dyDescent="0.35">
      <c r="A1862" s="33" t="s">
        <v>733</v>
      </c>
      <c r="B1862" s="33" t="s">
        <v>80</v>
      </c>
      <c r="C1862" s="33" t="s">
        <v>734</v>
      </c>
      <c r="D1862" s="33" t="s">
        <v>735</v>
      </c>
      <c r="E1862" s="33" t="s">
        <v>2847</v>
      </c>
      <c r="F1862" s="38" t="s">
        <v>132</v>
      </c>
    </row>
    <row r="1863" spans="1:6" ht="14.5" hidden="1" customHeight="1" x14ac:dyDescent="0.35">
      <c r="A1863" s="33" t="s">
        <v>733</v>
      </c>
      <c r="B1863" s="33" t="s">
        <v>82</v>
      </c>
      <c r="C1863" s="33" t="s">
        <v>734</v>
      </c>
      <c r="D1863" s="33" t="s">
        <v>736</v>
      </c>
      <c r="E1863" s="33" t="s">
        <v>2843</v>
      </c>
      <c r="F1863" s="38" t="s">
        <v>56</v>
      </c>
    </row>
    <row r="1864" spans="1:6" ht="14.5" hidden="1" customHeight="1" x14ac:dyDescent="0.35">
      <c r="A1864" s="33" t="s">
        <v>733</v>
      </c>
      <c r="B1864" s="33" t="s">
        <v>83</v>
      </c>
      <c r="C1864" s="33" t="s">
        <v>734</v>
      </c>
      <c r="D1864" s="33" t="s">
        <v>734</v>
      </c>
      <c r="E1864" s="33" t="s">
        <v>2860</v>
      </c>
      <c r="F1864" s="38" t="s">
        <v>50</v>
      </c>
    </row>
    <row r="1865" spans="1:6" ht="14.5" hidden="1" customHeight="1" x14ac:dyDescent="0.35">
      <c r="A1865" s="33" t="s">
        <v>733</v>
      </c>
      <c r="B1865" s="33" t="s">
        <v>84</v>
      </c>
      <c r="C1865" s="33" t="s">
        <v>734</v>
      </c>
      <c r="D1865" s="33" t="s">
        <v>737</v>
      </c>
      <c r="E1865" s="33" t="s">
        <v>2838</v>
      </c>
      <c r="F1865" s="38" t="s">
        <v>48</v>
      </c>
    </row>
    <row r="1866" spans="1:6" ht="14.5" hidden="1" customHeight="1" x14ac:dyDescent="0.35">
      <c r="A1866" s="33" t="s">
        <v>733</v>
      </c>
      <c r="B1866" s="33" t="s">
        <v>432</v>
      </c>
      <c r="C1866" s="33" t="s">
        <v>734</v>
      </c>
      <c r="D1866" s="33" t="s">
        <v>738</v>
      </c>
      <c r="E1866" s="33" t="s">
        <v>2839</v>
      </c>
      <c r="F1866" s="38" t="s">
        <v>48</v>
      </c>
    </row>
    <row r="1867" spans="1:6" ht="14.5" hidden="1" customHeight="1" x14ac:dyDescent="0.35">
      <c r="A1867" s="33" t="s">
        <v>733</v>
      </c>
      <c r="B1867" s="33" t="s">
        <v>85</v>
      </c>
      <c r="C1867" s="33" t="s">
        <v>734</v>
      </c>
      <c r="D1867" s="33" t="s">
        <v>739</v>
      </c>
      <c r="E1867" s="33" t="s">
        <v>2843</v>
      </c>
      <c r="F1867" s="38" t="s">
        <v>56</v>
      </c>
    </row>
    <row r="1868" spans="1:6" ht="14.5" hidden="1" customHeight="1" x14ac:dyDescent="0.35">
      <c r="A1868" s="33" t="s">
        <v>1397</v>
      </c>
      <c r="B1868" s="33" t="s">
        <v>1361</v>
      </c>
      <c r="C1868" s="33" t="s">
        <v>1398</v>
      </c>
      <c r="D1868" s="33" t="s">
        <v>1399</v>
      </c>
      <c r="E1868" s="33" t="s">
        <v>2843</v>
      </c>
      <c r="F1868" s="38" t="s">
        <v>56</v>
      </c>
    </row>
    <row r="1869" spans="1:6" ht="14.5" hidden="1" customHeight="1" x14ac:dyDescent="0.35">
      <c r="A1869" s="33" t="s">
        <v>1397</v>
      </c>
      <c r="B1869" s="33" t="s">
        <v>1362</v>
      </c>
      <c r="C1869" s="33" t="s">
        <v>1398</v>
      </c>
      <c r="D1869" s="33" t="s">
        <v>1400</v>
      </c>
      <c r="E1869" s="33" t="s">
        <v>2843</v>
      </c>
      <c r="F1869" s="38" t="s">
        <v>56</v>
      </c>
    </row>
    <row r="1870" spans="1:6" ht="14.5" customHeight="1" x14ac:dyDescent="0.35">
      <c r="A1870" s="33" t="s">
        <v>1767</v>
      </c>
      <c r="B1870" s="33" t="s">
        <v>80</v>
      </c>
      <c r="C1870" s="33" t="s">
        <v>1768</v>
      </c>
      <c r="D1870" s="33" t="s">
        <v>1769</v>
      </c>
      <c r="E1870" s="33" t="s">
        <v>2879</v>
      </c>
      <c r="F1870" s="38" t="s">
        <v>1687</v>
      </c>
    </row>
    <row r="1871" spans="1:6" ht="14.5" customHeight="1" x14ac:dyDescent="0.35">
      <c r="A1871" s="33" t="s">
        <v>1767</v>
      </c>
      <c r="B1871" s="33" t="s">
        <v>82</v>
      </c>
      <c r="C1871" s="33" t="s">
        <v>1768</v>
      </c>
      <c r="D1871" s="33" t="s">
        <v>1770</v>
      </c>
      <c r="E1871" s="33" t="s">
        <v>2879</v>
      </c>
      <c r="F1871" s="38" t="s">
        <v>1687</v>
      </c>
    </row>
    <row r="1872" spans="1:6" ht="14.5" hidden="1" customHeight="1" x14ac:dyDescent="0.35">
      <c r="A1872" s="33" t="s">
        <v>1767</v>
      </c>
      <c r="B1872" s="33" t="s">
        <v>83</v>
      </c>
      <c r="C1872" s="33" t="s">
        <v>1768</v>
      </c>
      <c r="D1872" s="33" t="s">
        <v>1771</v>
      </c>
      <c r="E1872" s="33" t="s">
        <v>2844</v>
      </c>
      <c r="F1872" s="38" t="s">
        <v>48</v>
      </c>
    </row>
    <row r="1873" spans="1:6" ht="14.5" hidden="1" customHeight="1" x14ac:dyDescent="0.35">
      <c r="A1873" s="33" t="s">
        <v>1767</v>
      </c>
      <c r="B1873" s="33" t="s">
        <v>84</v>
      </c>
      <c r="C1873" s="33" t="s">
        <v>1768</v>
      </c>
      <c r="D1873" s="33" t="s">
        <v>1772</v>
      </c>
      <c r="E1873" s="33" t="s">
        <v>2839</v>
      </c>
      <c r="F1873" s="38" t="s">
        <v>48</v>
      </c>
    </row>
    <row r="1874" spans="1:6" ht="14.5" customHeight="1" x14ac:dyDescent="0.35">
      <c r="A1874" s="33" t="s">
        <v>1767</v>
      </c>
      <c r="B1874" s="33" t="s">
        <v>85</v>
      </c>
      <c r="C1874" s="33" t="s">
        <v>1768</v>
      </c>
      <c r="D1874" s="33" t="s">
        <v>1773</v>
      </c>
      <c r="E1874" s="33" t="s">
        <v>2879</v>
      </c>
      <c r="F1874" s="38" t="s">
        <v>1687</v>
      </c>
    </row>
    <row r="1875" spans="1:6" ht="14.5" hidden="1" customHeight="1" x14ac:dyDescent="0.35">
      <c r="A1875" s="33" t="s">
        <v>1767</v>
      </c>
      <c r="B1875" s="33" t="s">
        <v>86</v>
      </c>
      <c r="C1875" s="33" t="s">
        <v>1768</v>
      </c>
      <c r="D1875" s="33" t="s">
        <v>1771</v>
      </c>
      <c r="E1875" s="33" t="s">
        <v>2844</v>
      </c>
      <c r="F1875" s="38" t="s">
        <v>48</v>
      </c>
    </row>
    <row r="1876" spans="1:6" ht="14.5" hidden="1" customHeight="1" x14ac:dyDescent="0.35">
      <c r="A1876" s="33" t="s">
        <v>1767</v>
      </c>
      <c r="B1876" s="33" t="s">
        <v>87</v>
      </c>
      <c r="C1876" s="33" t="s">
        <v>1768</v>
      </c>
      <c r="D1876" s="33" t="s">
        <v>1772</v>
      </c>
      <c r="E1876" s="33" t="s">
        <v>2839</v>
      </c>
      <c r="F1876" s="38" t="s">
        <v>48</v>
      </c>
    </row>
    <row r="1877" spans="1:6" ht="14.5" hidden="1" customHeight="1" x14ac:dyDescent="0.35">
      <c r="A1877" s="33" t="s">
        <v>2226</v>
      </c>
      <c r="B1877" s="33" t="s">
        <v>83</v>
      </c>
      <c r="C1877" s="33" t="s">
        <v>2227</v>
      </c>
      <c r="D1877" s="33" t="s">
        <v>2228</v>
      </c>
      <c r="E1877" s="33" t="s">
        <v>2844</v>
      </c>
      <c r="F1877" s="38" t="s">
        <v>48</v>
      </c>
    </row>
    <row r="1878" spans="1:6" ht="14.5" hidden="1" customHeight="1" x14ac:dyDescent="0.35">
      <c r="A1878" s="33" t="s">
        <v>2226</v>
      </c>
      <c r="B1878" s="33" t="s">
        <v>19</v>
      </c>
      <c r="C1878" s="33" t="s">
        <v>2227</v>
      </c>
      <c r="D1878" s="33" t="s">
        <v>2229</v>
      </c>
      <c r="E1878" s="33" t="s">
        <v>2839</v>
      </c>
      <c r="F1878" s="38" t="s">
        <v>48</v>
      </c>
    </row>
    <row r="1879" spans="1:6" ht="14.5" hidden="1" customHeight="1" x14ac:dyDescent="0.35">
      <c r="A1879" s="33" t="s">
        <v>2246</v>
      </c>
      <c r="B1879" s="33" t="s">
        <v>80</v>
      </c>
      <c r="C1879" s="33" t="s">
        <v>2247</v>
      </c>
      <c r="D1879" s="33" t="s">
        <v>2248</v>
      </c>
      <c r="E1879" s="33" t="s">
        <v>2843</v>
      </c>
      <c r="F1879" s="38" t="s">
        <v>56</v>
      </c>
    </row>
    <row r="1880" spans="1:6" ht="14.5" hidden="1" customHeight="1" x14ac:dyDescent="0.35">
      <c r="A1880" s="33" t="s">
        <v>2246</v>
      </c>
      <c r="B1880" s="33" t="s">
        <v>82</v>
      </c>
      <c r="C1880" s="33" t="s">
        <v>2247</v>
      </c>
      <c r="D1880" s="33" t="s">
        <v>2249</v>
      </c>
      <c r="E1880" s="33" t="s">
        <v>2845</v>
      </c>
      <c r="F1880" s="38" t="s">
        <v>50</v>
      </c>
    </row>
    <row r="1881" spans="1:6" ht="14.5" hidden="1" customHeight="1" x14ac:dyDescent="0.35">
      <c r="A1881" s="33" t="s">
        <v>2246</v>
      </c>
      <c r="B1881" s="33" t="s">
        <v>83</v>
      </c>
      <c r="C1881" s="33" t="s">
        <v>2247</v>
      </c>
      <c r="D1881" s="33" t="s">
        <v>2250</v>
      </c>
      <c r="E1881" s="33" t="s">
        <v>2845</v>
      </c>
      <c r="F1881" s="38" t="s">
        <v>50</v>
      </c>
    </row>
    <row r="1882" spans="1:6" ht="14.5" hidden="1" customHeight="1" x14ac:dyDescent="0.35">
      <c r="A1882" s="33" t="s">
        <v>2246</v>
      </c>
      <c r="B1882" s="33" t="s">
        <v>19</v>
      </c>
      <c r="C1882" s="33" t="s">
        <v>2247</v>
      </c>
      <c r="D1882" s="33" t="s">
        <v>2251</v>
      </c>
      <c r="E1882" s="33" t="s">
        <v>2845</v>
      </c>
      <c r="F1882" s="38" t="s">
        <v>50</v>
      </c>
    </row>
    <row r="1883" spans="1:6" ht="14.5" hidden="1" customHeight="1" x14ac:dyDescent="0.35">
      <c r="A1883" s="33" t="s">
        <v>2246</v>
      </c>
      <c r="B1883" s="33" t="s">
        <v>84</v>
      </c>
      <c r="C1883" s="33" t="s">
        <v>2247</v>
      </c>
      <c r="D1883" s="33" t="s">
        <v>2252</v>
      </c>
      <c r="E1883" s="33" t="s">
        <v>2843</v>
      </c>
      <c r="F1883" s="38" t="s">
        <v>56</v>
      </c>
    </row>
    <row r="1884" spans="1:6" ht="14.5" hidden="1" customHeight="1" x14ac:dyDescent="0.35">
      <c r="A1884" s="33" t="s">
        <v>2253</v>
      </c>
      <c r="B1884" s="33" t="s">
        <v>80</v>
      </c>
      <c r="C1884" s="33" t="s">
        <v>2254</v>
      </c>
      <c r="D1884" s="33" t="s">
        <v>2255</v>
      </c>
      <c r="E1884" s="33" t="s">
        <v>2843</v>
      </c>
      <c r="F1884" s="38" t="s">
        <v>56</v>
      </c>
    </row>
    <row r="1885" spans="1:6" ht="14.5" hidden="1" customHeight="1" x14ac:dyDescent="0.35">
      <c r="A1885" s="33" t="s">
        <v>2253</v>
      </c>
      <c r="B1885" s="33" t="s">
        <v>82</v>
      </c>
      <c r="C1885" s="33" t="s">
        <v>2254</v>
      </c>
      <c r="D1885" s="33" t="s">
        <v>2256</v>
      </c>
      <c r="E1885" s="33" t="s">
        <v>2845</v>
      </c>
      <c r="F1885" s="38" t="s">
        <v>50</v>
      </c>
    </row>
    <row r="1886" spans="1:6" ht="14.5" hidden="1" customHeight="1" x14ac:dyDescent="0.35">
      <c r="A1886" s="33" t="s">
        <v>2253</v>
      </c>
      <c r="B1886" s="33" t="s">
        <v>83</v>
      </c>
      <c r="C1886" s="33" t="s">
        <v>2254</v>
      </c>
      <c r="D1886" s="33" t="s">
        <v>2257</v>
      </c>
      <c r="E1886" s="33" t="s">
        <v>2845</v>
      </c>
      <c r="F1886" s="38" t="s">
        <v>50</v>
      </c>
    </row>
    <row r="1887" spans="1:6" ht="14.5" hidden="1" customHeight="1" x14ac:dyDescent="0.35">
      <c r="A1887" s="33" t="s">
        <v>2253</v>
      </c>
      <c r="B1887" s="33" t="s">
        <v>19</v>
      </c>
      <c r="C1887" s="33" t="s">
        <v>2254</v>
      </c>
      <c r="D1887" s="33" t="s">
        <v>2258</v>
      </c>
      <c r="E1887" s="33" t="s">
        <v>2845</v>
      </c>
      <c r="F1887" s="38" t="s">
        <v>50</v>
      </c>
    </row>
    <row r="1888" spans="1:6" ht="14.5" hidden="1" customHeight="1" x14ac:dyDescent="0.35">
      <c r="A1888" s="33" t="s">
        <v>2253</v>
      </c>
      <c r="B1888" s="33" t="s">
        <v>84</v>
      </c>
      <c r="C1888" s="33" t="s">
        <v>2254</v>
      </c>
      <c r="D1888" s="33" t="s">
        <v>2259</v>
      </c>
      <c r="E1888" s="33" t="s">
        <v>2843</v>
      </c>
      <c r="F1888" s="38" t="s">
        <v>56</v>
      </c>
    </row>
    <row r="1889" spans="1:6" ht="14.5" hidden="1" customHeight="1" x14ac:dyDescent="0.35">
      <c r="A1889" s="33" t="s">
        <v>471</v>
      </c>
      <c r="B1889" s="33" t="s">
        <v>80</v>
      </c>
      <c r="C1889" s="33" t="s">
        <v>472</v>
      </c>
      <c r="D1889" s="33" t="s">
        <v>473</v>
      </c>
      <c r="E1889" s="33" t="s">
        <v>2845</v>
      </c>
      <c r="F1889" s="38" t="s">
        <v>50</v>
      </c>
    </row>
    <row r="1890" spans="1:6" ht="14.5" hidden="1" customHeight="1" x14ac:dyDescent="0.35">
      <c r="A1890" s="33" t="s">
        <v>471</v>
      </c>
      <c r="B1890" s="33" t="s">
        <v>82</v>
      </c>
      <c r="C1890" s="33" t="s">
        <v>472</v>
      </c>
      <c r="D1890" s="33" t="s">
        <v>474</v>
      </c>
      <c r="E1890" s="33" t="s">
        <v>2869</v>
      </c>
      <c r="F1890" s="38" t="s">
        <v>132</v>
      </c>
    </row>
    <row r="1891" spans="1:6" ht="14.5" hidden="1" customHeight="1" x14ac:dyDescent="0.35">
      <c r="A1891" s="33" t="s">
        <v>471</v>
      </c>
      <c r="B1891" s="33" t="s">
        <v>83</v>
      </c>
      <c r="C1891" s="33" t="s">
        <v>472</v>
      </c>
      <c r="D1891" s="33" t="s">
        <v>475</v>
      </c>
      <c r="E1891" s="33" t="s">
        <v>2837</v>
      </c>
      <c r="F1891" s="38" t="s">
        <v>742</v>
      </c>
    </row>
    <row r="1892" spans="1:6" ht="14.5" hidden="1" customHeight="1" x14ac:dyDescent="0.35">
      <c r="A1892" s="33" t="s">
        <v>471</v>
      </c>
      <c r="B1892" s="33" t="s">
        <v>19</v>
      </c>
      <c r="C1892" s="33" t="s">
        <v>472</v>
      </c>
      <c r="D1892" s="33" t="s">
        <v>472</v>
      </c>
      <c r="E1892" s="33" t="s">
        <v>2845</v>
      </c>
      <c r="F1892" s="38" t="s">
        <v>50</v>
      </c>
    </row>
    <row r="1893" spans="1:6" ht="14.5" hidden="1" customHeight="1" x14ac:dyDescent="0.35">
      <c r="A1893" s="33" t="s">
        <v>471</v>
      </c>
      <c r="B1893" s="33" t="s">
        <v>446</v>
      </c>
      <c r="C1893" s="33" t="s">
        <v>472</v>
      </c>
      <c r="D1893" s="33" t="s">
        <v>476</v>
      </c>
      <c r="E1893" s="33" t="s">
        <v>2838</v>
      </c>
      <c r="F1893" s="38" t="s">
        <v>48</v>
      </c>
    </row>
    <row r="1894" spans="1:6" ht="14.5" hidden="1" customHeight="1" x14ac:dyDescent="0.35">
      <c r="A1894" s="33" t="s">
        <v>471</v>
      </c>
      <c r="B1894" s="33" t="s">
        <v>477</v>
      </c>
      <c r="C1894" s="33" t="s">
        <v>472</v>
      </c>
      <c r="D1894" s="33" t="s">
        <v>478</v>
      </c>
      <c r="E1894" s="33" t="s">
        <v>2839</v>
      </c>
      <c r="F1894" s="38" t="s">
        <v>48</v>
      </c>
    </row>
    <row r="1895" spans="1:6" ht="14.5" hidden="1" customHeight="1" x14ac:dyDescent="0.35">
      <c r="A1895" s="33" t="s">
        <v>471</v>
      </c>
      <c r="B1895" s="33" t="s">
        <v>84</v>
      </c>
      <c r="C1895" s="33" t="s">
        <v>472</v>
      </c>
      <c r="D1895" s="33" t="s">
        <v>479</v>
      </c>
      <c r="E1895" s="33" t="s">
        <v>2873</v>
      </c>
      <c r="F1895" s="38" t="s">
        <v>132</v>
      </c>
    </row>
    <row r="1896" spans="1:6" ht="14.5" hidden="1" customHeight="1" x14ac:dyDescent="0.35">
      <c r="A1896" s="33" t="s">
        <v>382</v>
      </c>
      <c r="B1896" s="33" t="s">
        <v>82</v>
      </c>
      <c r="C1896" s="33" t="s">
        <v>383</v>
      </c>
      <c r="D1896" s="33" t="s">
        <v>384</v>
      </c>
      <c r="E1896" s="33" t="s">
        <v>2845</v>
      </c>
      <c r="F1896" s="38" t="s">
        <v>50</v>
      </c>
    </row>
    <row r="1897" spans="1:6" ht="14.5" hidden="1" customHeight="1" x14ac:dyDescent="0.35">
      <c r="A1897" s="33" t="s">
        <v>382</v>
      </c>
      <c r="B1897" s="33" t="s">
        <v>83</v>
      </c>
      <c r="C1897" s="33" t="s">
        <v>383</v>
      </c>
      <c r="D1897" s="33" t="s">
        <v>385</v>
      </c>
      <c r="E1897" s="33" t="s">
        <v>2876</v>
      </c>
      <c r="F1897" s="38" t="s">
        <v>50</v>
      </c>
    </row>
    <row r="1898" spans="1:6" ht="14.5" hidden="1" customHeight="1" x14ac:dyDescent="0.35">
      <c r="A1898" s="33" t="s">
        <v>480</v>
      </c>
      <c r="B1898" s="33" t="s">
        <v>80</v>
      </c>
      <c r="C1898" s="33" t="s">
        <v>481</v>
      </c>
      <c r="D1898" s="33" t="s">
        <v>482</v>
      </c>
      <c r="E1898" s="33" t="s">
        <v>2845</v>
      </c>
      <c r="F1898" s="38" t="s">
        <v>50</v>
      </c>
    </row>
    <row r="1899" spans="1:6" ht="14.5" hidden="1" customHeight="1" x14ac:dyDescent="0.35">
      <c r="A1899" s="33" t="s">
        <v>480</v>
      </c>
      <c r="B1899" s="33" t="s">
        <v>82</v>
      </c>
      <c r="C1899" s="33" t="s">
        <v>481</v>
      </c>
      <c r="D1899" s="33" t="s">
        <v>483</v>
      </c>
      <c r="E1899" s="33" t="s">
        <v>2876</v>
      </c>
      <c r="F1899" s="38" t="s">
        <v>50</v>
      </c>
    </row>
    <row r="1900" spans="1:6" ht="14.5" hidden="1" customHeight="1" x14ac:dyDescent="0.35">
      <c r="A1900" s="33" t="s">
        <v>480</v>
      </c>
      <c r="B1900" s="33" t="s">
        <v>83</v>
      </c>
      <c r="C1900" s="33" t="s">
        <v>481</v>
      </c>
      <c r="D1900" s="33" t="s">
        <v>484</v>
      </c>
      <c r="E1900" s="33" t="s">
        <v>2845</v>
      </c>
      <c r="F1900" s="38" t="s">
        <v>50</v>
      </c>
    </row>
    <row r="1901" spans="1:6" ht="14.5" hidden="1" customHeight="1" x14ac:dyDescent="0.35">
      <c r="A1901" s="33" t="s">
        <v>480</v>
      </c>
      <c r="B1901" s="33" t="s">
        <v>84</v>
      </c>
      <c r="C1901" s="33" t="s">
        <v>481</v>
      </c>
      <c r="D1901" s="33" t="s">
        <v>485</v>
      </c>
      <c r="E1901" s="33" t="s">
        <v>2845</v>
      </c>
      <c r="F1901" s="38" t="s">
        <v>50</v>
      </c>
    </row>
    <row r="1902" spans="1:6" ht="14.5" hidden="1" customHeight="1" x14ac:dyDescent="0.35">
      <c r="A1902" s="33" t="s">
        <v>567</v>
      </c>
      <c r="B1902" s="33" t="s">
        <v>80</v>
      </c>
      <c r="C1902" s="33" t="s">
        <v>568</v>
      </c>
      <c r="D1902" s="33" t="s">
        <v>569</v>
      </c>
      <c r="E1902" s="33" t="s">
        <v>2879</v>
      </c>
      <c r="F1902" s="38" t="s">
        <v>132</v>
      </c>
    </row>
    <row r="1903" spans="1:6" ht="14.5" customHeight="1" x14ac:dyDescent="0.35">
      <c r="A1903" s="33" t="s">
        <v>567</v>
      </c>
      <c r="B1903" s="33" t="s">
        <v>83</v>
      </c>
      <c r="C1903" s="33" t="s">
        <v>568</v>
      </c>
      <c r="D1903" s="33" t="s">
        <v>570</v>
      </c>
      <c r="E1903" s="33" t="s">
        <v>2879</v>
      </c>
      <c r="F1903" s="38" t="s">
        <v>1687</v>
      </c>
    </row>
    <row r="1904" spans="1:6" ht="14.5" hidden="1" customHeight="1" x14ac:dyDescent="0.35">
      <c r="A1904" s="33" t="s">
        <v>567</v>
      </c>
      <c r="B1904" s="33" t="s">
        <v>85</v>
      </c>
      <c r="C1904" s="33" t="s">
        <v>568</v>
      </c>
      <c r="D1904" s="33" t="s">
        <v>571</v>
      </c>
      <c r="E1904" s="33" t="s">
        <v>2844</v>
      </c>
      <c r="F1904" s="38" t="s">
        <v>48</v>
      </c>
    </row>
    <row r="1905" spans="1:6" ht="14.5" hidden="1" customHeight="1" x14ac:dyDescent="0.35">
      <c r="A1905" s="33" t="s">
        <v>567</v>
      </c>
      <c r="B1905" s="33" t="s">
        <v>378</v>
      </c>
      <c r="C1905" s="33" t="s">
        <v>568</v>
      </c>
      <c r="D1905" s="33" t="s">
        <v>572</v>
      </c>
      <c r="E1905" s="33" t="s">
        <v>2839</v>
      </c>
      <c r="F1905" s="38" t="s">
        <v>48</v>
      </c>
    </row>
    <row r="1906" spans="1:6" ht="14.5" hidden="1" customHeight="1" x14ac:dyDescent="0.35">
      <c r="A1906" s="33" t="s">
        <v>567</v>
      </c>
      <c r="B1906" s="33" t="s">
        <v>86</v>
      </c>
      <c r="C1906" s="33" t="s">
        <v>568</v>
      </c>
      <c r="D1906" s="33" t="s">
        <v>573</v>
      </c>
      <c r="E1906" s="33" t="s">
        <v>2879</v>
      </c>
      <c r="F1906" s="38" t="s">
        <v>132</v>
      </c>
    </row>
    <row r="1907" spans="1:6" ht="14.5" customHeight="1" x14ac:dyDescent="0.35">
      <c r="A1907" s="33" t="s">
        <v>653</v>
      </c>
      <c r="B1907" s="33" t="s">
        <v>80</v>
      </c>
      <c r="C1907" s="33" t="s">
        <v>654</v>
      </c>
      <c r="D1907" s="33" t="s">
        <v>654</v>
      </c>
      <c r="E1907" s="33" t="s">
        <v>2879</v>
      </c>
      <c r="F1907" s="38" t="s">
        <v>1687</v>
      </c>
    </row>
    <row r="1908" spans="1:6" ht="14.5" hidden="1" customHeight="1" x14ac:dyDescent="0.35">
      <c r="A1908" s="33" t="s">
        <v>653</v>
      </c>
      <c r="B1908" s="33" t="s">
        <v>19</v>
      </c>
      <c r="C1908" s="33" t="s">
        <v>654</v>
      </c>
      <c r="D1908" s="33" t="s">
        <v>655</v>
      </c>
      <c r="E1908" s="33" t="s">
        <v>2838</v>
      </c>
      <c r="F1908" s="38" t="s">
        <v>48</v>
      </c>
    </row>
    <row r="1909" spans="1:6" ht="14.5" hidden="1" customHeight="1" x14ac:dyDescent="0.35">
      <c r="A1909" s="33" t="s">
        <v>653</v>
      </c>
      <c r="B1909" s="33" t="s">
        <v>84</v>
      </c>
      <c r="C1909" s="33" t="s">
        <v>654</v>
      </c>
      <c r="D1909" s="33" t="s">
        <v>656</v>
      </c>
      <c r="E1909" s="33" t="s">
        <v>2839</v>
      </c>
      <c r="F1909" s="38" t="s">
        <v>48</v>
      </c>
    </row>
    <row r="1910" spans="1:6" ht="14.5" hidden="1" customHeight="1" x14ac:dyDescent="0.35">
      <c r="A1910" s="33" t="s">
        <v>961</v>
      </c>
      <c r="B1910" s="33" t="s">
        <v>80</v>
      </c>
      <c r="C1910" s="33" t="s">
        <v>962</v>
      </c>
      <c r="D1910" s="33" t="s">
        <v>440</v>
      </c>
      <c r="E1910" s="33" t="s">
        <v>2845</v>
      </c>
      <c r="F1910" s="38" t="s">
        <v>50</v>
      </c>
    </row>
    <row r="1911" spans="1:6" ht="14.5" hidden="1" customHeight="1" x14ac:dyDescent="0.35">
      <c r="A1911" s="33" t="s">
        <v>961</v>
      </c>
      <c r="B1911" s="33" t="s">
        <v>331</v>
      </c>
      <c r="C1911" s="33" t="s">
        <v>962</v>
      </c>
      <c r="D1911" s="33" t="s">
        <v>441</v>
      </c>
      <c r="E1911" s="33" t="s">
        <v>2845</v>
      </c>
      <c r="F1911" s="38" t="s">
        <v>50</v>
      </c>
    </row>
    <row r="1912" spans="1:6" ht="14.5" hidden="1" customHeight="1" x14ac:dyDescent="0.35">
      <c r="A1912" s="33" t="s">
        <v>961</v>
      </c>
      <c r="B1912" s="33" t="s">
        <v>83</v>
      </c>
      <c r="C1912" s="33" t="s">
        <v>962</v>
      </c>
      <c r="D1912" s="33" t="s">
        <v>442</v>
      </c>
      <c r="E1912" s="33" t="s">
        <v>2876</v>
      </c>
      <c r="F1912" s="38" t="s">
        <v>50</v>
      </c>
    </row>
    <row r="1913" spans="1:6" ht="14.5" hidden="1" customHeight="1" x14ac:dyDescent="0.35">
      <c r="A1913" s="33" t="s">
        <v>961</v>
      </c>
      <c r="B1913" s="33" t="s">
        <v>443</v>
      </c>
      <c r="C1913" s="33" t="s">
        <v>962</v>
      </c>
      <c r="D1913" s="33" t="s">
        <v>444</v>
      </c>
      <c r="E1913" s="33" t="s">
        <v>2843</v>
      </c>
      <c r="F1913" s="38" t="s">
        <v>56</v>
      </c>
    </row>
    <row r="1914" spans="1:6" ht="14.5" hidden="1" customHeight="1" x14ac:dyDescent="0.35">
      <c r="A1914" s="33" t="s">
        <v>961</v>
      </c>
      <c r="B1914" s="33" t="s">
        <v>174</v>
      </c>
      <c r="C1914" s="33" t="s">
        <v>962</v>
      </c>
      <c r="D1914" s="33" t="s">
        <v>445</v>
      </c>
      <c r="E1914" s="33" t="s">
        <v>2870</v>
      </c>
      <c r="F1914" s="38" t="s">
        <v>56</v>
      </c>
    </row>
    <row r="1915" spans="1:6" ht="14.5" hidden="1" customHeight="1" x14ac:dyDescent="0.35">
      <c r="A1915" s="33" t="s">
        <v>961</v>
      </c>
      <c r="B1915" s="33" t="s">
        <v>446</v>
      </c>
      <c r="C1915" s="33" t="s">
        <v>962</v>
      </c>
      <c r="D1915" s="33" t="s">
        <v>447</v>
      </c>
      <c r="E1915" s="33" t="s">
        <v>2861</v>
      </c>
      <c r="F1915" s="38" t="s">
        <v>2740</v>
      </c>
    </row>
    <row r="1916" spans="1:6" ht="14.5" hidden="1" customHeight="1" x14ac:dyDescent="0.35">
      <c r="A1916" s="33" t="s">
        <v>961</v>
      </c>
      <c r="B1916" s="33" t="s">
        <v>85</v>
      </c>
      <c r="C1916" s="33" t="s">
        <v>962</v>
      </c>
      <c r="D1916" s="33" t="s">
        <v>448</v>
      </c>
      <c r="E1916" s="33" t="s">
        <v>2859</v>
      </c>
      <c r="F1916" s="38" t="s">
        <v>56</v>
      </c>
    </row>
    <row r="1917" spans="1:6" ht="14.5" hidden="1" customHeight="1" x14ac:dyDescent="0.35">
      <c r="A1917" s="33" t="s">
        <v>961</v>
      </c>
      <c r="B1917" s="33" t="s">
        <v>449</v>
      </c>
      <c r="C1917" s="33" t="s">
        <v>962</v>
      </c>
      <c r="D1917" s="33" t="s">
        <v>450</v>
      </c>
      <c r="E1917" s="33" t="s">
        <v>2861</v>
      </c>
      <c r="F1917" s="38" t="s">
        <v>2740</v>
      </c>
    </row>
    <row r="1918" spans="1:6" ht="14.5" hidden="1" customHeight="1" x14ac:dyDescent="0.35">
      <c r="A1918" s="33" t="s">
        <v>989</v>
      </c>
      <c r="B1918" s="33" t="s">
        <v>82</v>
      </c>
      <c r="C1918" s="33" t="s">
        <v>990</v>
      </c>
      <c r="D1918" s="33" t="s">
        <v>991</v>
      </c>
      <c r="E1918" s="33" t="s">
        <v>2845</v>
      </c>
      <c r="F1918" s="38" t="s">
        <v>50</v>
      </c>
    </row>
    <row r="1919" spans="1:6" ht="14.5" hidden="1" customHeight="1" x14ac:dyDescent="0.35">
      <c r="A1919" s="33" t="s">
        <v>989</v>
      </c>
      <c r="B1919" s="33" t="s">
        <v>19</v>
      </c>
      <c r="C1919" s="33" t="s">
        <v>990</v>
      </c>
      <c r="D1919" s="33" t="s">
        <v>992</v>
      </c>
      <c r="E1919" s="33" t="s">
        <v>2845</v>
      </c>
      <c r="F1919" s="38" t="s">
        <v>50</v>
      </c>
    </row>
    <row r="1920" spans="1:6" ht="14.5" hidden="1" customHeight="1" x14ac:dyDescent="0.35">
      <c r="A1920" s="33" t="s">
        <v>989</v>
      </c>
      <c r="B1920" s="33" t="s">
        <v>84</v>
      </c>
      <c r="C1920" s="33" t="s">
        <v>990</v>
      </c>
      <c r="D1920" s="33" t="s">
        <v>993</v>
      </c>
      <c r="E1920" s="33" t="s">
        <v>2859</v>
      </c>
      <c r="F1920" s="38" t="s">
        <v>56</v>
      </c>
    </row>
    <row r="1921" spans="1:6" ht="14.5" hidden="1" customHeight="1" x14ac:dyDescent="0.35">
      <c r="A1921" s="33" t="s">
        <v>994</v>
      </c>
      <c r="B1921" s="33" t="s">
        <v>82</v>
      </c>
      <c r="C1921" s="33" t="s">
        <v>995</v>
      </c>
      <c r="D1921" s="33" t="s">
        <v>991</v>
      </c>
      <c r="E1921" s="33" t="s">
        <v>2845</v>
      </c>
      <c r="F1921" s="38" t="s">
        <v>50</v>
      </c>
    </row>
    <row r="1922" spans="1:6" ht="14.5" hidden="1" customHeight="1" x14ac:dyDescent="0.35">
      <c r="A1922" s="33" t="s">
        <v>994</v>
      </c>
      <c r="B1922" s="33" t="s">
        <v>19</v>
      </c>
      <c r="C1922" s="33" t="s">
        <v>995</v>
      </c>
      <c r="D1922" s="33" t="s">
        <v>992</v>
      </c>
      <c r="E1922" s="33" t="s">
        <v>2845</v>
      </c>
      <c r="F1922" s="38" t="s">
        <v>50</v>
      </c>
    </row>
    <row r="1923" spans="1:6" ht="14.5" hidden="1" customHeight="1" x14ac:dyDescent="0.35">
      <c r="A1923" s="33" t="s">
        <v>994</v>
      </c>
      <c r="B1923" s="33" t="s">
        <v>84</v>
      </c>
      <c r="C1923" s="33" t="s">
        <v>995</v>
      </c>
      <c r="D1923" s="33" t="s">
        <v>993</v>
      </c>
      <c r="E1923" s="33" t="s">
        <v>2859</v>
      </c>
      <c r="F1923" s="38" t="s">
        <v>56</v>
      </c>
    </row>
    <row r="1924" spans="1:6" ht="14.5" hidden="1" customHeight="1" x14ac:dyDescent="0.35">
      <c r="A1924" s="33" t="s">
        <v>1326</v>
      </c>
      <c r="B1924" s="33" t="s">
        <v>80</v>
      </c>
      <c r="C1924" s="33" t="s">
        <v>1327</v>
      </c>
      <c r="D1924" s="33" t="s">
        <v>1328</v>
      </c>
      <c r="E1924" s="33" t="s">
        <v>2862</v>
      </c>
      <c r="F1924" s="38" t="s">
        <v>2738</v>
      </c>
    </row>
    <row r="1925" spans="1:6" ht="14.5" hidden="1" customHeight="1" x14ac:dyDescent="0.35">
      <c r="A1925" s="33" t="s">
        <v>1329</v>
      </c>
      <c r="B1925" s="33" t="s">
        <v>80</v>
      </c>
      <c r="C1925" s="33" t="s">
        <v>1330</v>
      </c>
      <c r="D1925" s="33" t="s">
        <v>1331</v>
      </c>
      <c r="E1925" s="33" t="s">
        <v>2862</v>
      </c>
      <c r="F1925" s="38" t="s">
        <v>2738</v>
      </c>
    </row>
    <row r="1926" spans="1:6" ht="14.5" hidden="1" customHeight="1" x14ac:dyDescent="0.35">
      <c r="A1926" s="33" t="s">
        <v>1329</v>
      </c>
      <c r="B1926" s="33" t="s">
        <v>83</v>
      </c>
      <c r="C1926" s="33" t="s">
        <v>1330</v>
      </c>
      <c r="D1926" s="33" t="s">
        <v>1332</v>
      </c>
      <c r="E1926" s="33" t="s">
        <v>2862</v>
      </c>
      <c r="F1926" s="38" t="s">
        <v>2738</v>
      </c>
    </row>
    <row r="1927" spans="1:6" ht="14.5" hidden="1" customHeight="1" x14ac:dyDescent="0.35">
      <c r="A1927" s="33" t="s">
        <v>1333</v>
      </c>
      <c r="B1927" s="33" t="s">
        <v>80</v>
      </c>
      <c r="C1927" s="33" t="s">
        <v>1334</v>
      </c>
      <c r="D1927" s="33" t="s">
        <v>1328</v>
      </c>
      <c r="E1927" s="33" t="s">
        <v>2862</v>
      </c>
      <c r="F1927" s="38" t="s">
        <v>2738</v>
      </c>
    </row>
    <row r="1928" spans="1:6" ht="14.5" hidden="1" customHeight="1" x14ac:dyDescent="0.35">
      <c r="A1928" s="33" t="s">
        <v>1365</v>
      </c>
      <c r="B1928" s="33" t="s">
        <v>80</v>
      </c>
      <c r="C1928" s="33" t="s">
        <v>1366</v>
      </c>
      <c r="D1928" s="33" t="s">
        <v>1367</v>
      </c>
      <c r="E1928" s="33" t="s">
        <v>2843</v>
      </c>
      <c r="F1928" s="38" t="s">
        <v>56</v>
      </c>
    </row>
    <row r="1929" spans="1:6" ht="14.5" hidden="1" customHeight="1" x14ac:dyDescent="0.35">
      <c r="A1929" s="33" t="s">
        <v>1365</v>
      </c>
      <c r="B1929" s="33" t="s">
        <v>82</v>
      </c>
      <c r="C1929" s="33" t="s">
        <v>1366</v>
      </c>
      <c r="D1929" s="33" t="s">
        <v>1368</v>
      </c>
      <c r="E1929" s="33" t="s">
        <v>2845</v>
      </c>
      <c r="F1929" s="38" t="s">
        <v>50</v>
      </c>
    </row>
    <row r="1930" spans="1:6" ht="14.5" hidden="1" customHeight="1" x14ac:dyDescent="0.35">
      <c r="A1930" s="33" t="s">
        <v>1365</v>
      </c>
      <c r="B1930" s="33" t="s">
        <v>19</v>
      </c>
      <c r="C1930" s="33" t="s">
        <v>1366</v>
      </c>
      <c r="D1930" s="33" t="s">
        <v>1369</v>
      </c>
      <c r="E1930" s="33" t="s">
        <v>2844</v>
      </c>
      <c r="F1930" s="38" t="s">
        <v>48</v>
      </c>
    </row>
    <row r="1931" spans="1:6" ht="14.5" hidden="1" customHeight="1" x14ac:dyDescent="0.35">
      <c r="A1931" s="33" t="s">
        <v>1365</v>
      </c>
      <c r="B1931" s="33" t="s">
        <v>84</v>
      </c>
      <c r="C1931" s="33" t="s">
        <v>1366</v>
      </c>
      <c r="D1931" s="33" t="s">
        <v>1370</v>
      </c>
      <c r="E1931" s="33" t="s">
        <v>2839</v>
      </c>
      <c r="F1931" s="38" t="s">
        <v>48</v>
      </c>
    </row>
    <row r="1932" spans="1:6" ht="14.5" hidden="1" customHeight="1" x14ac:dyDescent="0.35">
      <c r="A1932" s="33" t="s">
        <v>1365</v>
      </c>
      <c r="B1932" s="33" t="s">
        <v>85</v>
      </c>
      <c r="C1932" s="33" t="s">
        <v>1366</v>
      </c>
      <c r="D1932" s="33" t="s">
        <v>1371</v>
      </c>
      <c r="E1932" s="33" t="s">
        <v>2845</v>
      </c>
      <c r="F1932" s="38" t="s">
        <v>50</v>
      </c>
    </row>
    <row r="1933" spans="1:6" ht="14.5" hidden="1" customHeight="1" x14ac:dyDescent="0.35">
      <c r="A1933" s="33" t="s">
        <v>1365</v>
      </c>
      <c r="B1933" s="33" t="s">
        <v>378</v>
      </c>
      <c r="C1933" s="33" t="s">
        <v>1366</v>
      </c>
      <c r="D1933" s="33" t="s">
        <v>1372</v>
      </c>
      <c r="E1933" s="33" t="s">
        <v>2843</v>
      </c>
      <c r="F1933" s="38" t="s">
        <v>56</v>
      </c>
    </row>
    <row r="1934" spans="1:6" ht="14.5" hidden="1" customHeight="1" x14ac:dyDescent="0.35">
      <c r="A1934" s="33" t="s">
        <v>1365</v>
      </c>
      <c r="B1934" s="33" t="s">
        <v>89</v>
      </c>
      <c r="C1934" s="33" t="s">
        <v>1366</v>
      </c>
      <c r="D1934" s="33" t="s">
        <v>1373</v>
      </c>
      <c r="E1934" s="33" t="s">
        <v>2839</v>
      </c>
      <c r="F1934" s="38" t="s">
        <v>48</v>
      </c>
    </row>
    <row r="1935" spans="1:6" ht="14.5" hidden="1" customHeight="1" x14ac:dyDescent="0.35">
      <c r="A1935" s="33" t="s">
        <v>1365</v>
      </c>
      <c r="B1935" s="33" t="s">
        <v>87</v>
      </c>
      <c r="C1935" s="33" t="s">
        <v>1366</v>
      </c>
      <c r="D1935" s="33" t="s">
        <v>1374</v>
      </c>
      <c r="E1935" s="33" t="s">
        <v>2844</v>
      </c>
      <c r="F1935" s="38" t="s">
        <v>48</v>
      </c>
    </row>
    <row r="1936" spans="1:6" ht="14.5" hidden="1" customHeight="1" x14ac:dyDescent="0.35">
      <c r="A1936" s="33" t="s">
        <v>1365</v>
      </c>
      <c r="B1936" s="33" t="s">
        <v>88</v>
      </c>
      <c r="C1936" s="33" t="s">
        <v>1366</v>
      </c>
      <c r="D1936" s="33" t="s">
        <v>1375</v>
      </c>
      <c r="E1936" s="33" t="s">
        <v>2843</v>
      </c>
      <c r="F1936" s="38" t="s">
        <v>56</v>
      </c>
    </row>
    <row r="1937" spans="1:6" ht="14.5" hidden="1" customHeight="1" x14ac:dyDescent="0.35">
      <c r="A1937" s="33" t="s">
        <v>1365</v>
      </c>
      <c r="B1937" s="33" t="s">
        <v>91</v>
      </c>
      <c r="C1937" s="33" t="s">
        <v>1366</v>
      </c>
      <c r="D1937" s="33" t="s">
        <v>1369</v>
      </c>
      <c r="E1937" s="33" t="s">
        <v>2844</v>
      </c>
      <c r="F1937" s="38" t="s">
        <v>48</v>
      </c>
    </row>
    <row r="1938" spans="1:6" ht="14.5" hidden="1" customHeight="1" x14ac:dyDescent="0.35">
      <c r="A1938" s="33" t="s">
        <v>1365</v>
      </c>
      <c r="B1938" s="33" t="s">
        <v>92</v>
      </c>
      <c r="C1938" s="33" t="s">
        <v>1366</v>
      </c>
      <c r="D1938" s="33" t="s">
        <v>1370</v>
      </c>
      <c r="E1938" s="33" t="s">
        <v>2839</v>
      </c>
      <c r="F1938" s="38" t="s">
        <v>48</v>
      </c>
    </row>
    <row r="1939" spans="1:6" ht="14.5" hidden="1" customHeight="1" x14ac:dyDescent="0.35">
      <c r="A1939" s="33" t="s">
        <v>1384</v>
      </c>
      <c r="B1939" s="33" t="s">
        <v>80</v>
      </c>
      <c r="C1939" s="33" t="s">
        <v>1385</v>
      </c>
      <c r="D1939" s="33" t="s">
        <v>482</v>
      </c>
      <c r="E1939" s="33" t="s">
        <v>2845</v>
      </c>
      <c r="F1939" s="38" t="s">
        <v>50</v>
      </c>
    </row>
    <row r="1940" spans="1:6" ht="14.5" hidden="1" customHeight="1" x14ac:dyDescent="0.35">
      <c r="A1940" s="33" t="s">
        <v>1384</v>
      </c>
      <c r="B1940" s="33" t="s">
        <v>82</v>
      </c>
      <c r="C1940" s="33" t="s">
        <v>1385</v>
      </c>
      <c r="D1940" s="33" t="s">
        <v>483</v>
      </c>
      <c r="E1940" s="33" t="s">
        <v>2876</v>
      </c>
      <c r="F1940" s="38" t="s">
        <v>50</v>
      </c>
    </row>
    <row r="1941" spans="1:6" ht="14.5" hidden="1" customHeight="1" x14ac:dyDescent="0.35">
      <c r="A1941" s="33" t="s">
        <v>1384</v>
      </c>
      <c r="B1941" s="33" t="s">
        <v>83</v>
      </c>
      <c r="C1941" s="33" t="s">
        <v>1385</v>
      </c>
      <c r="D1941" s="33" t="s">
        <v>484</v>
      </c>
      <c r="E1941" s="33" t="s">
        <v>2845</v>
      </c>
      <c r="F1941" s="38" t="s">
        <v>50</v>
      </c>
    </row>
    <row r="1942" spans="1:6" ht="14.5" hidden="1" customHeight="1" x14ac:dyDescent="0.35">
      <c r="A1942" s="33" t="s">
        <v>1384</v>
      </c>
      <c r="B1942" s="33" t="s">
        <v>84</v>
      </c>
      <c r="C1942" s="33" t="s">
        <v>1385</v>
      </c>
      <c r="D1942" s="33" t="s">
        <v>485</v>
      </c>
      <c r="E1942" s="33" t="s">
        <v>2845</v>
      </c>
      <c r="F1942" s="38" t="s">
        <v>50</v>
      </c>
    </row>
    <row r="1943" spans="1:6" ht="14.5" hidden="1" customHeight="1" x14ac:dyDescent="0.35">
      <c r="A1943" s="33" t="s">
        <v>1679</v>
      </c>
      <c r="B1943" s="33" t="s">
        <v>80</v>
      </c>
      <c r="C1943" s="33" t="s">
        <v>1680</v>
      </c>
      <c r="D1943" s="33" t="s">
        <v>482</v>
      </c>
      <c r="E1943" s="33" t="s">
        <v>2845</v>
      </c>
      <c r="F1943" s="38" t="s">
        <v>50</v>
      </c>
    </row>
    <row r="1944" spans="1:6" ht="14.5" hidden="1" customHeight="1" x14ac:dyDescent="0.35">
      <c r="A1944" s="33" t="s">
        <v>1679</v>
      </c>
      <c r="B1944" s="33" t="s">
        <v>82</v>
      </c>
      <c r="C1944" s="33" t="s">
        <v>1680</v>
      </c>
      <c r="D1944" s="33" t="s">
        <v>483</v>
      </c>
      <c r="E1944" s="33" t="s">
        <v>2876</v>
      </c>
      <c r="F1944" s="38" t="s">
        <v>50</v>
      </c>
    </row>
    <row r="1945" spans="1:6" ht="14.5" hidden="1" customHeight="1" x14ac:dyDescent="0.35">
      <c r="A1945" s="33" t="s">
        <v>1679</v>
      </c>
      <c r="B1945" s="33" t="s">
        <v>83</v>
      </c>
      <c r="C1945" s="33" t="s">
        <v>1680</v>
      </c>
      <c r="D1945" s="33" t="s">
        <v>484</v>
      </c>
      <c r="E1945" s="33" t="s">
        <v>2845</v>
      </c>
      <c r="F1945" s="38" t="s">
        <v>50</v>
      </c>
    </row>
    <row r="1946" spans="1:6" ht="14.5" hidden="1" customHeight="1" x14ac:dyDescent="0.35">
      <c r="A1946" s="33" t="s">
        <v>1679</v>
      </c>
      <c r="B1946" s="33" t="s">
        <v>84</v>
      </c>
      <c r="C1946" s="33" t="s">
        <v>1680</v>
      </c>
      <c r="D1946" s="33" t="s">
        <v>485</v>
      </c>
      <c r="E1946" s="33" t="s">
        <v>2845</v>
      </c>
      <c r="F1946" s="38" t="s">
        <v>50</v>
      </c>
    </row>
    <row r="1947" spans="1:6" ht="14.5" hidden="1" customHeight="1" x14ac:dyDescent="0.35">
      <c r="A1947" s="33" t="s">
        <v>1922</v>
      </c>
      <c r="B1947" s="33" t="s">
        <v>80</v>
      </c>
      <c r="C1947" s="33" t="s">
        <v>1923</v>
      </c>
      <c r="D1947" s="33" t="s">
        <v>1924</v>
      </c>
      <c r="E1947" s="33" t="s">
        <v>2843</v>
      </c>
      <c r="F1947" s="38" t="s">
        <v>56</v>
      </c>
    </row>
    <row r="1948" spans="1:6" ht="14.5" hidden="1" customHeight="1" x14ac:dyDescent="0.35">
      <c r="A1948" s="33" t="s">
        <v>1922</v>
      </c>
      <c r="B1948" s="33" t="s">
        <v>82</v>
      </c>
      <c r="C1948" s="33" t="s">
        <v>1923</v>
      </c>
      <c r="D1948" s="33" t="s">
        <v>1923</v>
      </c>
      <c r="E1948" s="33" t="s">
        <v>2845</v>
      </c>
      <c r="F1948" s="38" t="s">
        <v>50</v>
      </c>
    </row>
    <row r="1949" spans="1:6" ht="14.5" hidden="1" customHeight="1" x14ac:dyDescent="0.35">
      <c r="A1949" s="33" t="s">
        <v>1922</v>
      </c>
      <c r="B1949" s="33" t="s">
        <v>83</v>
      </c>
      <c r="C1949" s="33" t="s">
        <v>1923</v>
      </c>
      <c r="D1949" s="33" t="s">
        <v>1925</v>
      </c>
      <c r="E1949" s="33" t="s">
        <v>2843</v>
      </c>
      <c r="F1949" s="38" t="s">
        <v>56</v>
      </c>
    </row>
    <row r="1950" spans="1:6" ht="14.5" hidden="1" customHeight="1" x14ac:dyDescent="0.35">
      <c r="A1950" s="33" t="s">
        <v>2096</v>
      </c>
      <c r="B1950" s="33" t="s">
        <v>19</v>
      </c>
      <c r="C1950" s="33" t="s">
        <v>2097</v>
      </c>
      <c r="D1950" s="33" t="s">
        <v>2098</v>
      </c>
      <c r="E1950" s="33" t="s">
        <v>2844</v>
      </c>
      <c r="F1950" s="38" t="s">
        <v>48</v>
      </c>
    </row>
    <row r="1951" spans="1:6" ht="14.5" hidden="1" customHeight="1" x14ac:dyDescent="0.35">
      <c r="A1951" s="33" t="s">
        <v>2096</v>
      </c>
      <c r="B1951" s="33" t="s">
        <v>84</v>
      </c>
      <c r="C1951" s="33" t="s">
        <v>2097</v>
      </c>
      <c r="D1951" s="33" t="s">
        <v>2099</v>
      </c>
      <c r="E1951" s="33" t="s">
        <v>2839</v>
      </c>
      <c r="F1951" s="38" t="s">
        <v>48</v>
      </c>
    </row>
    <row r="1952" spans="1:6" ht="14.5" hidden="1" customHeight="1" x14ac:dyDescent="0.35">
      <c r="A1952" s="33" t="s">
        <v>2109</v>
      </c>
      <c r="B1952" s="33" t="s">
        <v>80</v>
      </c>
      <c r="C1952" s="33" t="s">
        <v>2110</v>
      </c>
      <c r="D1952" s="33" t="s">
        <v>2111</v>
      </c>
      <c r="E1952" s="33" t="s">
        <v>2879</v>
      </c>
    </row>
    <row r="1953" spans="1:6" ht="14.5" hidden="1" customHeight="1" x14ac:dyDescent="0.35">
      <c r="A1953" s="33" t="s">
        <v>2109</v>
      </c>
      <c r="B1953" s="33" t="s">
        <v>82</v>
      </c>
      <c r="C1953" s="33" t="s">
        <v>2110</v>
      </c>
      <c r="D1953" s="33" t="s">
        <v>2112</v>
      </c>
      <c r="E1953" s="33" t="s">
        <v>2844</v>
      </c>
      <c r="F1953" s="38" t="s">
        <v>48</v>
      </c>
    </row>
    <row r="1954" spans="1:6" ht="14.5" hidden="1" customHeight="1" x14ac:dyDescent="0.35">
      <c r="A1954" s="33" t="s">
        <v>2109</v>
      </c>
      <c r="B1954" s="33" t="s">
        <v>19</v>
      </c>
      <c r="C1954" s="33" t="s">
        <v>2110</v>
      </c>
      <c r="D1954" s="33" t="s">
        <v>2113</v>
      </c>
      <c r="E1954" s="33" t="s">
        <v>2839</v>
      </c>
      <c r="F1954" s="38" t="s">
        <v>48</v>
      </c>
    </row>
    <row r="1955" spans="1:6" ht="14.5" hidden="1" customHeight="1" x14ac:dyDescent="0.35">
      <c r="A1955" s="33" t="s">
        <v>2109</v>
      </c>
      <c r="B1955" s="33" t="s">
        <v>84</v>
      </c>
      <c r="C1955" s="33" t="s">
        <v>2110</v>
      </c>
      <c r="D1955" s="33" t="s">
        <v>2114</v>
      </c>
      <c r="E1955" s="33" t="s">
        <v>2879</v>
      </c>
    </row>
    <row r="1956" spans="1:6" ht="14.5" hidden="1" customHeight="1" x14ac:dyDescent="0.35">
      <c r="A1956" s="33" t="s">
        <v>2109</v>
      </c>
      <c r="B1956" s="33" t="s">
        <v>85</v>
      </c>
      <c r="C1956" s="33" t="s">
        <v>2110</v>
      </c>
      <c r="D1956" s="33" t="s">
        <v>2115</v>
      </c>
      <c r="E1956" s="33" t="s">
        <v>2844</v>
      </c>
      <c r="F1956" s="38" t="s">
        <v>48</v>
      </c>
    </row>
    <row r="1957" spans="1:6" ht="14.5" hidden="1" customHeight="1" x14ac:dyDescent="0.35">
      <c r="A1957" s="33" t="s">
        <v>2109</v>
      </c>
      <c r="B1957" s="33" t="s">
        <v>89</v>
      </c>
      <c r="C1957" s="33" t="s">
        <v>2110</v>
      </c>
      <c r="D1957" s="33" t="s">
        <v>2116</v>
      </c>
      <c r="E1957" s="33" t="s">
        <v>2839</v>
      </c>
      <c r="F1957" s="38" t="s">
        <v>48</v>
      </c>
    </row>
    <row r="1958" spans="1:6" ht="14.5" hidden="1" customHeight="1" x14ac:dyDescent="0.35">
      <c r="A1958" s="33" t="s">
        <v>2174</v>
      </c>
      <c r="B1958" s="33" t="s">
        <v>80</v>
      </c>
      <c r="C1958" s="33" t="s">
        <v>2175</v>
      </c>
      <c r="D1958" s="33" t="s">
        <v>2175</v>
      </c>
      <c r="E1958" s="33" t="s">
        <v>2845</v>
      </c>
      <c r="F1958" s="38" t="s">
        <v>50</v>
      </c>
    </row>
    <row r="1959" spans="1:6" ht="14.5" hidden="1" customHeight="1" x14ac:dyDescent="0.35">
      <c r="A1959" s="33" t="s">
        <v>2174</v>
      </c>
      <c r="B1959" s="33" t="s">
        <v>82</v>
      </c>
      <c r="C1959" s="33" t="s">
        <v>2175</v>
      </c>
      <c r="D1959" s="33" t="s">
        <v>2176</v>
      </c>
      <c r="E1959" s="33" t="s">
        <v>2876</v>
      </c>
      <c r="F1959" s="38" t="s">
        <v>50</v>
      </c>
    </row>
    <row r="1960" spans="1:6" ht="14.5" hidden="1" customHeight="1" x14ac:dyDescent="0.35">
      <c r="A1960" s="33" t="s">
        <v>234</v>
      </c>
      <c r="B1960" s="33" t="s">
        <v>80</v>
      </c>
      <c r="C1960" s="33" t="s">
        <v>235</v>
      </c>
      <c r="D1960" s="33" t="s">
        <v>236</v>
      </c>
      <c r="E1960" s="33" t="s">
        <v>2847</v>
      </c>
    </row>
    <row r="1961" spans="1:6" ht="14.5" hidden="1" customHeight="1" x14ac:dyDescent="0.35">
      <c r="A1961" s="33" t="s">
        <v>234</v>
      </c>
      <c r="B1961" s="33" t="s">
        <v>83</v>
      </c>
      <c r="C1961" s="33" t="s">
        <v>235</v>
      </c>
      <c r="D1961" s="33" t="s">
        <v>237</v>
      </c>
      <c r="E1961" s="33" t="s">
        <v>2843</v>
      </c>
      <c r="F1961" s="38" t="s">
        <v>56</v>
      </c>
    </row>
    <row r="1962" spans="1:6" ht="14.5" hidden="1" customHeight="1" x14ac:dyDescent="0.35">
      <c r="A1962" s="33" t="s">
        <v>234</v>
      </c>
      <c r="B1962" s="33" t="s">
        <v>19</v>
      </c>
      <c r="C1962" s="33" t="s">
        <v>235</v>
      </c>
      <c r="D1962" s="33" t="s">
        <v>238</v>
      </c>
      <c r="E1962" s="33" t="s">
        <v>2861</v>
      </c>
      <c r="F1962" s="38" t="s">
        <v>2740</v>
      </c>
    </row>
    <row r="1963" spans="1:6" ht="14.5" hidden="1" customHeight="1" x14ac:dyDescent="0.35">
      <c r="A1963" s="33" t="s">
        <v>234</v>
      </c>
      <c r="B1963" s="33" t="s">
        <v>84</v>
      </c>
      <c r="C1963" s="33" t="s">
        <v>235</v>
      </c>
      <c r="D1963" s="33" t="s">
        <v>239</v>
      </c>
      <c r="E1963" s="33" t="s">
        <v>2847</v>
      </c>
    </row>
    <row r="1964" spans="1:6" ht="14.5" hidden="1" customHeight="1" x14ac:dyDescent="0.35">
      <c r="A1964" s="33" t="s">
        <v>234</v>
      </c>
      <c r="B1964" s="33" t="s">
        <v>86</v>
      </c>
      <c r="C1964" s="33" t="s">
        <v>235</v>
      </c>
      <c r="D1964" s="33" t="s">
        <v>240</v>
      </c>
      <c r="E1964" s="33" t="s">
        <v>2844</v>
      </c>
      <c r="F1964" s="38" t="s">
        <v>48</v>
      </c>
    </row>
    <row r="1965" spans="1:6" ht="14.5" hidden="1" customHeight="1" x14ac:dyDescent="0.35">
      <c r="A1965" s="33" t="s">
        <v>234</v>
      </c>
      <c r="B1965" s="33" t="s">
        <v>89</v>
      </c>
      <c r="C1965" s="33" t="s">
        <v>235</v>
      </c>
      <c r="D1965" s="33" t="s">
        <v>241</v>
      </c>
      <c r="E1965" s="33" t="s">
        <v>2839</v>
      </c>
      <c r="F1965" s="38" t="s">
        <v>48</v>
      </c>
    </row>
    <row r="1966" spans="1:6" ht="14.5" hidden="1" customHeight="1" x14ac:dyDescent="0.35">
      <c r="A1966" s="33" t="s">
        <v>234</v>
      </c>
      <c r="B1966" s="33" t="s">
        <v>87</v>
      </c>
      <c r="C1966" s="33" t="s">
        <v>235</v>
      </c>
      <c r="D1966" s="33" t="s">
        <v>242</v>
      </c>
      <c r="E1966" s="33" t="s">
        <v>2861</v>
      </c>
      <c r="F1966" s="38" t="s">
        <v>2740</v>
      </c>
    </row>
    <row r="1967" spans="1:6" ht="14.5" hidden="1" customHeight="1" x14ac:dyDescent="0.35">
      <c r="A1967" s="33" t="s">
        <v>234</v>
      </c>
      <c r="B1967" s="33" t="s">
        <v>88</v>
      </c>
      <c r="C1967" s="33" t="s">
        <v>235</v>
      </c>
      <c r="D1967" s="33" t="s">
        <v>243</v>
      </c>
      <c r="E1967" s="33" t="s">
        <v>2843</v>
      </c>
      <c r="F1967" s="38" t="s">
        <v>56</v>
      </c>
    </row>
    <row r="1968" spans="1:6" ht="14.5" hidden="1" customHeight="1" x14ac:dyDescent="0.35">
      <c r="A1968" s="33" t="s">
        <v>234</v>
      </c>
      <c r="B1968" s="33" t="s">
        <v>90</v>
      </c>
      <c r="C1968" s="33" t="s">
        <v>235</v>
      </c>
      <c r="D1968" s="33" t="s">
        <v>244</v>
      </c>
      <c r="E1968" s="33" t="s">
        <v>2859</v>
      </c>
      <c r="F1968" s="38" t="s">
        <v>56</v>
      </c>
    </row>
    <row r="1969" spans="1:6" ht="14.5" hidden="1" customHeight="1" x14ac:dyDescent="0.35">
      <c r="A1969" s="33" t="s">
        <v>234</v>
      </c>
      <c r="B1969" s="33" t="s">
        <v>91</v>
      </c>
      <c r="C1969" s="33" t="s">
        <v>235</v>
      </c>
      <c r="D1969" s="33" t="s">
        <v>245</v>
      </c>
      <c r="E1969" s="33" t="s">
        <v>2847</v>
      </c>
    </row>
    <row r="1970" spans="1:6" ht="14.5" hidden="1" customHeight="1" x14ac:dyDescent="0.35">
      <c r="A1970" s="33" t="s">
        <v>346</v>
      </c>
      <c r="B1970" s="33" t="s">
        <v>80</v>
      </c>
      <c r="C1970" s="33" t="s">
        <v>347</v>
      </c>
      <c r="D1970" s="33" t="s">
        <v>348</v>
      </c>
      <c r="E1970" s="33" t="s">
        <v>2843</v>
      </c>
      <c r="F1970" s="38" t="s">
        <v>56</v>
      </c>
    </row>
    <row r="1971" spans="1:6" ht="14.5" hidden="1" customHeight="1" x14ac:dyDescent="0.35">
      <c r="A1971" s="33" t="s">
        <v>346</v>
      </c>
      <c r="B1971" s="33" t="s">
        <v>82</v>
      </c>
      <c r="C1971" s="33" t="s">
        <v>347</v>
      </c>
      <c r="D1971" s="33" t="s">
        <v>347</v>
      </c>
      <c r="E1971" s="33" t="s">
        <v>2845</v>
      </c>
      <c r="F1971" s="38" t="s">
        <v>50</v>
      </c>
    </row>
    <row r="1972" spans="1:6" ht="14.5" hidden="1" customHeight="1" x14ac:dyDescent="0.35">
      <c r="A1972" s="33" t="s">
        <v>346</v>
      </c>
      <c r="B1972" s="33" t="s">
        <v>83</v>
      </c>
      <c r="C1972" s="33" t="s">
        <v>347</v>
      </c>
      <c r="D1972" s="33" t="s">
        <v>349</v>
      </c>
      <c r="E1972" s="33" t="s">
        <v>2843</v>
      </c>
      <c r="F1972" s="38" t="s">
        <v>56</v>
      </c>
    </row>
    <row r="1973" spans="1:6" ht="14.5" hidden="1" customHeight="1" x14ac:dyDescent="0.35">
      <c r="A1973" s="33" t="s">
        <v>396</v>
      </c>
      <c r="B1973" s="33" t="s">
        <v>80</v>
      </c>
      <c r="C1973" s="33" t="s">
        <v>397</v>
      </c>
      <c r="D1973" s="33" t="s">
        <v>398</v>
      </c>
      <c r="E1973" s="33" t="s">
        <v>2843</v>
      </c>
      <c r="F1973" s="38" t="s">
        <v>56</v>
      </c>
    </row>
    <row r="1974" spans="1:6" ht="14.5" customHeight="1" x14ac:dyDescent="0.35">
      <c r="A1974" s="33" t="s">
        <v>396</v>
      </c>
      <c r="B1974" s="33" t="s">
        <v>82</v>
      </c>
      <c r="C1974" s="33" t="s">
        <v>397</v>
      </c>
      <c r="D1974" s="33" t="s">
        <v>399</v>
      </c>
      <c r="E1974" s="33" t="s">
        <v>2879</v>
      </c>
      <c r="F1974" s="38" t="s">
        <v>1687</v>
      </c>
    </row>
    <row r="1975" spans="1:6" ht="14.5" customHeight="1" x14ac:dyDescent="0.35">
      <c r="A1975" s="33" t="s">
        <v>396</v>
      </c>
      <c r="B1975" s="33" t="s">
        <v>83</v>
      </c>
      <c r="C1975" s="33" t="s">
        <v>397</v>
      </c>
      <c r="D1975" s="33" t="s">
        <v>400</v>
      </c>
      <c r="E1975" s="33" t="s">
        <v>2879</v>
      </c>
      <c r="F1975" s="38" t="s">
        <v>1687</v>
      </c>
    </row>
    <row r="1976" spans="1:6" ht="14.5" hidden="1" customHeight="1" x14ac:dyDescent="0.35">
      <c r="A1976" s="33" t="s">
        <v>396</v>
      </c>
      <c r="B1976" s="33" t="s">
        <v>19</v>
      </c>
      <c r="C1976" s="33" t="s">
        <v>397</v>
      </c>
      <c r="D1976" s="33" t="s">
        <v>401</v>
      </c>
      <c r="E1976" s="33" t="s">
        <v>2876</v>
      </c>
      <c r="F1976" s="38" t="s">
        <v>50</v>
      </c>
    </row>
    <row r="1977" spans="1:6" ht="14.5" customHeight="1" x14ac:dyDescent="0.35">
      <c r="A1977" s="33" t="s">
        <v>396</v>
      </c>
      <c r="B1977" s="33" t="s">
        <v>84</v>
      </c>
      <c r="C1977" s="33" t="s">
        <v>397</v>
      </c>
      <c r="D1977" s="33" t="s">
        <v>402</v>
      </c>
      <c r="E1977" s="33" t="s">
        <v>2879</v>
      </c>
      <c r="F1977" s="38" t="s">
        <v>1687</v>
      </c>
    </row>
    <row r="1978" spans="1:6" ht="14.5" customHeight="1" x14ac:dyDescent="0.35">
      <c r="A1978" s="33" t="s">
        <v>396</v>
      </c>
      <c r="B1978" s="33" t="s">
        <v>85</v>
      </c>
      <c r="C1978" s="33" t="s">
        <v>397</v>
      </c>
      <c r="D1978" s="33" t="s">
        <v>403</v>
      </c>
      <c r="E1978" s="33" t="s">
        <v>2879</v>
      </c>
      <c r="F1978" s="38" t="s">
        <v>1687</v>
      </c>
    </row>
    <row r="1979" spans="1:6" ht="14.5" hidden="1" customHeight="1" x14ac:dyDescent="0.35">
      <c r="A1979" s="33" t="s">
        <v>396</v>
      </c>
      <c r="B1979" s="33" t="s">
        <v>89</v>
      </c>
      <c r="C1979" s="33" t="s">
        <v>397</v>
      </c>
      <c r="D1979" s="33" t="s">
        <v>404</v>
      </c>
      <c r="E1979" s="33" t="s">
        <v>2843</v>
      </c>
      <c r="F1979" s="38" t="s">
        <v>56</v>
      </c>
    </row>
    <row r="1980" spans="1:6" ht="14.5" customHeight="1" x14ac:dyDescent="0.35">
      <c r="A1980" s="33" t="s">
        <v>416</v>
      </c>
      <c r="B1980" s="33" t="s">
        <v>80</v>
      </c>
      <c r="C1980" s="33" t="s">
        <v>417</v>
      </c>
      <c r="D1980" s="33" t="s">
        <v>417</v>
      </c>
      <c r="E1980" s="33" t="s">
        <v>2879</v>
      </c>
      <c r="F1980" s="38" t="s">
        <v>1687</v>
      </c>
    </row>
    <row r="1981" spans="1:6" ht="14.5" hidden="1" customHeight="1" x14ac:dyDescent="0.35">
      <c r="A1981" s="33" t="s">
        <v>416</v>
      </c>
      <c r="B1981" s="33" t="s">
        <v>83</v>
      </c>
      <c r="C1981" s="33" t="s">
        <v>417</v>
      </c>
      <c r="D1981" s="33" t="s">
        <v>418</v>
      </c>
      <c r="E1981" s="33" t="s">
        <v>2844</v>
      </c>
      <c r="F1981" s="38" t="s">
        <v>48</v>
      </c>
    </row>
    <row r="1982" spans="1:6" ht="14.5" hidden="1" customHeight="1" x14ac:dyDescent="0.35">
      <c r="A1982" s="33" t="s">
        <v>416</v>
      </c>
      <c r="B1982" s="33" t="s">
        <v>19</v>
      </c>
      <c r="C1982" s="33" t="s">
        <v>417</v>
      </c>
      <c r="D1982" s="33" t="s">
        <v>419</v>
      </c>
      <c r="E1982" s="33" t="s">
        <v>2839</v>
      </c>
      <c r="F1982" s="38" t="s">
        <v>48</v>
      </c>
    </row>
    <row r="1983" spans="1:6" ht="14.5" hidden="1" customHeight="1" x14ac:dyDescent="0.35">
      <c r="A1983" s="33" t="s">
        <v>1243</v>
      </c>
      <c r="B1983" s="33" t="s">
        <v>82</v>
      </c>
      <c r="C1983" s="33" t="s">
        <v>1244</v>
      </c>
      <c r="D1983" s="33" t="s">
        <v>1245</v>
      </c>
      <c r="E1983" s="33" t="s">
        <v>2837</v>
      </c>
      <c r="F1983" s="38" t="s">
        <v>742</v>
      </c>
    </row>
    <row r="1984" spans="1:6" ht="14.5" hidden="1" customHeight="1" x14ac:dyDescent="0.35">
      <c r="A1984" s="33" t="s">
        <v>1243</v>
      </c>
      <c r="B1984" s="33" t="s">
        <v>83</v>
      </c>
      <c r="C1984" s="33" t="s">
        <v>1244</v>
      </c>
      <c r="D1984" s="33" t="s">
        <v>1245</v>
      </c>
      <c r="E1984" s="33" t="s">
        <v>2860</v>
      </c>
      <c r="F1984" s="38" t="s">
        <v>50</v>
      </c>
    </row>
    <row r="1985" spans="1:6" ht="14.5" hidden="1" customHeight="1" x14ac:dyDescent="0.35">
      <c r="A1985" s="33" t="s">
        <v>1762</v>
      </c>
      <c r="B1985" s="33" t="s">
        <v>80</v>
      </c>
      <c r="C1985" s="33" t="s">
        <v>1763</v>
      </c>
      <c r="D1985" s="33" t="s">
        <v>1764</v>
      </c>
      <c r="E1985" s="33" t="s">
        <v>2862</v>
      </c>
      <c r="F1985" s="38" t="s">
        <v>2738</v>
      </c>
    </row>
    <row r="1986" spans="1:6" ht="14.5" hidden="1" customHeight="1" x14ac:dyDescent="0.35">
      <c r="A1986" s="33" t="s">
        <v>1762</v>
      </c>
      <c r="B1986" s="33" t="s">
        <v>83</v>
      </c>
      <c r="C1986" s="33" t="s">
        <v>1763</v>
      </c>
      <c r="D1986" s="33" t="s">
        <v>1765</v>
      </c>
      <c r="E1986" s="33" t="s">
        <v>2844</v>
      </c>
      <c r="F1986" s="38" t="s">
        <v>48</v>
      </c>
    </row>
    <row r="1987" spans="1:6" ht="14.5" hidden="1" customHeight="1" x14ac:dyDescent="0.35">
      <c r="A1987" s="33" t="s">
        <v>1762</v>
      </c>
      <c r="B1987" s="33" t="s">
        <v>19</v>
      </c>
      <c r="C1987" s="33" t="s">
        <v>1763</v>
      </c>
      <c r="D1987" s="33" t="s">
        <v>1766</v>
      </c>
      <c r="E1987" s="33" t="s">
        <v>2839</v>
      </c>
      <c r="F1987" s="38" t="s">
        <v>48</v>
      </c>
    </row>
    <row r="1988" spans="1:6" ht="14.5" hidden="1" customHeight="1" x14ac:dyDescent="0.35">
      <c r="A1988" s="33" t="s">
        <v>1813</v>
      </c>
      <c r="B1988" s="33" t="s">
        <v>226</v>
      </c>
      <c r="C1988" s="33" t="s">
        <v>1814</v>
      </c>
      <c r="D1988" s="33" t="s">
        <v>1815</v>
      </c>
      <c r="E1988" s="33" t="s">
        <v>2843</v>
      </c>
      <c r="F1988" s="38" t="s">
        <v>56</v>
      </c>
    </row>
    <row r="1989" spans="1:6" ht="14.5" hidden="1" customHeight="1" x14ac:dyDescent="0.35">
      <c r="A1989" s="33" t="s">
        <v>1813</v>
      </c>
      <c r="B1989" s="33" t="s">
        <v>83</v>
      </c>
      <c r="C1989" s="33" t="s">
        <v>1814</v>
      </c>
      <c r="D1989" s="33" t="s">
        <v>1816</v>
      </c>
      <c r="E1989" s="33" t="s">
        <v>2845</v>
      </c>
      <c r="F1989" s="38" t="s">
        <v>50</v>
      </c>
    </row>
    <row r="1990" spans="1:6" ht="14.5" hidden="1" customHeight="1" x14ac:dyDescent="0.35">
      <c r="A1990" s="33" t="s">
        <v>1813</v>
      </c>
      <c r="B1990" s="33" t="s">
        <v>84</v>
      </c>
      <c r="C1990" s="33" t="s">
        <v>1814</v>
      </c>
      <c r="D1990" s="33" t="s">
        <v>1817</v>
      </c>
      <c r="E1990" s="33" t="s">
        <v>2838</v>
      </c>
      <c r="F1990" s="38" t="s">
        <v>48</v>
      </c>
    </row>
    <row r="1991" spans="1:6" ht="14.5" hidden="1" customHeight="1" x14ac:dyDescent="0.35">
      <c r="A1991" s="33" t="s">
        <v>1813</v>
      </c>
      <c r="B1991" s="33" t="s">
        <v>89</v>
      </c>
      <c r="C1991" s="33" t="s">
        <v>1814</v>
      </c>
      <c r="D1991" s="33" t="s">
        <v>1818</v>
      </c>
      <c r="E1991" s="33" t="s">
        <v>2845</v>
      </c>
      <c r="F1991" s="38" t="s">
        <v>50</v>
      </c>
    </row>
    <row r="1992" spans="1:6" ht="14.5" hidden="1" customHeight="1" x14ac:dyDescent="0.35">
      <c r="A1992" s="33" t="s">
        <v>1813</v>
      </c>
      <c r="B1992" s="33" t="s">
        <v>87</v>
      </c>
      <c r="C1992" s="33" t="s">
        <v>1814</v>
      </c>
      <c r="D1992" s="33" t="s">
        <v>1819</v>
      </c>
      <c r="E1992" s="33" t="s">
        <v>2845</v>
      </c>
      <c r="F1992" s="38" t="s">
        <v>50</v>
      </c>
    </row>
    <row r="1993" spans="1:6" ht="14.5" hidden="1" customHeight="1" x14ac:dyDescent="0.35">
      <c r="A1993" s="33" t="s">
        <v>1813</v>
      </c>
      <c r="B1993" s="33" t="s">
        <v>90</v>
      </c>
      <c r="C1993" s="33" t="s">
        <v>1814</v>
      </c>
      <c r="D1993" s="33" t="s">
        <v>1820</v>
      </c>
      <c r="E1993" s="33" t="s">
        <v>2844</v>
      </c>
      <c r="F1993" s="38" t="s">
        <v>48</v>
      </c>
    </row>
    <row r="1994" spans="1:6" ht="14.5" hidden="1" customHeight="1" x14ac:dyDescent="0.35">
      <c r="A1994" s="33" t="s">
        <v>1813</v>
      </c>
      <c r="B1994" s="33" t="s">
        <v>91</v>
      </c>
      <c r="C1994" s="33" t="s">
        <v>1814</v>
      </c>
      <c r="D1994" s="33" t="s">
        <v>1821</v>
      </c>
      <c r="E1994" s="33" t="s">
        <v>2839</v>
      </c>
      <c r="F1994" s="38" t="s">
        <v>48</v>
      </c>
    </row>
    <row r="1995" spans="1:6" ht="14.5" hidden="1" customHeight="1" x14ac:dyDescent="0.35">
      <c r="A1995" s="33" t="s">
        <v>1813</v>
      </c>
      <c r="B1995" s="33" t="s">
        <v>92</v>
      </c>
      <c r="C1995" s="33" t="s">
        <v>1814</v>
      </c>
      <c r="D1995" s="33" t="s">
        <v>1822</v>
      </c>
      <c r="E1995" s="33" t="s">
        <v>2845</v>
      </c>
      <c r="F1995" s="38" t="s">
        <v>50</v>
      </c>
    </row>
    <row r="1996" spans="1:6" ht="14.5" hidden="1" customHeight="1" x14ac:dyDescent="0.35">
      <c r="A1996" s="33" t="s">
        <v>1813</v>
      </c>
      <c r="B1996" s="33" t="s">
        <v>93</v>
      </c>
      <c r="C1996" s="33" t="s">
        <v>1814</v>
      </c>
      <c r="D1996" s="33" t="s">
        <v>1823</v>
      </c>
      <c r="E1996" s="33" t="s">
        <v>2860</v>
      </c>
      <c r="F1996" s="38" t="s">
        <v>50</v>
      </c>
    </row>
    <row r="1997" spans="1:6" ht="14.5" hidden="1" customHeight="1" x14ac:dyDescent="0.35">
      <c r="A1997" s="33" t="s">
        <v>1813</v>
      </c>
      <c r="B1997" s="33" t="s">
        <v>94</v>
      </c>
      <c r="C1997" s="33" t="s">
        <v>1814</v>
      </c>
      <c r="D1997" s="33" t="s">
        <v>1824</v>
      </c>
      <c r="E1997" s="33" t="s">
        <v>2845</v>
      </c>
      <c r="F1997" s="38" t="s">
        <v>50</v>
      </c>
    </row>
    <row r="1998" spans="1:6" ht="14.5" hidden="1" customHeight="1" x14ac:dyDescent="0.35">
      <c r="A1998" s="33" t="s">
        <v>1813</v>
      </c>
      <c r="B1998" s="33" t="s">
        <v>96</v>
      </c>
      <c r="C1998" s="33" t="s">
        <v>1814</v>
      </c>
      <c r="D1998" s="33" t="s">
        <v>1825</v>
      </c>
      <c r="E1998" s="33" t="s">
        <v>2844</v>
      </c>
      <c r="F1998" s="38" t="s">
        <v>48</v>
      </c>
    </row>
    <row r="1999" spans="1:6" ht="14.5" hidden="1" customHeight="1" x14ac:dyDescent="0.35">
      <c r="A1999" s="33" t="s">
        <v>1813</v>
      </c>
      <c r="B1999" s="33" t="s">
        <v>97</v>
      </c>
      <c r="C1999" s="33" t="s">
        <v>1814</v>
      </c>
      <c r="D1999" s="33" t="s">
        <v>1826</v>
      </c>
      <c r="E1999" s="33" t="s">
        <v>2839</v>
      </c>
      <c r="F1999" s="38" t="s">
        <v>48</v>
      </c>
    </row>
    <row r="2000" spans="1:6" ht="14.5" hidden="1" customHeight="1" x14ac:dyDescent="0.35">
      <c r="A2000" s="33" t="s">
        <v>1813</v>
      </c>
      <c r="B2000" s="33" t="s">
        <v>98</v>
      </c>
      <c r="C2000" s="33" t="s">
        <v>1814</v>
      </c>
      <c r="D2000" s="33" t="s">
        <v>1827</v>
      </c>
      <c r="E2000" s="33" t="s">
        <v>2859</v>
      </c>
      <c r="F2000" s="38" t="s">
        <v>56</v>
      </c>
    </row>
    <row r="2001" spans="1:6" ht="14.5" hidden="1" customHeight="1" x14ac:dyDescent="0.35">
      <c r="A2001" s="33" t="s">
        <v>1813</v>
      </c>
      <c r="B2001" s="33" t="s">
        <v>99</v>
      </c>
      <c r="C2001" s="33" t="s">
        <v>1814</v>
      </c>
      <c r="D2001" s="33" t="s">
        <v>1828</v>
      </c>
      <c r="E2001" s="33" t="s">
        <v>2870</v>
      </c>
      <c r="F2001" s="38" t="s">
        <v>56</v>
      </c>
    </row>
    <row r="2002" spans="1:6" ht="14.5" hidden="1" customHeight="1" x14ac:dyDescent="0.35">
      <c r="A2002" s="33" t="s">
        <v>1813</v>
      </c>
      <c r="B2002" s="33" t="s">
        <v>100</v>
      </c>
      <c r="C2002" s="33" t="s">
        <v>1814</v>
      </c>
      <c r="D2002" s="33" t="s">
        <v>1829</v>
      </c>
      <c r="E2002" s="33" t="s">
        <v>2860</v>
      </c>
      <c r="F2002" s="38" t="s">
        <v>50</v>
      </c>
    </row>
    <row r="2003" spans="1:6" ht="14.5" hidden="1" customHeight="1" x14ac:dyDescent="0.35">
      <c r="A2003" s="33" t="s">
        <v>1813</v>
      </c>
      <c r="B2003" s="33" t="s">
        <v>101</v>
      </c>
      <c r="C2003" s="33" t="s">
        <v>1814</v>
      </c>
      <c r="D2003" s="33" t="s">
        <v>1830</v>
      </c>
      <c r="E2003" s="33" t="s">
        <v>2845</v>
      </c>
      <c r="F2003" s="38" t="s">
        <v>50</v>
      </c>
    </row>
    <row r="2004" spans="1:6" ht="14.5" hidden="1" customHeight="1" x14ac:dyDescent="0.35">
      <c r="A2004" s="33" t="s">
        <v>1813</v>
      </c>
      <c r="B2004" s="33" t="s">
        <v>103</v>
      </c>
      <c r="C2004" s="33" t="s">
        <v>1814</v>
      </c>
      <c r="D2004" s="33" t="s">
        <v>1831</v>
      </c>
      <c r="E2004" s="33" t="s">
        <v>2844</v>
      </c>
      <c r="F2004" s="38" t="s">
        <v>48</v>
      </c>
    </row>
    <row r="2005" spans="1:6" ht="14.5" hidden="1" customHeight="1" x14ac:dyDescent="0.35">
      <c r="A2005" s="33" t="s">
        <v>1813</v>
      </c>
      <c r="B2005" s="33" t="s">
        <v>104</v>
      </c>
      <c r="C2005" s="33" t="s">
        <v>1814</v>
      </c>
      <c r="D2005" s="33" t="s">
        <v>1832</v>
      </c>
      <c r="E2005" s="33" t="s">
        <v>2839</v>
      </c>
      <c r="F2005" s="38" t="s">
        <v>48</v>
      </c>
    </row>
    <row r="2006" spans="1:6" ht="14.5" hidden="1" customHeight="1" x14ac:dyDescent="0.35">
      <c r="A2006" s="33" t="s">
        <v>1813</v>
      </c>
      <c r="B2006" s="33" t="s">
        <v>105</v>
      </c>
      <c r="C2006" s="33" t="s">
        <v>1814</v>
      </c>
      <c r="D2006" s="33" t="s">
        <v>1833</v>
      </c>
      <c r="E2006" s="33" t="s">
        <v>2859</v>
      </c>
      <c r="F2006" s="38" t="s">
        <v>56</v>
      </c>
    </row>
    <row r="2007" spans="1:6" ht="14.5" hidden="1" customHeight="1" x14ac:dyDescent="0.35">
      <c r="A2007" s="33" t="s">
        <v>1813</v>
      </c>
      <c r="B2007" s="33" t="s">
        <v>106</v>
      </c>
      <c r="C2007" s="33" t="s">
        <v>1814</v>
      </c>
      <c r="D2007" s="33" t="s">
        <v>1834</v>
      </c>
      <c r="E2007" s="33" t="s">
        <v>2870</v>
      </c>
      <c r="F2007" s="38" t="s">
        <v>56</v>
      </c>
    </row>
    <row r="2008" spans="1:6" ht="14.5" hidden="1" customHeight="1" x14ac:dyDescent="0.35">
      <c r="A2008" s="33" t="s">
        <v>1813</v>
      </c>
      <c r="B2008" s="33" t="s">
        <v>147</v>
      </c>
      <c r="C2008" s="33" t="s">
        <v>1814</v>
      </c>
      <c r="D2008" s="33" t="s">
        <v>1835</v>
      </c>
      <c r="E2008" s="33" t="s">
        <v>2860</v>
      </c>
      <c r="F2008" s="38" t="s">
        <v>50</v>
      </c>
    </row>
    <row r="2009" spans="1:6" ht="14.5" hidden="1" customHeight="1" x14ac:dyDescent="0.35">
      <c r="A2009" s="33" t="s">
        <v>1813</v>
      </c>
      <c r="B2009" s="33" t="s">
        <v>149</v>
      </c>
      <c r="C2009" s="33" t="s">
        <v>1814</v>
      </c>
      <c r="D2009" s="33" t="s">
        <v>1836</v>
      </c>
      <c r="E2009" s="33" t="s">
        <v>2845</v>
      </c>
      <c r="F2009" s="38" t="s">
        <v>50</v>
      </c>
    </row>
    <row r="2010" spans="1:6" ht="14.5" hidden="1" customHeight="1" x14ac:dyDescent="0.35">
      <c r="A2010" s="33" t="s">
        <v>1813</v>
      </c>
      <c r="B2010" s="33" t="s">
        <v>107</v>
      </c>
      <c r="C2010" s="33" t="s">
        <v>1814</v>
      </c>
      <c r="D2010" s="33" t="s">
        <v>1837</v>
      </c>
      <c r="E2010" s="33" t="s">
        <v>2844</v>
      </c>
      <c r="F2010" s="38" t="s">
        <v>48</v>
      </c>
    </row>
    <row r="2011" spans="1:6" ht="14.5" hidden="1" customHeight="1" x14ac:dyDescent="0.35">
      <c r="A2011" s="33" t="s">
        <v>1813</v>
      </c>
      <c r="B2011" s="33" t="s">
        <v>1357</v>
      </c>
      <c r="C2011" s="33" t="s">
        <v>1814</v>
      </c>
      <c r="D2011" s="33" t="s">
        <v>1838</v>
      </c>
      <c r="E2011" s="33" t="s">
        <v>2839</v>
      </c>
      <c r="F2011" s="38" t="s">
        <v>48</v>
      </c>
    </row>
    <row r="2012" spans="1:6" ht="14.5" hidden="1" customHeight="1" x14ac:dyDescent="0.35">
      <c r="A2012" s="33" t="s">
        <v>1813</v>
      </c>
      <c r="B2012" s="33" t="s">
        <v>1358</v>
      </c>
      <c r="C2012" s="33" t="s">
        <v>1814</v>
      </c>
      <c r="D2012" s="33" t="s">
        <v>1839</v>
      </c>
      <c r="E2012" s="33" t="s">
        <v>2845</v>
      </c>
      <c r="F2012" s="38" t="s">
        <v>50</v>
      </c>
    </row>
    <row r="2013" spans="1:6" ht="14.5" hidden="1" customHeight="1" x14ac:dyDescent="0.35">
      <c r="A2013" s="33" t="s">
        <v>1813</v>
      </c>
      <c r="B2013" s="33" t="s">
        <v>1359</v>
      </c>
      <c r="C2013" s="33" t="s">
        <v>1814</v>
      </c>
      <c r="D2013" s="33" t="s">
        <v>1840</v>
      </c>
      <c r="E2013" s="33" t="s">
        <v>2838</v>
      </c>
      <c r="F2013" s="38" t="s">
        <v>48</v>
      </c>
    </row>
    <row r="2014" spans="1:6" ht="14.5" hidden="1" customHeight="1" x14ac:dyDescent="0.35">
      <c r="A2014" s="33" t="s">
        <v>1813</v>
      </c>
      <c r="B2014" s="33" t="s">
        <v>1360</v>
      </c>
      <c r="C2014" s="33" t="s">
        <v>1814</v>
      </c>
      <c r="D2014" s="33" t="s">
        <v>1841</v>
      </c>
      <c r="E2014" s="33" t="s">
        <v>2843</v>
      </c>
      <c r="F2014" s="38" t="s">
        <v>56</v>
      </c>
    </row>
    <row r="2015" spans="1:6" ht="14.5" hidden="1" customHeight="1" x14ac:dyDescent="0.35">
      <c r="A2015" s="33" t="s">
        <v>1885</v>
      </c>
      <c r="B2015" s="33" t="s">
        <v>80</v>
      </c>
      <c r="C2015" s="33" t="s">
        <v>1886</v>
      </c>
      <c r="D2015" s="33" t="s">
        <v>1887</v>
      </c>
      <c r="E2015" s="33" t="s">
        <v>2855</v>
      </c>
      <c r="F2015" s="38" t="s">
        <v>54</v>
      </c>
    </row>
    <row r="2016" spans="1:6" ht="14.5" hidden="1" customHeight="1" x14ac:dyDescent="0.35">
      <c r="A2016" s="33" t="s">
        <v>1885</v>
      </c>
      <c r="B2016" s="33" t="s">
        <v>82</v>
      </c>
      <c r="C2016" s="33" t="s">
        <v>1886</v>
      </c>
      <c r="D2016" s="33" t="s">
        <v>1888</v>
      </c>
      <c r="E2016" s="33" t="s">
        <v>2866</v>
      </c>
      <c r="F2016" s="38" t="s">
        <v>54</v>
      </c>
    </row>
    <row r="2017" spans="1:6" ht="14.5" hidden="1" customHeight="1" x14ac:dyDescent="0.35">
      <c r="A2017" s="33" t="s">
        <v>1885</v>
      </c>
      <c r="B2017" s="33" t="s">
        <v>83</v>
      </c>
      <c r="C2017" s="33" t="s">
        <v>1886</v>
      </c>
      <c r="D2017" s="33" t="s">
        <v>1889</v>
      </c>
      <c r="E2017" s="33" t="s">
        <v>2877</v>
      </c>
      <c r="F2017" s="38" t="s">
        <v>54</v>
      </c>
    </row>
    <row r="2018" spans="1:6" ht="14.5" hidden="1" customHeight="1" x14ac:dyDescent="0.35">
      <c r="A2018" s="33" t="s">
        <v>1885</v>
      </c>
      <c r="B2018" s="33" t="s">
        <v>443</v>
      </c>
      <c r="C2018" s="33" t="s">
        <v>1886</v>
      </c>
      <c r="D2018" s="33" t="s">
        <v>1890</v>
      </c>
      <c r="E2018" s="33" t="s">
        <v>2859</v>
      </c>
      <c r="F2018" s="38" t="s">
        <v>56</v>
      </c>
    </row>
    <row r="2019" spans="1:6" ht="14.5" hidden="1" customHeight="1" x14ac:dyDescent="0.35">
      <c r="A2019" s="33" t="s">
        <v>1885</v>
      </c>
      <c r="B2019" s="33" t="s">
        <v>84</v>
      </c>
      <c r="C2019" s="33" t="s">
        <v>1886</v>
      </c>
      <c r="D2019" s="33" t="s">
        <v>1891</v>
      </c>
      <c r="E2019" s="33" t="s">
        <v>2844</v>
      </c>
      <c r="F2019" s="38" t="s">
        <v>48</v>
      </c>
    </row>
    <row r="2020" spans="1:6" ht="14.5" hidden="1" customHeight="1" x14ac:dyDescent="0.35">
      <c r="A2020" s="33" t="s">
        <v>1885</v>
      </c>
      <c r="B2020" s="33" t="s">
        <v>85</v>
      </c>
      <c r="C2020" s="33" t="s">
        <v>1886</v>
      </c>
      <c r="D2020" s="33" t="s">
        <v>1892</v>
      </c>
      <c r="E2020" s="33" t="s">
        <v>2839</v>
      </c>
      <c r="F2020" s="38" t="s">
        <v>48</v>
      </c>
    </row>
    <row r="2021" spans="1:6" ht="14.5" hidden="1" customHeight="1" x14ac:dyDescent="0.35">
      <c r="A2021" s="33" t="s">
        <v>1885</v>
      </c>
      <c r="B2021" s="33" t="s">
        <v>86</v>
      </c>
      <c r="C2021" s="33" t="s">
        <v>1886</v>
      </c>
      <c r="D2021" s="33" t="s">
        <v>1893</v>
      </c>
      <c r="E2021" s="33" t="s">
        <v>2855</v>
      </c>
      <c r="F2021" s="38" t="s">
        <v>54</v>
      </c>
    </row>
    <row r="2022" spans="1:6" ht="14.5" hidden="1" customHeight="1" x14ac:dyDescent="0.35">
      <c r="A2022" s="33" t="s">
        <v>1885</v>
      </c>
      <c r="B2022" s="33" t="s">
        <v>89</v>
      </c>
      <c r="C2022" s="33" t="s">
        <v>1886</v>
      </c>
      <c r="D2022" s="33" t="s">
        <v>1894</v>
      </c>
      <c r="E2022" s="33" t="s">
        <v>2866</v>
      </c>
      <c r="F2022" s="38" t="s">
        <v>54</v>
      </c>
    </row>
    <row r="2023" spans="1:6" ht="14.5" hidden="1" customHeight="1" x14ac:dyDescent="0.35">
      <c r="A2023" s="33" t="s">
        <v>1885</v>
      </c>
      <c r="B2023" s="33" t="s">
        <v>87</v>
      </c>
      <c r="C2023" s="33" t="s">
        <v>1886</v>
      </c>
      <c r="D2023" s="33" t="s">
        <v>1895</v>
      </c>
      <c r="E2023" s="33" t="s">
        <v>2877</v>
      </c>
      <c r="F2023" s="38" t="s">
        <v>54</v>
      </c>
    </row>
    <row r="2024" spans="1:6" ht="14.5" hidden="1" customHeight="1" x14ac:dyDescent="0.35">
      <c r="A2024" s="33" t="s">
        <v>1885</v>
      </c>
      <c r="B2024" s="33" t="s">
        <v>90</v>
      </c>
      <c r="C2024" s="33" t="s">
        <v>1886</v>
      </c>
      <c r="D2024" s="33" t="s">
        <v>1896</v>
      </c>
      <c r="E2024" s="33" t="s">
        <v>2859</v>
      </c>
      <c r="F2024" s="38" t="s">
        <v>56</v>
      </c>
    </row>
    <row r="2025" spans="1:6" ht="14.5" hidden="1" customHeight="1" x14ac:dyDescent="0.35">
      <c r="A2025" s="33" t="s">
        <v>2030</v>
      </c>
      <c r="B2025" s="33" t="s">
        <v>80</v>
      </c>
      <c r="C2025" s="33" t="s">
        <v>2031</v>
      </c>
      <c r="D2025" s="33" t="s">
        <v>2032</v>
      </c>
      <c r="E2025" s="33" t="s">
        <v>2843</v>
      </c>
      <c r="F2025" s="38" t="s">
        <v>56</v>
      </c>
    </row>
    <row r="2026" spans="1:6" ht="14.5" customHeight="1" x14ac:dyDescent="0.35">
      <c r="A2026" s="33" t="s">
        <v>2030</v>
      </c>
      <c r="B2026" s="33" t="s">
        <v>83</v>
      </c>
      <c r="C2026" s="33" t="s">
        <v>2031</v>
      </c>
      <c r="D2026" s="33" t="s">
        <v>2033</v>
      </c>
      <c r="E2026" s="33" t="s">
        <v>2879</v>
      </c>
      <c r="F2026" s="38" t="s">
        <v>1687</v>
      </c>
    </row>
    <row r="2027" spans="1:6" ht="14.5" customHeight="1" x14ac:dyDescent="0.35">
      <c r="A2027" s="33" t="s">
        <v>2030</v>
      </c>
      <c r="B2027" s="33" t="s">
        <v>19</v>
      </c>
      <c r="C2027" s="33" t="s">
        <v>2031</v>
      </c>
      <c r="D2027" s="33" t="s">
        <v>2034</v>
      </c>
      <c r="E2027" s="33" t="s">
        <v>2879</v>
      </c>
      <c r="F2027" s="38" t="s">
        <v>1687</v>
      </c>
    </row>
    <row r="2028" spans="1:6" ht="14.5" hidden="1" customHeight="1" x14ac:dyDescent="0.35">
      <c r="A2028" s="33" t="s">
        <v>2030</v>
      </c>
      <c r="B2028" s="33" t="s">
        <v>84</v>
      </c>
      <c r="C2028" s="33" t="s">
        <v>2031</v>
      </c>
      <c r="D2028" s="33" t="s">
        <v>2035</v>
      </c>
      <c r="E2028" s="33" t="s">
        <v>2859</v>
      </c>
      <c r="F2028" s="38" t="s">
        <v>56</v>
      </c>
    </row>
    <row r="2029" spans="1:6" ht="14.5" customHeight="1" x14ac:dyDescent="0.35">
      <c r="A2029" s="33" t="s">
        <v>2030</v>
      </c>
      <c r="B2029" s="33" t="s">
        <v>85</v>
      </c>
      <c r="C2029" s="33" t="s">
        <v>2031</v>
      </c>
      <c r="D2029" s="33" t="s">
        <v>2036</v>
      </c>
      <c r="E2029" s="33" t="s">
        <v>2879</v>
      </c>
      <c r="F2029" s="38" t="s">
        <v>1687</v>
      </c>
    </row>
    <row r="2030" spans="1:6" ht="14.5" hidden="1" customHeight="1" x14ac:dyDescent="0.35">
      <c r="A2030" s="33" t="s">
        <v>2030</v>
      </c>
      <c r="B2030" s="33" t="s">
        <v>89</v>
      </c>
      <c r="C2030" s="33" t="s">
        <v>2031</v>
      </c>
      <c r="D2030" s="33" t="s">
        <v>2037</v>
      </c>
      <c r="E2030" s="33" t="s">
        <v>2843</v>
      </c>
      <c r="F2030" s="38" t="s">
        <v>56</v>
      </c>
    </row>
    <row r="2031" spans="1:6" ht="14.5" hidden="1" customHeight="1" x14ac:dyDescent="0.35">
      <c r="A2031" s="33" t="s">
        <v>2038</v>
      </c>
      <c r="B2031" s="33" t="s">
        <v>80</v>
      </c>
      <c r="C2031" s="33" t="s">
        <v>2039</v>
      </c>
      <c r="D2031" s="33" t="s">
        <v>2040</v>
      </c>
      <c r="E2031" s="33" t="s">
        <v>2843</v>
      </c>
      <c r="F2031" s="38" t="s">
        <v>56</v>
      </c>
    </row>
    <row r="2032" spans="1:6" ht="14.5" hidden="1" customHeight="1" x14ac:dyDescent="0.35">
      <c r="A2032" s="33" t="s">
        <v>2038</v>
      </c>
      <c r="B2032" s="33" t="s">
        <v>337</v>
      </c>
      <c r="C2032" s="33" t="s">
        <v>2039</v>
      </c>
      <c r="D2032" s="33" t="s">
        <v>2041</v>
      </c>
      <c r="E2032" s="33" t="s">
        <v>2837</v>
      </c>
      <c r="F2032" s="38" t="s">
        <v>742</v>
      </c>
    </row>
    <row r="2033" spans="1:6" ht="14.5" hidden="1" customHeight="1" x14ac:dyDescent="0.35">
      <c r="A2033" s="33" t="s">
        <v>2038</v>
      </c>
      <c r="B2033" s="33" t="s">
        <v>19</v>
      </c>
      <c r="C2033" s="33" t="s">
        <v>2039</v>
      </c>
      <c r="D2033" s="33" t="s">
        <v>2042</v>
      </c>
      <c r="E2033" s="33" t="s">
        <v>2845</v>
      </c>
      <c r="F2033" s="38" t="s">
        <v>50</v>
      </c>
    </row>
    <row r="2034" spans="1:6" ht="14.5" hidden="1" customHeight="1" x14ac:dyDescent="0.35">
      <c r="A2034" s="33" t="s">
        <v>2038</v>
      </c>
      <c r="B2034" s="33" t="s">
        <v>1302</v>
      </c>
      <c r="C2034" s="33" t="s">
        <v>2039</v>
      </c>
      <c r="D2034" s="33" t="s">
        <v>2043</v>
      </c>
      <c r="E2034" s="33" t="s">
        <v>2845</v>
      </c>
      <c r="F2034" s="38" t="s">
        <v>50</v>
      </c>
    </row>
    <row r="2035" spans="1:6" ht="14.5" hidden="1" customHeight="1" x14ac:dyDescent="0.35">
      <c r="A2035" s="33" t="s">
        <v>2038</v>
      </c>
      <c r="B2035" s="33" t="s">
        <v>2044</v>
      </c>
      <c r="C2035" s="33" t="s">
        <v>2039</v>
      </c>
      <c r="D2035" s="33" t="s">
        <v>2045</v>
      </c>
      <c r="E2035" s="33" t="s">
        <v>2837</v>
      </c>
      <c r="F2035" s="38" t="s">
        <v>742</v>
      </c>
    </row>
    <row r="2036" spans="1:6" ht="14.5" hidden="1" customHeight="1" x14ac:dyDescent="0.35">
      <c r="A2036" s="33" t="s">
        <v>2038</v>
      </c>
      <c r="B2036" s="33" t="s">
        <v>88</v>
      </c>
      <c r="C2036" s="33" t="s">
        <v>2039</v>
      </c>
      <c r="D2036" s="33" t="s">
        <v>2046</v>
      </c>
      <c r="E2036" s="33" t="s">
        <v>2844</v>
      </c>
      <c r="F2036" s="38" t="s">
        <v>48</v>
      </c>
    </row>
    <row r="2037" spans="1:6" ht="14.5" hidden="1" customHeight="1" x14ac:dyDescent="0.35">
      <c r="A2037" s="33" t="s">
        <v>2038</v>
      </c>
      <c r="B2037" s="33" t="s">
        <v>90</v>
      </c>
      <c r="C2037" s="33" t="s">
        <v>2039</v>
      </c>
      <c r="D2037" s="33" t="s">
        <v>2047</v>
      </c>
      <c r="E2037" s="33" t="s">
        <v>2839</v>
      </c>
      <c r="F2037" s="38" t="s">
        <v>48</v>
      </c>
    </row>
    <row r="2038" spans="1:6" ht="14.5" hidden="1" customHeight="1" x14ac:dyDescent="0.35">
      <c r="A2038" s="33" t="s">
        <v>2038</v>
      </c>
      <c r="B2038" s="33" t="s">
        <v>91</v>
      </c>
      <c r="C2038" s="33" t="s">
        <v>2039</v>
      </c>
      <c r="D2038" s="33" t="s">
        <v>2048</v>
      </c>
      <c r="E2038" s="33" t="s">
        <v>2843</v>
      </c>
      <c r="F2038" s="38" t="s">
        <v>56</v>
      </c>
    </row>
    <row r="2039" spans="1:6" ht="14.5" hidden="1" customHeight="1" x14ac:dyDescent="0.35">
      <c r="A2039" s="33" t="s">
        <v>2239</v>
      </c>
      <c r="B2039" s="33" t="s">
        <v>80</v>
      </c>
      <c r="C2039" s="33" t="s">
        <v>2240</v>
      </c>
      <c r="D2039" s="33" t="s">
        <v>2241</v>
      </c>
      <c r="E2039" s="33" t="s">
        <v>2843</v>
      </c>
      <c r="F2039" s="38" t="s">
        <v>56</v>
      </c>
    </row>
    <row r="2040" spans="1:6" ht="14.5" hidden="1" customHeight="1" x14ac:dyDescent="0.35">
      <c r="A2040" s="33" t="s">
        <v>2239</v>
      </c>
      <c r="B2040" s="33" t="s">
        <v>82</v>
      </c>
      <c r="C2040" s="33" t="s">
        <v>2240</v>
      </c>
      <c r="D2040" s="33" t="s">
        <v>2242</v>
      </c>
      <c r="E2040" s="33" t="s">
        <v>2845</v>
      </c>
      <c r="F2040" s="38" t="s">
        <v>50</v>
      </c>
    </row>
    <row r="2041" spans="1:6" ht="14.5" hidden="1" customHeight="1" x14ac:dyDescent="0.35">
      <c r="A2041" s="33" t="s">
        <v>2239</v>
      </c>
      <c r="B2041" s="33" t="s">
        <v>19</v>
      </c>
      <c r="C2041" s="33" t="s">
        <v>2240</v>
      </c>
      <c r="D2041" s="33" t="s">
        <v>2243</v>
      </c>
      <c r="E2041" s="33" t="s">
        <v>2844</v>
      </c>
      <c r="F2041" s="38" t="s">
        <v>48</v>
      </c>
    </row>
    <row r="2042" spans="1:6" ht="14.5" hidden="1" customHeight="1" x14ac:dyDescent="0.35">
      <c r="A2042" s="33" t="s">
        <v>2239</v>
      </c>
      <c r="B2042" s="33" t="s">
        <v>84</v>
      </c>
      <c r="C2042" s="33" t="s">
        <v>2240</v>
      </c>
      <c r="D2042" s="33" t="s">
        <v>2244</v>
      </c>
      <c r="E2042" s="33" t="s">
        <v>2839</v>
      </c>
      <c r="F2042" s="38" t="s">
        <v>48</v>
      </c>
    </row>
    <row r="2043" spans="1:6" ht="14.5" hidden="1" customHeight="1" x14ac:dyDescent="0.35">
      <c r="A2043" s="33" t="s">
        <v>2239</v>
      </c>
      <c r="B2043" s="33" t="s">
        <v>85</v>
      </c>
      <c r="C2043" s="33" t="s">
        <v>2240</v>
      </c>
      <c r="D2043" s="33" t="s">
        <v>2245</v>
      </c>
      <c r="E2043" s="33" t="s">
        <v>2843</v>
      </c>
      <c r="F2043" s="38" t="s">
        <v>56</v>
      </c>
    </row>
    <row r="2044" spans="1:6" ht="14.5" hidden="1" customHeight="1" x14ac:dyDescent="0.35">
      <c r="A2044" s="33" t="s">
        <v>2364</v>
      </c>
      <c r="B2044" s="33" t="s">
        <v>80</v>
      </c>
      <c r="C2044" s="33" t="s">
        <v>2365</v>
      </c>
      <c r="D2044" s="33" t="s">
        <v>2366</v>
      </c>
      <c r="E2044" s="33" t="s">
        <v>2843</v>
      </c>
      <c r="F2044" s="38" t="s">
        <v>56</v>
      </c>
    </row>
    <row r="2045" spans="1:6" ht="14.5" hidden="1" customHeight="1" x14ac:dyDescent="0.35">
      <c r="A2045" s="33" t="s">
        <v>2364</v>
      </c>
      <c r="B2045" s="33" t="s">
        <v>82</v>
      </c>
      <c r="C2045" s="33" t="s">
        <v>2365</v>
      </c>
      <c r="D2045" s="33" t="s">
        <v>2367</v>
      </c>
      <c r="E2045" s="33" t="s">
        <v>2860</v>
      </c>
      <c r="F2045" s="38" t="s">
        <v>50</v>
      </c>
    </row>
    <row r="2046" spans="1:6" ht="14.5" hidden="1" customHeight="1" x14ac:dyDescent="0.35">
      <c r="A2046" s="33" t="s">
        <v>2364</v>
      </c>
      <c r="B2046" s="33" t="s">
        <v>83</v>
      </c>
      <c r="C2046" s="33" t="s">
        <v>2365</v>
      </c>
      <c r="D2046" s="33" t="s">
        <v>2368</v>
      </c>
      <c r="E2046" s="33" t="s">
        <v>2845</v>
      </c>
      <c r="F2046" s="38" t="s">
        <v>50</v>
      </c>
    </row>
    <row r="2047" spans="1:6" ht="14.5" hidden="1" customHeight="1" x14ac:dyDescent="0.35">
      <c r="A2047" s="33" t="s">
        <v>2364</v>
      </c>
      <c r="B2047" s="33" t="s">
        <v>84</v>
      </c>
      <c r="C2047" s="33" t="s">
        <v>2365</v>
      </c>
      <c r="D2047" s="33" t="s">
        <v>2369</v>
      </c>
      <c r="E2047" s="33" t="s">
        <v>2844</v>
      </c>
      <c r="F2047" s="38" t="s">
        <v>48</v>
      </c>
    </row>
    <row r="2048" spans="1:6" ht="14.5" hidden="1" customHeight="1" x14ac:dyDescent="0.35">
      <c r="A2048" s="33" t="s">
        <v>2364</v>
      </c>
      <c r="B2048" s="33" t="s">
        <v>85</v>
      </c>
      <c r="C2048" s="33" t="s">
        <v>2365</v>
      </c>
      <c r="D2048" s="33" t="s">
        <v>2370</v>
      </c>
      <c r="E2048" s="33" t="s">
        <v>2839</v>
      </c>
      <c r="F2048" s="38" t="s">
        <v>48</v>
      </c>
    </row>
    <row r="2049" spans="1:6" ht="14.5" hidden="1" customHeight="1" x14ac:dyDescent="0.35">
      <c r="A2049" s="33" t="s">
        <v>2364</v>
      </c>
      <c r="B2049" s="33" t="s">
        <v>86</v>
      </c>
      <c r="C2049" s="33" t="s">
        <v>2365</v>
      </c>
      <c r="D2049" s="33" t="s">
        <v>2371</v>
      </c>
      <c r="E2049" s="33" t="s">
        <v>2843</v>
      </c>
      <c r="F2049" s="38" t="s">
        <v>56</v>
      </c>
    </row>
    <row r="2050" spans="1:6" ht="14.5" hidden="1" customHeight="1" x14ac:dyDescent="0.35">
      <c r="A2050" s="53" t="s">
        <v>132</v>
      </c>
      <c r="B2050" s="53" t="s">
        <v>132</v>
      </c>
      <c r="C2050" s="53" t="s">
        <v>132</v>
      </c>
      <c r="D2050" s="53" t="s">
        <v>132</v>
      </c>
      <c r="E2050" s="53" t="s">
        <v>132</v>
      </c>
    </row>
    <row r="2051" spans="1:6" ht="14.5" hidden="1" customHeight="1" x14ac:dyDescent="0.35">
      <c r="A2051" s="42">
        <v>15907437</v>
      </c>
      <c r="B2051" s="33" t="s">
        <v>82</v>
      </c>
      <c r="C2051" t="s">
        <v>197</v>
      </c>
      <c r="D2051" t="s">
        <v>198</v>
      </c>
      <c r="E2051" s="33" t="s">
        <v>2873</v>
      </c>
      <c r="F2051" s="38" t="s">
        <v>2741</v>
      </c>
    </row>
    <row r="2052" spans="1:6" ht="14.5" hidden="1" customHeight="1" x14ac:dyDescent="0.35">
      <c r="A2052" s="42">
        <v>16340682</v>
      </c>
      <c r="B2052" s="33" t="s">
        <v>84</v>
      </c>
      <c r="C2052" t="s">
        <v>472</v>
      </c>
      <c r="D2052" t="s">
        <v>479</v>
      </c>
      <c r="E2052" s="33" t="s">
        <v>2873</v>
      </c>
      <c r="F2052" s="38" t="s">
        <v>2741</v>
      </c>
    </row>
    <row r="2053" spans="1:6" ht="14.5" hidden="1" customHeight="1" x14ac:dyDescent="0.35">
      <c r="A2053" s="42">
        <v>16342622</v>
      </c>
      <c r="B2053" s="33" t="s">
        <v>85</v>
      </c>
      <c r="C2053" t="s">
        <v>518</v>
      </c>
      <c r="D2053" t="s">
        <v>523</v>
      </c>
      <c r="E2053" s="33" t="s">
        <v>2873</v>
      </c>
      <c r="F2053" s="38" t="s">
        <v>2741</v>
      </c>
    </row>
    <row r="2054" spans="1:6" ht="14.5" hidden="1" customHeight="1" x14ac:dyDescent="0.35">
      <c r="A2054" s="42">
        <v>16342622</v>
      </c>
      <c r="B2054" s="33" t="s">
        <v>96</v>
      </c>
      <c r="C2054" t="s">
        <v>518</v>
      </c>
      <c r="D2054" t="s">
        <v>534</v>
      </c>
      <c r="E2054" s="33" t="s">
        <v>2873</v>
      </c>
      <c r="F2054" s="38" t="s">
        <v>2741</v>
      </c>
    </row>
    <row r="2055" spans="1:6" ht="14.5" hidden="1" customHeight="1" x14ac:dyDescent="0.35">
      <c r="A2055" s="42">
        <v>16346271</v>
      </c>
      <c r="B2055" s="33" t="s">
        <v>83</v>
      </c>
      <c r="C2055" s="58" t="s">
        <v>610</v>
      </c>
      <c r="D2055" t="s">
        <v>611</v>
      </c>
      <c r="E2055" s="33" t="s">
        <v>2873</v>
      </c>
      <c r="F2055" s="38" t="s">
        <v>2741</v>
      </c>
    </row>
    <row r="2056" spans="1:6" ht="14.5" hidden="1" customHeight="1" x14ac:dyDescent="0.35">
      <c r="A2056" s="42">
        <v>16347752</v>
      </c>
      <c r="B2056" s="33" t="s">
        <v>80</v>
      </c>
      <c r="C2056" t="s">
        <v>708</v>
      </c>
      <c r="D2056" t="s">
        <v>709</v>
      </c>
      <c r="E2056" s="33" t="s">
        <v>2873</v>
      </c>
      <c r="F2056" s="38" t="s">
        <v>2741</v>
      </c>
    </row>
    <row r="2057" spans="1:6" ht="14.5" hidden="1" customHeight="1" x14ac:dyDescent="0.35">
      <c r="A2057" s="42">
        <v>16351590</v>
      </c>
      <c r="B2057" s="33" t="s">
        <v>80</v>
      </c>
      <c r="C2057" t="s">
        <v>1419</v>
      </c>
      <c r="D2057" t="s">
        <v>1282</v>
      </c>
      <c r="E2057" s="33" t="s">
        <v>2873</v>
      </c>
      <c r="F2057" s="38" t="s">
        <v>2741</v>
      </c>
    </row>
    <row r="2058" spans="1:6" ht="14.5" hidden="1" customHeight="1" x14ac:dyDescent="0.35">
      <c r="A2058" s="42">
        <v>16360953</v>
      </c>
      <c r="B2058" s="33" t="s">
        <v>80</v>
      </c>
      <c r="C2058" t="s">
        <v>1998</v>
      </c>
      <c r="D2058" t="s">
        <v>1999</v>
      </c>
      <c r="E2058" s="33" t="s">
        <v>2873</v>
      </c>
      <c r="F2058" s="38" t="s">
        <v>2741</v>
      </c>
    </row>
    <row r="2059" spans="1:6" ht="14.5" hidden="1" customHeight="1" x14ac:dyDescent="0.35">
      <c r="A2059" s="42">
        <v>16361858</v>
      </c>
      <c r="B2059" s="33" t="s">
        <v>80</v>
      </c>
      <c r="C2059" t="s">
        <v>2081</v>
      </c>
      <c r="D2059" t="s">
        <v>2082</v>
      </c>
      <c r="E2059" s="33" t="s">
        <v>2873</v>
      </c>
      <c r="F2059" s="38" t="s">
        <v>2741</v>
      </c>
    </row>
    <row r="2060" spans="1:6" ht="14.5" hidden="1" customHeight="1" x14ac:dyDescent="0.35">
      <c r="A2060" s="42">
        <v>16364295</v>
      </c>
      <c r="B2060" s="33" t="s">
        <v>83</v>
      </c>
      <c r="C2060" t="s">
        <v>2187</v>
      </c>
      <c r="D2060" t="s">
        <v>2190</v>
      </c>
      <c r="E2060" s="33" t="s">
        <v>2873</v>
      </c>
      <c r="F2060" s="38" t="s">
        <v>2741</v>
      </c>
    </row>
    <row r="2061" spans="1:6" ht="14.5" customHeight="1" x14ac:dyDescent="0.35">
      <c r="A2061" s="42">
        <v>16347088</v>
      </c>
      <c r="B2061" s="42">
        <v>10</v>
      </c>
      <c r="C2061" s="33" t="s">
        <v>2913</v>
      </c>
      <c r="D2061" s="33" t="s">
        <v>487</v>
      </c>
      <c r="E2061" s="33" t="s">
        <v>2875</v>
      </c>
      <c r="F2061" s="38" t="s">
        <v>2437</v>
      </c>
    </row>
    <row r="2062" spans="1:6" ht="14.5" customHeight="1" x14ac:dyDescent="0.35">
      <c r="A2062" s="42">
        <v>16342163</v>
      </c>
      <c r="B2062" s="42">
        <v>40</v>
      </c>
      <c r="C2062" s="33" t="s">
        <v>487</v>
      </c>
      <c r="D2062" s="33" t="s">
        <v>487</v>
      </c>
      <c r="E2062" s="33" t="s">
        <v>2875</v>
      </c>
      <c r="F2062" s="38" t="s">
        <v>2437</v>
      </c>
    </row>
    <row r="2063" spans="1:6" ht="14.5" customHeight="1" x14ac:dyDescent="0.35">
      <c r="A2063" s="42">
        <v>16356571</v>
      </c>
      <c r="B2063" s="42">
        <v>30</v>
      </c>
      <c r="C2063" s="33" t="s">
        <v>2914</v>
      </c>
      <c r="D2063" s="33" t="s">
        <v>2914</v>
      </c>
      <c r="E2063" s="33" t="s">
        <v>2875</v>
      </c>
      <c r="F2063" s="38" t="s">
        <v>2437</v>
      </c>
    </row>
    <row r="2064" spans="1:6" ht="14.5" customHeight="1" x14ac:dyDescent="0.35">
      <c r="A2064" s="42">
        <v>16351644</v>
      </c>
      <c r="B2064" s="42">
        <v>60</v>
      </c>
      <c r="C2064" s="33" t="s">
        <v>2915</v>
      </c>
      <c r="D2064" s="33" t="s">
        <v>2915</v>
      </c>
      <c r="E2064" s="33" t="s">
        <v>2875</v>
      </c>
      <c r="F2064" s="38" t="s">
        <v>2437</v>
      </c>
    </row>
  </sheetData>
  <autoFilter ref="A1:F2060" xr:uid="{00000000-0009-0000-0000-000004000000}">
    <filterColumn colId="5">
      <filters>
        <filter val="Mad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Vendor Entry Sheet</vt:lpstr>
      <vt:lpstr>Bulk Upload Tool (NML USE ONLY)</vt:lpstr>
      <vt:lpstr>Names</vt:lpstr>
      <vt:lpstr>Approval Box (OFFICE ONLY)</vt:lpstr>
      <vt:lpstr>Work Orders</vt:lpstr>
      <vt:lpstr>_FilterDatabase</vt:lpstr>
      <vt:lpstr>'Vendor Entry Sheet'!Print_Area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2026-02-15T04:38:05Z</cp:lastPrinted>
  <dcterms:created xsi:type="dcterms:W3CDTF">2017-07-05T00:07:10Z</dcterms:created>
  <dcterms:modified xsi:type="dcterms:W3CDTF">2026-03-24T08:44:56Z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2026-03-11T23:45:22Z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94f35fdc-e088-415d-9329-4f46d18f1133</vt:lpwstr>
  </property>
  <property fmtid="{D5CDD505-2E9C-101B-9397-08002B2CF9AE}" pid="7" name="MSIP_Label_defa4170-0d19-0005-0004-bc88714345d2_ActionId">
    <vt:lpwstr>000baa15-9a6a-483a-9005-55ba8b914744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