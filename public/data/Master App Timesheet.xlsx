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39594FFC-2497-4234-B0AC-78F6277F6937}" xr6:coauthVersionLast="47" xr6:coauthVersionMax="47" xr10:uidLastSave="{00000000-0000-0000-0000-000000000000}"/>
  <bookViews>
    <workbookView xWindow="28680" yWindow="-120" windowWidth="29040" windowHeight="15720" firstSheet="1" activeTab="4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Orders'!$A$1:$F$204</definedName>
    <definedName name="_xlnm.Print_Area" localSheetId="0">'Vendor Entry Sheet'!$A$1:$J$50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7" l="1"/>
  <c r="C99" i="7"/>
  <c r="C98" i="7"/>
  <c r="C97" i="7"/>
  <c r="C96" i="7"/>
  <c r="C95" i="7"/>
  <c r="C94" i="7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tc={40A0DE7F-A57E-4C77-9B5D-FDF1A61BA729}</author>
    <author>tc={1234373A-630B-474D-B3D2-1A004703238C}</author>
    <author>tc={B7D28F3E-97D7-4894-AAD3-97FBA4897B20}</author>
  </authors>
  <commentList>
    <comment ref="D20" authorId="0" shapeId="0" xr:uid="{40A0DE7F-A57E-4C77-9B5D-FDF1A61BA72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Allen Van W,</t>
      </text>
    </comment>
    <comment ref="D45" authorId="1" shapeId="0" xr:uid="{1234373A-630B-474D-B3D2-1A004703238C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to send TA instead of Fitter as per confirmation email of Allen Van W to MPV.</t>
      </text>
    </comment>
    <comment ref="D49" authorId="2" shapeId="0" xr:uid="{B7D28F3E-97D7-4894-AAD3-97FBA4897B20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to send TA instead of Fitter as per confirmation email of Allen Van W to MPV.</t>
      </text>
    </comment>
  </commentList>
</comments>
</file>

<file path=xl/sharedStrings.xml><?xml version="1.0" encoding="utf-8"?>
<sst xmlns="http://schemas.openxmlformats.org/spreadsheetml/2006/main" count="1280" uniqueCount="347">
  <si>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</si>
  <si>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</si>
  <si>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</si>
  <si>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</si>
  <si>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</si>
  <si>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</si>
  <si>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</si>
  <si>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</si>
  <si>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</si>
  <si>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</si>
  <si>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</si>
  <si>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</si>
  <si>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</si>
  <si>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</si>
  <si>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</si>
  <si>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</si>
  <si>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</si>
  <si>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</si>
  <si>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</si>
  <si>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</si>
  <si>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</si>
  <si>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</si>
  <si>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</si>
  <si>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</si>
  <si>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</si>
  <si>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</si>
  <si>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</si>
  <si>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</si>
  <si>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</si>
  <si>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</si>
  <si>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</si>
  <si>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</si>
  <si>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</si>
  <si>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</si>
  <si>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</si>
  <si>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</si>
  <si>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</si>
  <si>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</si>
  <si>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</si>
  <si>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</si>
  <si>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</si>
  <si>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</si>
  <si>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</si>
  <si>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</si>
  <si>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</si>
  <si>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</si>
  <si>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</si>
  <si>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</si>
  <si>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</si>
  <si>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Company</t>
  </si>
  <si>
    <t>TMS</t>
  </si>
  <si>
    <t>Op. Short Text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</si>
  <si>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</si>
  <si>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</si>
  <si>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</si>
  <si>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</si>
  <si>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</si>
  <si>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</si>
  <si>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</si>
  <si>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</si>
  <si>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</si>
  <si>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</si>
  <si>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</si>
  <si>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</si>
  <si>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</si>
  <si>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</si>
  <si>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</si>
  <si>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</si>
  <si>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</si>
  <si>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</si>
  <si>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</si>
  <si>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</si>
  <si>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</si>
  <si>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</si>
  <si>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0230</t>
  </si>
  <si>
    <t>0240</t>
  </si>
  <si>
    <t>0270</t>
  </si>
  <si>
    <t>0145</t>
  </si>
  <si>
    <t>272SUME</t>
  </si>
  <si>
    <t>020SUSC</t>
  </si>
  <si>
    <t>114SUCD</t>
  </si>
  <si>
    <t>114SURG</t>
  </si>
  <si>
    <t>068SUME</t>
  </si>
  <si>
    <t>068SUBL</t>
  </si>
  <si>
    <t>020SUST</t>
  </si>
  <si>
    <t>Minprovise</t>
  </si>
  <si>
    <t>Jarod Braithwaite</t>
  </si>
  <si>
    <t>Maruariki Lucky</t>
  </si>
  <si>
    <t>Graeme Bozanich</t>
  </si>
  <si>
    <t>Hussein Mahumed</t>
  </si>
  <si>
    <t>Trade Assistant</t>
  </si>
  <si>
    <t>SMS Group</t>
  </si>
  <si>
    <t>Alan Ryan</t>
  </si>
  <si>
    <t>Ku Hser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</si>
  <si>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</si>
  <si>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</si>
  <si>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</si>
  <si>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</si>
  <si>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</si>
  <si>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</si>
  <si>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</si>
  <si>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</si>
  <si>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</si>
  <si>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Boilermaker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</si>
  <si>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</si>
  <si>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</si>
  <si>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</si>
  <si>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</si>
  <si>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</si>
  <si>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</si>
  <si>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</si>
  <si>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</si>
  <si>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Jarome Oliver</t>
  </si>
  <si>
    <t>Erwan Merikhi</t>
  </si>
  <si>
    <t xml:space="preserve">Crane Operator </t>
  </si>
  <si>
    <t>0220</t>
  </si>
  <si>
    <t>0250</t>
  </si>
  <si>
    <t>0260</t>
  </si>
  <si>
    <t>0310</t>
  </si>
  <si>
    <t>0025</t>
  </si>
  <si>
    <t>020SUSS1</t>
  </si>
  <si>
    <t>272SUSS</t>
  </si>
  <si>
    <t>Ian Philips</t>
  </si>
  <si>
    <t>Minseo Kang</t>
  </si>
  <si>
    <t>Boilermaker</t>
  </si>
  <si>
    <t>Leo Kalisch</t>
  </si>
  <si>
    <t>BOOM</t>
  </si>
  <si>
    <t>Sourabh Kalia</t>
  </si>
  <si>
    <t>Fitter</t>
  </si>
  <si>
    <t>Keiron Monarch</t>
  </si>
  <si>
    <t>Damien Cailleux</t>
  </si>
  <si>
    <t>Rigger</t>
  </si>
  <si>
    <t>Fabian Schafer</t>
  </si>
  <si>
    <t>Peter Burns</t>
  </si>
  <si>
    <t>Sebastian Chandler</t>
  </si>
  <si>
    <t>Peter McGlinchy</t>
  </si>
  <si>
    <t>Fletcher Wilkinson</t>
  </si>
  <si>
    <t>Alex Karababa</t>
  </si>
  <si>
    <t>Gael Leoard</t>
  </si>
  <si>
    <t>Florian Leparquier</t>
  </si>
  <si>
    <t>Justin Okuefuna</t>
  </si>
  <si>
    <t>Daniel Willis</t>
  </si>
  <si>
    <t>Luca Scanu</t>
  </si>
  <si>
    <t>Macode Jordan Gomis</t>
  </si>
  <si>
    <t>Philip Buckley</t>
  </si>
  <si>
    <t>Gary Craig</t>
  </si>
  <si>
    <t>Pradip Asaddkar</t>
  </si>
  <si>
    <t>Genesis Pol Legaspi</t>
  </si>
  <si>
    <t>Gerald Mutarisi</t>
  </si>
  <si>
    <t>Perry Gurtin</t>
  </si>
  <si>
    <t>Rawhira Downs</t>
  </si>
  <si>
    <t>Gregory Smith</t>
  </si>
  <si>
    <t>Luke Haralampidis</t>
  </si>
  <si>
    <t>Romain Basile</t>
  </si>
  <si>
    <t>Specialist</t>
  </si>
  <si>
    <t>Luis Restrepo Gamarra</t>
  </si>
  <si>
    <t>Sean Pengilly</t>
  </si>
  <si>
    <t>Blast / Paint</t>
  </si>
  <si>
    <t>Michael Okeane</t>
  </si>
  <si>
    <t>Azhar Ali</t>
  </si>
  <si>
    <t>Sagayaraj Arokiasamy</t>
  </si>
  <si>
    <t>Nigel Schuch</t>
  </si>
  <si>
    <t>Julien Casado</t>
  </si>
  <si>
    <t>Fernando Tolosa</t>
  </si>
  <si>
    <t>Andrew Lowry</t>
  </si>
  <si>
    <t>Abdikadir Mohamed</t>
  </si>
  <si>
    <t>Levy Mohamed</t>
  </si>
  <si>
    <t>Eve Costi</t>
  </si>
  <si>
    <t xml:space="preserve">Rey Faduhilao </t>
  </si>
  <si>
    <t>Samuel Templeton</t>
  </si>
  <si>
    <t>Corban Gillmore</t>
  </si>
  <si>
    <t>Darren Cunningham</t>
  </si>
  <si>
    <t>Crane Op 20T</t>
  </si>
  <si>
    <t>Cameron Branch</t>
  </si>
  <si>
    <t>Reece Richardson</t>
  </si>
  <si>
    <t>Crane Op 160T</t>
  </si>
  <si>
    <t>Patricio Ponce</t>
  </si>
  <si>
    <t>Roger Whyte</t>
  </si>
  <si>
    <t>Abiel Gebremariam</t>
  </si>
  <si>
    <t>Crane Op 70T</t>
  </si>
  <si>
    <t>Simon Healey</t>
  </si>
  <si>
    <t>Shannon McGegor</t>
  </si>
  <si>
    <t>Hohepa  Hirama</t>
  </si>
  <si>
    <t>Nathan Leray</t>
  </si>
  <si>
    <t>Scaffolder</t>
  </si>
  <si>
    <t>Dylan Garrec</t>
  </si>
  <si>
    <t>Nadim Goubaa</t>
  </si>
  <si>
    <t>Tomas Gonzalez</t>
  </si>
  <si>
    <t>Dylan Horwood</t>
  </si>
  <si>
    <t>Sentry</t>
  </si>
  <si>
    <t>Callum Glynn</t>
  </si>
  <si>
    <t>15719685</t>
  </si>
  <si>
    <t>UG 254CV001 Conveyor Skirt Mech Repl</t>
  </si>
  <si>
    <t>254CV001 Conveyor Skirt Mech Repl</t>
  </si>
  <si>
    <t>272SUBM</t>
  </si>
  <si>
    <t>254CV001 Conveyor Skirt Mech Repl Sentry</t>
  </si>
  <si>
    <t>15921441</t>
  </si>
  <si>
    <t>UG 313ST001 Stacker Control Cable Condui</t>
  </si>
  <si>
    <t>Stacker Control Cable Conduit Mech Repl</t>
  </si>
  <si>
    <t>16206010</t>
  </si>
  <si>
    <t>UG 268CV003 V-Plough MPV Mech Repl</t>
  </si>
  <si>
    <t>268CV003 V-Plough MPV Prep</t>
  </si>
  <si>
    <t>268CV003 V-Plough Repl Scaff Install</t>
  </si>
  <si>
    <t>268CV003 V-Plough Mech Repl</t>
  </si>
  <si>
    <t>268CV003 V-Plough Repl 25T CD</t>
  </si>
  <si>
    <t>268CV003 V-Plough Repl 25T RG</t>
  </si>
  <si>
    <t>268CV003 V-Plough Repl Scaff</t>
  </si>
  <si>
    <t>16307989</t>
  </si>
  <si>
    <t>UG 313CV006 Retrn Trck Frame Mech Repl</t>
  </si>
  <si>
    <t>313CV006 Retrn Trck 520 Frame Mech Repl</t>
  </si>
  <si>
    <t>16308597</t>
  </si>
  <si>
    <t>UG 264CH01 Head Chute Wear Plates Repl</t>
  </si>
  <si>
    <t>264CH01 Head Chute Wear Plates Mech Repl</t>
  </si>
  <si>
    <t>264CH01 Head Chute Wear Plates Sentry</t>
  </si>
  <si>
    <t>16339678</t>
  </si>
  <si>
    <t>UG CV02 Worn Roller Repl</t>
  </si>
  <si>
    <t>24W CV02 Rollers Repl</t>
  </si>
  <si>
    <t>16342308</t>
  </si>
  <si>
    <t>UG 268CV003 Conveyor Gearbox Mech Repl</t>
  </si>
  <si>
    <t>268CV003 Conveyor Gearbox Repl Prep</t>
  </si>
  <si>
    <t>268CV003 Conveyor Gearbox  Mech Repl</t>
  </si>
  <si>
    <t>268CV003 Conveyor Gearbox Repl 70T CD</t>
  </si>
  <si>
    <t>268CV003 Conveyor Gearbox Repl 70T RG</t>
  </si>
  <si>
    <t>16350614</t>
  </si>
  <si>
    <t>UG CR Vault Doors Mech Repl</t>
  </si>
  <si>
    <t>Crusher Vault doors Inst Scaff</t>
  </si>
  <si>
    <t>020UGSC</t>
  </si>
  <si>
    <t>Replace Crusher Vault doors</t>
  </si>
  <si>
    <t>Crusher Vault Doors 20T CD</t>
  </si>
  <si>
    <t>Crusher Vault doors Remv Scaff</t>
  </si>
  <si>
    <t>16355585</t>
  </si>
  <si>
    <t>UG 313CV006 Conveyor Roller Mech Repl</t>
  </si>
  <si>
    <t>313CV006 Conveyor Roller Mech Repl</t>
  </si>
  <si>
    <t>MPV</t>
  </si>
  <si>
    <t>16356904</t>
  </si>
  <si>
    <t>UG 265WC001 Winder West Skip Tub Mech Re</t>
  </si>
  <si>
    <t>52W EastWest Winder Skip Tub Mech Repl</t>
  </si>
  <si>
    <t>52W EastWest Winder Skip Tub Repl 25T CD</t>
  </si>
  <si>
    <t>52W EastWest Winder Skip Tub Repl 25T RG</t>
  </si>
  <si>
    <t>52W EastWest Winder Skip Tub Repl 160TCD</t>
  </si>
  <si>
    <t>52W EastWest Winder Skip Tub Repl 160TRG</t>
  </si>
  <si>
    <t>16357462</t>
  </si>
  <si>
    <t>UG Crusher MPS and level sensor cable re</t>
  </si>
  <si>
    <t>Crusher MPS and Level Sensor Cable Repr</t>
  </si>
  <si>
    <t>16358525</t>
  </si>
  <si>
    <t>UG CV001-CV002 Transfer Chute Mech Repr</t>
  </si>
  <si>
    <t>18W Transfer Chute Mech Repr BM</t>
  </si>
  <si>
    <t>18W Transfer Chute Mech Repr</t>
  </si>
  <si>
    <t>18W Transfer Chute Mech Repr Sentry</t>
  </si>
  <si>
    <t>16360792</t>
  </si>
  <si>
    <t>UG Winder East Skip Tub Mech Repl</t>
  </si>
  <si>
    <t>16361985</t>
  </si>
  <si>
    <t>UG Pre &amp; Post Shut Maint Mech Works</t>
  </si>
  <si>
    <t>36W Preshut Works TMS Supervisor</t>
  </si>
  <si>
    <t>36W Preshut Works TMS</t>
  </si>
  <si>
    <t>36W Preshut Works SMS Sentry Supervisor</t>
  </si>
  <si>
    <t>36W Preshut Works SMS Sentry</t>
  </si>
  <si>
    <t>020SUGT</t>
  </si>
  <si>
    <t>36W Preshut Works SMS Scaffolders</t>
  </si>
  <si>
    <t>36W Preshut Works Minprv CV</t>
  </si>
  <si>
    <t>36W Preshut Works Boom Cranes Drivers</t>
  </si>
  <si>
    <t>36W Preshut Works Boom Riggers</t>
  </si>
  <si>
    <t>36W Postshut Works TMS Supervisor</t>
  </si>
  <si>
    <t>36W Postshut Works TMS</t>
  </si>
  <si>
    <t>36W Postshut Works SMS Sentry Supervisor</t>
  </si>
  <si>
    <t>36W Postshut Works SMS Sentry</t>
  </si>
  <si>
    <t>36W Postshut Works SMS Scaffolders</t>
  </si>
  <si>
    <t>36W Postshut Works Minprv CV</t>
  </si>
  <si>
    <t>36W Postshut Works Boom Cranes Drivers</t>
  </si>
  <si>
    <t>36W Postshut Works Boom Riggers</t>
  </si>
  <si>
    <t>16361986</t>
  </si>
  <si>
    <t>UG Shutdown Travel and Inductions</t>
  </si>
  <si>
    <t>UG Shutdown Travel &amp; Inductions Boom CD</t>
  </si>
  <si>
    <t>UG Shutdown Travel &amp; Inductions Boom RG</t>
  </si>
  <si>
    <t>UG Shutdown Travel and Inductions Sentry</t>
  </si>
  <si>
    <t>UG Shutdown Travel and Inductions Scaff</t>
  </si>
  <si>
    <t>UG Shutdown Travel and Inductions TMS</t>
  </si>
  <si>
    <t>UG Shutdown Travel &amp; Inductions MPV Belt</t>
  </si>
  <si>
    <t>0105</t>
  </si>
  <si>
    <t>UG Shutdown Travel &amp; Inductions MPV Mech</t>
  </si>
  <si>
    <t>16361990</t>
  </si>
  <si>
    <t>UG Crusher/Winder Shut Supv Allocation</t>
  </si>
  <si>
    <t>UG Crusher/WInder Shut Supv Boom</t>
  </si>
  <si>
    <t>114SUSS</t>
  </si>
  <si>
    <t>UG Crusher/WInder Shut Supv TMS</t>
  </si>
  <si>
    <t>UG Crusher/WInder Shut Supv Minprv</t>
  </si>
  <si>
    <t>068SUSS</t>
  </si>
  <si>
    <t>UG Crusher/WInder Shut Supv SMS</t>
  </si>
  <si>
    <t>UG Crusher/WInder Shut Supv SMS Sentry</t>
  </si>
  <si>
    <t>020SUSS2</t>
  </si>
  <si>
    <t>16362350</t>
  </si>
  <si>
    <t>UG 264CV002 Conveyor Belt Mech Repl</t>
  </si>
  <si>
    <t>Lift Coveyor Belt 160T CD</t>
  </si>
  <si>
    <t>IT Franna To Lift Equipment Into Work Ar</t>
  </si>
  <si>
    <t>114SWCD</t>
  </si>
  <si>
    <t>Lift Steel Skirts</t>
  </si>
  <si>
    <t>Install Splice Station Support scaffold</t>
  </si>
  <si>
    <t>0165</t>
  </si>
  <si>
    <t>Remove Splice Station Support scaffold</t>
  </si>
  <si>
    <t>Tension Conveyor Belt Cleaners</t>
  </si>
  <si>
    <t>Lower Steel Skirts</t>
  </si>
  <si>
    <t>16372193</t>
  </si>
  <si>
    <t>UG CV002 Primary Scraper Mech Service</t>
  </si>
  <si>
    <t>16372194</t>
  </si>
  <si>
    <t>UG CV006 Primary Scraper Mech Service</t>
  </si>
  <si>
    <t>16372195</t>
  </si>
  <si>
    <t>UG CV006 Secondary Scraper Mech Service</t>
  </si>
  <si>
    <t>16372196</t>
  </si>
  <si>
    <t>UG CV006 Tracking Frame Adjustment Mech</t>
  </si>
  <si>
    <t>15783108</t>
  </si>
  <si>
    <t>UG Stack Luff Limit Bracket Mech Repr</t>
  </si>
  <si>
    <t>16350963</t>
  </si>
  <si>
    <t>UG 265WC002 Winder East Bridle Repair</t>
  </si>
  <si>
    <t>East Bridle Erect Scaffold</t>
  </si>
  <si>
    <t>East Bridle Repair - TMS BM</t>
  </si>
  <si>
    <t>East Bridle Dismantle Scaffold</t>
  </si>
  <si>
    <t>16355465</t>
  </si>
  <si>
    <t>UG 313CV006 Conv Belt Repl</t>
  </si>
  <si>
    <t>Lift Conveyor Belt Into Cradle 160T CD</t>
  </si>
  <si>
    <t>Lift Conveyor Belt Into Cradle 160T RG</t>
  </si>
  <si>
    <t>Disconnect Drive Coupling From Pulley</t>
  </si>
  <si>
    <t>Raise Counter Weight Secure With Chains</t>
  </si>
  <si>
    <t>Raise Counter Weight 160T CD</t>
  </si>
  <si>
    <t>0125</t>
  </si>
  <si>
    <t>Raise Counter Weight 160T RG</t>
  </si>
  <si>
    <t>Back Off Head Scraper</t>
  </si>
  <si>
    <t>Change Out Conveyor Belt 160T CD</t>
  </si>
  <si>
    <t>Change Out Conveyor Belt 160T  Rg</t>
  </si>
  <si>
    <t>0215</t>
  </si>
  <si>
    <t>Lower Counter Weight</t>
  </si>
  <si>
    <t>Lower Counter Weight 160T CD</t>
  </si>
  <si>
    <t>Lower Counter Weight 160T RG</t>
  </si>
  <si>
    <t>Reconnect Drive Coupling From Pulley</t>
  </si>
  <si>
    <t>Tension Head Scraper</t>
  </si>
  <si>
    <t>Commision Belt Check Tracking</t>
  </si>
  <si>
    <t>16332473</t>
  </si>
  <si>
    <t>UG 313CV006 Tail Pulley Structure and Sk</t>
  </si>
  <si>
    <t>Tail Pulley Frame Paint Minprovise Civil</t>
  </si>
  <si>
    <t>CV6 Tail Pulley Structure &amp; Skirt Repl</t>
  </si>
  <si>
    <t>CV6 Tail Pulley Frame Civil Repr Minprv</t>
  </si>
  <si>
    <t>CV6 Tail Pulley Frame Repl 25T CD</t>
  </si>
  <si>
    <t>CV6 Tail Pulley Frame Repl 25T RG</t>
  </si>
  <si>
    <t>16354980</t>
  </si>
  <si>
    <t>UG 313CV006 PT MAX Mech Install</t>
  </si>
  <si>
    <t>313CV006 PT MAX Mech Install</t>
  </si>
  <si>
    <t>313CV006 PT MAX Install 70T CD</t>
  </si>
  <si>
    <t>313CV006 PT MAX Install 70T 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</si>
</sst>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00000"/>
      <name val="Rockwell"/>
      <family val="1"/>
    </font>
    <font>
      <sz val="11"/>
      <color rgb="FF00B0F0"/>
      <name val="Arial"/>
      <family val="2"/>
    </font>
    <font>
      <sz val="11"/>
      <color rgb="FFD60093"/>
      <name val="Arial"/>
      <family val="2"/>
    </font>
    <font>
      <sz val="9"/>
      <color indexed="81"/>
      <name val="Tahoma"/>
      <charset val="1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62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  <xf numFmtId="0" fontId="13" fillId="25" borderId="0" xfId="0" applyFont="1" applyFill="1"/>
    <xf numFmtId="0" fontId="13" fillId="25" borderId="0" xfId="0" applyFont="1" applyFill="1" applyAlignment="1">
      <alignment horizontal="center"/>
    </xf>
    <xf numFmtId="0" fontId="13" fillId="25" borderId="0" xfId="0" applyFont="1" applyFill="1" applyAlignment="1">
      <alignment horizontal="left"/>
    </xf>
    <xf numFmtId="0" fontId="28" fillId="0" borderId="0" xfId="0" applyFont="1"/>
    <xf numFmtId="0" fontId="27" fillId="0" borderId="0" xfId="0" applyFont="1" applyAlignment="1">
      <alignment horizontal="right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27" fillId="0" borderId="0" xfId="0" applyFont="1" applyAlignment="1">
      <alignment horizontal="right" vertical="center"/>
    </xf>
    <xf numFmtId="0" fontId="21" fillId="0" borderId="0" xfId="0" applyFont="1" applyAlignment="1">
      <alignment vertical="center" wrapText="1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57855</xdr:colOff>
      <xdr:row>37</xdr:row>
      <xdr:rowOff>21166</xdr:rowOff>
    </xdr:from>
    <xdr:to>
      <xdr:col>7</xdr:col>
      <xdr:colOff>275165</xdr:colOff>
      <xdr:row>49</xdr:row>
      <xdr:rowOff>183443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4DD9482-4B03-D611-85AE-5009589DAE86}"/>
            </a:ext>
          </a:extLst>
        </xdr:cNvPr>
        <xdr:cNvSpPr txBox="1"/>
      </xdr:nvSpPr>
      <xdr:spPr>
        <a:xfrm rot="10800000" flipV="1">
          <a:off x="3042355" y="7422444"/>
          <a:ext cx="4937477" cy="2363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/>
        </a:p>
        <a:p>
          <a:r>
            <a:rPr lang="en-AU" sz="1100" b="1"/>
            <a:t>Greatland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  <a:p>
          <a:endParaRPr lang="en-AU" sz="1100"/>
        </a:p>
        <a:p>
          <a:endParaRPr lang="en-AU" sz="1100"/>
        </a:p>
        <a:p>
          <a:endParaRPr lang="en-AU" sz="1100"/>
        </a:p>
        <a:p>
          <a:r>
            <a:rPr lang="en-AU" sz="1100" b="1"/>
            <a:t>Contractor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" dT="2026-03-11T08:41:45.90" personId="{00000000-0000-0000-0000-000000000000}" id="{40A0DE7F-A57E-4C77-9B5D-FDF1A61BA729}">
    <text>approved by Allen Van W,</text>
  </threadedComment>
  <threadedComment ref="D45" dT="2026-03-11T03:17:22.94" personId="{00000000-0000-0000-0000-000000000000}" id="{1234373A-630B-474D-B3D2-1A004703238C}">
    <text>approved to send TA instead of Fitter as per confirmation email of Allen Van W to MPV.</text>
  </threadedComment>
  <threadedComment ref="D49" dT="2026-03-11T03:19:42.52" personId="{00000000-0000-0000-0000-000000000000}" id="{B7D28F3E-97D7-4894-AAD3-97FBA4897B20}">
    <text>approved to send TA instead of Fitter as per confirmation email of Allen Van W to MPV.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35" activePane="bottomLeft" state="frozen"/>
      <selection activeCell="C1" sqref="C1"/>
      <selection pane="bottomLeft" activeCell="M43" sqref="M43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6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0"/>
      <c r="D1" s="51"/>
      <c r="E1" s="51"/>
      <c r="F1" s="51"/>
      <c r="G1" s="41"/>
      <c r="H1" s="49"/>
      <c r="I1" s="49"/>
      <c r="J1" s="49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5" t="s">
        <v>10</v>
      </c>
      <c r="B3" s="45" t="s">
        <v>11</v>
      </c>
      <c r="C3" s="37" t="s">
        <v>12</v>
      </c>
      <c r="D3" s="37" t="s">
        <v>3</v>
      </c>
      <c r="E3" s="45" t="s">
        <v>13</v>
      </c>
      <c r="F3" s="45" t="s">
        <v>14</v>
      </c>
      <c r="G3" s="35" t="s">
        <v>15</v>
      </c>
      <c r="H3" s="45" t="s">
        <v>16</v>
      </c>
      <c r="I3" s="45" t="s">
        <v>17</v>
      </c>
      <c r="J3" s="45" t="s">
        <v>9</v>
      </c>
      <c r="K3" s="36" t="s">
        <v>18</v>
      </c>
    </row>
    <row r="4" spans="1:11" x14ac:dyDescent="0.35">
      <c r="A4" s="43"/>
      <c r="B4" s="28"/>
      <c r="C4" s="29"/>
      <c r="D4" s="30"/>
      <c r="E4" s="30"/>
      <c r="F4" s="32"/>
      <c r="G4" s="29"/>
      <c r="H4" s="33"/>
      <c r="I4" s="34"/>
      <c r="J4" s="34"/>
      <c r="K4" s="38"/>
    </row>
    <row r="5" spans="1:11" x14ac:dyDescent="0.35">
      <c r="A5" s="43"/>
      <c r="B5" s="28"/>
      <c r="C5" s="29" t="str">
        <f>IFERROR(VLOOKUP(B5,Names!$B$1:$E$253,2,FALSE),"")</f>
        <v/>
      </c>
      <c r="D5" s="30" t="str">
        <f>IFERROR(VLOOKUP(B5,Names!$B$1:$E$253,4,FALSE),"")</f>
        <v/>
      </c>
      <c r="E5" s="30"/>
      <c r="F5" s="32"/>
      <c r="G5" s="29"/>
      <c r="H5" s="33"/>
      <c r="I5" s="34" t="str">
        <f>IF(B5="","",Names!$G$21)</f>
        <v/>
      </c>
      <c r="J5" s="34" t="str">
        <f>IF(B5="","",Names!$H$21)</f>
        <v/>
      </c>
      <c r="K5" s="38" t="str">
        <f>IFERROR(VLOOKUP(B5,Names!$B$1:$E$253,3,FALSE),"")</f>
        <v/>
      </c>
    </row>
    <row r="6" spans="1:11" x14ac:dyDescent="0.35">
      <c r="A6" s="43"/>
      <c r="B6" s="28"/>
      <c r="C6" s="29" t="str">
        <f>IFERROR(VLOOKUP(B6,Names!$B$1:$E$253,2,FALSE),"")</f>
        <v/>
      </c>
      <c r="D6" s="30" t="str">
        <f>IFERROR(VLOOKUP(B6,Names!$B$1:$E$253,4,FALSE),"")</f>
        <v/>
      </c>
      <c r="E6" s="30"/>
      <c r="F6" s="32"/>
      <c r="G6" s="29"/>
      <c r="H6" s="33"/>
      <c r="I6" s="34" t="str">
        <f>IF(B6="","",Names!$G$21)</f>
        <v/>
      </c>
      <c r="J6" s="34" t="str">
        <f>IF(B6="","",Names!$H$21)</f>
        <v/>
      </c>
      <c r="K6" s="38" t="str">
        <f>IFERROR(VLOOKUP(B6,Names!$B$1:$E$253,3,FALSE),"")</f>
        <v/>
      </c>
    </row>
    <row r="7" spans="1:11" x14ac:dyDescent="0.35">
      <c r="A7" s="43"/>
      <c r="B7" s="28"/>
      <c r="C7" s="29" t="str">
        <f>IFERROR(VLOOKUP(B7,Names!$B$1:$E$253,2,FALSE),"")</f>
        <v/>
      </c>
      <c r="D7" s="30" t="str">
        <f>IFERROR(VLOOKUP(B7,Names!$B$1:$E$253,4,FALSE),"")</f>
        <v/>
      </c>
      <c r="E7" s="30"/>
      <c r="F7" s="32"/>
      <c r="G7" s="29"/>
      <c r="H7" s="33"/>
      <c r="I7" s="34" t="str">
        <f>IF(B7="","",Names!$G$21)</f>
        <v/>
      </c>
      <c r="J7" s="34" t="str">
        <f>IF(B7="","",Names!$H$21)</f>
        <v/>
      </c>
      <c r="K7" s="38" t="str">
        <f>IFERROR(VLOOKUP(B7,Names!$B$1:$E$253,3,FALSE),"")</f>
        <v/>
      </c>
    </row>
    <row r="8" spans="1:11" x14ac:dyDescent="0.35">
      <c r="A8" s="43"/>
      <c r="B8" s="28"/>
      <c r="C8" s="29" t="str">
        <f>IFERROR(VLOOKUP(B8,Names!$B$1:$E$253,2,FALSE),"")</f>
        <v/>
      </c>
      <c r="D8" s="30" t="str">
        <f>IFERROR(VLOOKUP(B8,Names!$B$1:$E$253,4,FALSE),"")</f>
        <v/>
      </c>
      <c r="E8" s="30"/>
      <c r="F8" s="32"/>
      <c r="G8" s="29"/>
      <c r="H8" s="33"/>
      <c r="I8" s="34" t="str">
        <f>IF(B8="","",Names!$G$21)</f>
        <v/>
      </c>
      <c r="J8" s="34" t="str">
        <f>IF(B8="","",Names!$H$21)</f>
        <v/>
      </c>
      <c r="K8" s="38" t="str">
        <f>IFERROR(VLOOKUP(B8,Names!$B$1:$E$253,3,FALSE),"")</f>
        <v/>
      </c>
    </row>
    <row r="9" spans="1:11" x14ac:dyDescent="0.35">
      <c r="A9" s="43"/>
      <c r="B9" s="28"/>
      <c r="C9" s="29" t="str">
        <f>IFERROR(VLOOKUP(B9,Names!$B$1:$E$253,2,FALSE),"")</f>
        <v/>
      </c>
      <c r="D9" s="30" t="str">
        <f>IFERROR(VLOOKUP(B9,Names!$B$1:$E$253,4,FALSE),"")</f>
        <v/>
      </c>
      <c r="E9" s="30"/>
      <c r="F9" s="32"/>
      <c r="G9" s="29"/>
      <c r="H9" s="33"/>
      <c r="I9" s="34" t="str">
        <f>IF(B9="","",Names!$G$21)</f>
        <v/>
      </c>
      <c r="J9" s="34" t="str">
        <f>IF(B9="","",Names!$H$21)</f>
        <v/>
      </c>
      <c r="K9" s="38" t="str">
        <f>IFERROR(VLOOKUP(B9,Names!$B$1:$E$253,3,FALSE),"")</f>
        <v/>
      </c>
    </row>
    <row r="10" spans="1:11" x14ac:dyDescent="0.35">
      <c r="A10" s="43"/>
      <c r="B10" s="28"/>
      <c r="C10" s="29" t="str">
        <f>IFERROR(VLOOKUP(B10,Names!$B$1:$E$253,2,FALSE),"")</f>
        <v/>
      </c>
      <c r="D10" s="30" t="str">
        <f>IFERROR(VLOOKUP(B10,Names!$B$1:$E$253,4,FALSE),"")</f>
        <v/>
      </c>
      <c r="E10" s="31"/>
      <c r="F10" s="32"/>
      <c r="G10" s="29"/>
      <c r="H10" s="33"/>
      <c r="I10" s="34" t="str">
        <f>IF(B10="","",Names!$G$21)</f>
        <v/>
      </c>
      <c r="J10" s="34" t="str">
        <f>IF(B10="","",Names!$H$21)</f>
        <v/>
      </c>
      <c r="K10" s="38" t="str">
        <f>IFERROR(VLOOKUP(B10,Names!$B$1:$E$253,3,FALSE),"")</f>
        <v/>
      </c>
    </row>
    <row r="11" spans="1:11" x14ac:dyDescent="0.35">
      <c r="A11" s="43"/>
      <c r="B11" s="28"/>
      <c r="C11" s="29" t="str">
        <f>IFERROR(VLOOKUP(B11,Names!$B$1:$E$253,2,FALSE),"")</f>
        <v/>
      </c>
      <c r="D11" s="30" t="str">
        <f>IFERROR(VLOOKUP(B11,Names!$B$1:$E$253,4,FALSE),"")</f>
        <v/>
      </c>
      <c r="E11" s="42"/>
      <c r="F11" s="32"/>
      <c r="G11" s="29"/>
      <c r="H11" s="33"/>
      <c r="I11" s="34" t="str">
        <f>IF(B11="","",Names!$G$21)</f>
        <v/>
      </c>
      <c r="J11" s="34" t="str">
        <f>IF(B11="","",Names!$H$21)</f>
        <v/>
      </c>
      <c r="K11" s="38" t="str">
        <f>IFERROR(VLOOKUP(B11,Names!$B$1:$E$253,3,FALSE),"")</f>
        <v/>
      </c>
    </row>
    <row r="12" spans="1:11" x14ac:dyDescent="0.35">
      <c r="A12" s="40"/>
      <c r="B12" s="28"/>
      <c r="C12" s="29" t="str">
        <f>IFERROR(VLOOKUP(B12,Names!$B$1:$E$253,2,FALSE),"")</f>
        <v/>
      </c>
      <c r="D12" s="30" t="str">
        <f>IFERROR(VLOOKUP(B12,Names!$B$1:$E$253,4,FALSE),"")</f>
        <v/>
      </c>
      <c r="E12" s="31"/>
      <c r="F12" s="32"/>
      <c r="G12" s="29"/>
      <c r="H12" s="33"/>
      <c r="I12" s="34" t="str">
        <f>IF(B12="","",Names!$G$21)</f>
        <v/>
      </c>
      <c r="J12" s="34" t="str">
        <f>IF(B12="","",Names!$H$21)</f>
        <v/>
      </c>
      <c r="K12" s="38" t="str">
        <f>IFERROR(VLOOKUP(B12,Names!$B$1:$E$253,3,FALSE),"")</f>
        <v/>
      </c>
    </row>
    <row r="13" spans="1:11" x14ac:dyDescent="0.35">
      <c r="A13" s="40"/>
      <c r="B13" s="28"/>
      <c r="C13" s="29" t="str">
        <f>IFERROR(VLOOKUP(B13,Names!$B$1:$E$253,2,FALSE),"")</f>
        <v/>
      </c>
      <c r="D13" s="30" t="str">
        <f>IFERROR(VLOOKUP(B13,Names!$B$1:$E$253,4,FALSE),"")</f>
        <v/>
      </c>
      <c r="E13" s="31"/>
      <c r="F13" s="32"/>
      <c r="G13" s="29"/>
      <c r="H13" s="33"/>
      <c r="I13" s="34" t="str">
        <f>IF(B13="","",Names!$G$21)</f>
        <v/>
      </c>
      <c r="J13" s="34" t="str">
        <f>IF(B13="","",Names!$H$21)</f>
        <v/>
      </c>
      <c r="K13" s="38" t="str">
        <f>IFERROR(VLOOKUP(B13,Names!$B$1:$E$253,3,FALSE),"")</f>
        <v/>
      </c>
    </row>
    <row r="14" spans="1:11" x14ac:dyDescent="0.35">
      <c r="A14" s="40"/>
      <c r="B14" s="28"/>
      <c r="C14" s="29" t="str">
        <f>IFERROR(VLOOKUP(B14,Names!$B$1:$E$253,2,FALSE),"")</f>
        <v/>
      </c>
      <c r="D14" s="30" t="str">
        <f>IFERROR(VLOOKUP(B14,Names!$B$1:$E$253,4,FALSE),"")</f>
        <v/>
      </c>
      <c r="E14" s="31"/>
      <c r="F14" s="32"/>
      <c r="G14" s="29"/>
      <c r="H14" s="33"/>
      <c r="I14" s="34" t="str">
        <f>IF(B14="","",Names!$G$21)</f>
        <v/>
      </c>
      <c r="J14" s="34" t="str">
        <f>IF(B14="","",Names!$H$21)</f>
        <v/>
      </c>
      <c r="K14" s="38" t="str">
        <f>IFERROR(VLOOKUP(B14,Names!$B$1:$E$253,3,FALSE),"")</f>
        <v/>
      </c>
    </row>
    <row r="15" spans="1:11" x14ac:dyDescent="0.35">
      <c r="A15" s="40"/>
      <c r="B15" s="28"/>
      <c r="C15" s="29" t="str">
        <f>IFERROR(VLOOKUP(B15,Names!$B$1:$E$253,2,FALSE),"")</f>
        <v/>
      </c>
      <c r="D15" s="30" t="str">
        <f>IFERROR(VLOOKUP(B15,Names!$B$1:$E$253,4,FALSE),"")</f>
        <v/>
      </c>
      <c r="E15" s="31"/>
      <c r="F15" s="32"/>
      <c r="G15" s="29"/>
      <c r="H15" s="33"/>
      <c r="I15" s="34" t="str">
        <f>IF(B15="","",Names!$G$21)</f>
        <v/>
      </c>
      <c r="J15" s="34" t="str">
        <f>IF(B15="","",Names!$H$21)</f>
        <v/>
      </c>
      <c r="K15" s="38" t="str">
        <f>IFERROR(VLOOKUP(B15,Names!$B$1:$E$253,3,FALSE),"")</f>
        <v/>
      </c>
    </row>
    <row r="16" spans="1:11" x14ac:dyDescent="0.35">
      <c r="A16" s="40"/>
      <c r="B16" s="28"/>
      <c r="C16" s="29" t="str">
        <f>IFERROR(VLOOKUP(B16,Names!$B$1:$E$253,2,FALSE),"")</f>
        <v/>
      </c>
      <c r="D16" s="30" t="str">
        <f>IFERROR(VLOOKUP(B16,Names!$B$1:$E$253,4,FALSE),"")</f>
        <v/>
      </c>
      <c r="E16" s="31"/>
      <c r="F16" s="32"/>
      <c r="G16" s="29"/>
      <c r="H16" s="33"/>
      <c r="I16" s="34" t="str">
        <f>IF(B16="","",Names!$G$21)</f>
        <v/>
      </c>
      <c r="J16" s="34" t="str">
        <f>IF(B16="","",Names!$H$21)</f>
        <v/>
      </c>
      <c r="K16" s="38" t="str">
        <f>IFERROR(VLOOKUP(B16,Names!$B$1:$E$253,3,FALSE),"")</f>
        <v/>
      </c>
    </row>
    <row r="17" spans="1:11" x14ac:dyDescent="0.35">
      <c r="A17" s="40"/>
      <c r="B17" s="28"/>
      <c r="C17" s="29" t="str">
        <f>IFERROR(VLOOKUP(B17,Names!$B$1:$E$253,2,FALSE),"")</f>
        <v/>
      </c>
      <c r="D17" s="30" t="str">
        <f>IFERROR(VLOOKUP(B17,Names!$B$1:$E$253,4,FALSE),"")</f>
        <v/>
      </c>
      <c r="E17" s="31"/>
      <c r="F17" s="32"/>
      <c r="G17" s="29"/>
      <c r="H17" s="33"/>
      <c r="I17" s="34" t="str">
        <f>IF(B17="","",Names!$G$21)</f>
        <v/>
      </c>
      <c r="J17" s="34" t="str">
        <f>IF(B17="","",Names!$H$21)</f>
        <v/>
      </c>
      <c r="K17" s="38" t="str">
        <f>IFERROR(VLOOKUP(B17,Names!$B$1:$E$253,3,FALSE),"")</f>
        <v/>
      </c>
    </row>
    <row r="18" spans="1:11" x14ac:dyDescent="0.35">
      <c r="A18" s="40"/>
      <c r="B18" s="28"/>
      <c r="C18" s="29" t="str">
        <f>IFERROR(VLOOKUP(B18,Names!$B$1:$E$253,2,FALSE),"")</f>
        <v/>
      </c>
      <c r="D18" s="30" t="str">
        <f>IFERROR(VLOOKUP(B18,Names!$B$1:$E$253,4,FALSE),"")</f>
        <v/>
      </c>
      <c r="E18" s="31"/>
      <c r="F18" s="32"/>
      <c r="G18" s="29"/>
      <c r="H18" s="33"/>
      <c r="I18" s="34" t="str">
        <f>IF(B18="","",Names!$G$21)</f>
        <v/>
      </c>
      <c r="J18" s="34" t="str">
        <f>IF(B18="","",Names!$H$21)</f>
        <v/>
      </c>
      <c r="K18" s="38" t="str">
        <f>IFERROR(VLOOKUP(B18,Names!$B$1:$E$253,3,FALSE),"")</f>
        <v/>
      </c>
    </row>
    <row r="19" spans="1:11" x14ac:dyDescent="0.35">
      <c r="A19" s="40"/>
      <c r="B19" s="28"/>
      <c r="C19" s="29" t="str">
        <f>IFERROR(VLOOKUP(B19,Names!$B$1:$E$253,2,FALSE),"")</f>
        <v/>
      </c>
      <c r="D19" s="30" t="str">
        <f>IFERROR(VLOOKUP(B19,Names!$B$1:$E$253,4,FALSE),"")</f>
        <v/>
      </c>
      <c r="E19" s="31"/>
      <c r="F19" s="32"/>
      <c r="G19" s="29"/>
      <c r="H19" s="33"/>
      <c r="I19" s="34" t="str">
        <f>IF(B19="","",Names!$G$21)</f>
        <v/>
      </c>
      <c r="J19" s="34" t="str">
        <f>IF(B19="","",Names!$H$21)</f>
        <v/>
      </c>
      <c r="K19" s="38" t="str">
        <f>IFERROR(VLOOKUP(B19,Names!$B$1:$E$253,3,FALSE),"")</f>
        <v/>
      </c>
    </row>
    <row r="20" spans="1:11" x14ac:dyDescent="0.35">
      <c r="A20" s="27"/>
      <c r="B20" s="28"/>
      <c r="C20" s="29" t="str">
        <f>IFERROR(VLOOKUP(B20,Names!$B$1:$E$253,2,FALSE),"")</f>
        <v/>
      </c>
      <c r="D20" s="30" t="str">
        <f>IFERROR(VLOOKUP(B20,Names!$B$1:$E$253,4,FALSE),"")</f>
        <v/>
      </c>
      <c r="E20" s="31"/>
      <c r="F20" s="32"/>
      <c r="G20" s="29"/>
      <c r="H20" s="33"/>
      <c r="I20" s="34" t="str">
        <f>IF(B20="","",Names!$G$21)</f>
        <v/>
      </c>
      <c r="J20" s="34" t="str">
        <f>IF(B20="","",Names!$H$21)</f>
        <v/>
      </c>
      <c r="K20" s="38" t="str">
        <f>IFERROR(VLOOKUP(B20,Names!$B$1:$E$253,3,FALSE),"")</f>
        <v/>
      </c>
    </row>
    <row r="21" spans="1:11" x14ac:dyDescent="0.35">
      <c r="A21" s="27"/>
      <c r="B21" s="28"/>
      <c r="C21" s="29" t="str">
        <f>IFERROR(VLOOKUP(B21,Names!$B$1:$E$253,2,FALSE),"")</f>
        <v/>
      </c>
      <c r="D21" s="30" t="str">
        <f>IFERROR(VLOOKUP(B21,Names!$B$1:$E$253,4,FALSE),"")</f>
        <v/>
      </c>
      <c r="E21" s="31"/>
      <c r="F21" s="32"/>
      <c r="G21" s="29"/>
      <c r="H21" s="33"/>
      <c r="I21" s="34" t="str">
        <f>IF(B21="","",Names!$G$21)</f>
        <v/>
      </c>
      <c r="J21" s="34" t="str">
        <f>IF(B21="","",Names!$H$21)</f>
        <v/>
      </c>
      <c r="K21" s="38" t="str">
        <f>IFERROR(VLOOKUP(B21,Names!$B$1:$E$253,3,FALSE),"")</f>
        <v/>
      </c>
    </row>
    <row r="22" spans="1:11" x14ac:dyDescent="0.35">
      <c r="A22" s="27"/>
      <c r="B22" s="28"/>
      <c r="C22" s="29" t="str">
        <f>IFERROR(VLOOKUP(B22,Names!$B$1:$E$253,2,FALSE),"")</f>
        <v/>
      </c>
      <c r="D22" s="30" t="str">
        <f>IFERROR(VLOOKUP(B22,Names!$B$1:$E$253,4,FALSE),"")</f>
        <v/>
      </c>
      <c r="E22" s="31"/>
      <c r="F22" s="32"/>
      <c r="G22" s="29"/>
      <c r="H22" s="33"/>
      <c r="I22" s="34" t="str">
        <f>IF(B22="","",Names!$G$21)</f>
        <v/>
      </c>
      <c r="J22" s="34" t="str">
        <f>IF(B22="","",Names!$H$21)</f>
        <v/>
      </c>
      <c r="K22" s="38" t="str">
        <f>IFERROR(VLOOKUP(B22,Names!$B$1:$E$253,3,FALSE),"")</f>
        <v/>
      </c>
    </row>
    <row r="23" spans="1:11" x14ac:dyDescent="0.35">
      <c r="A23" s="27"/>
      <c r="B23" s="28"/>
      <c r="C23" s="29" t="str">
        <f>IFERROR(VLOOKUP(B23,Names!$B$1:$E$253,2,FALSE),"")</f>
        <v/>
      </c>
      <c r="D23" s="30" t="str">
        <f>IFERROR(VLOOKUP(B23,Names!$B$1:$E$253,4,FALSE),"")</f>
        <v/>
      </c>
      <c r="E23" s="31"/>
      <c r="F23" s="32"/>
      <c r="G23" s="29"/>
      <c r="H23" s="33"/>
      <c r="I23" s="34" t="str">
        <f>IF(B23="","",Names!$G$21)</f>
        <v/>
      </c>
      <c r="J23" s="34" t="str">
        <f>IF(B23="","",Names!$H$21)</f>
        <v/>
      </c>
      <c r="K23" s="38" t="str">
        <f>IFERROR(VLOOKUP(B23,Names!$B$1:$E$253,3,FALSE),"")</f>
        <v/>
      </c>
    </row>
    <row r="24" spans="1:11" x14ac:dyDescent="0.35">
      <c r="A24" s="27"/>
      <c r="B24" s="28"/>
      <c r="C24" s="29" t="str">
        <f>IFERROR(VLOOKUP(B24,Names!$B$1:$E$253,2,FALSE),"")</f>
        <v/>
      </c>
      <c r="D24" s="30" t="str">
        <f>IFERROR(VLOOKUP(B24,Names!$B$1:$E$253,4,FALSE),"")</f>
        <v/>
      </c>
      <c r="E24" s="31"/>
      <c r="F24" s="32"/>
      <c r="G24" s="29"/>
      <c r="H24" s="33"/>
      <c r="I24" s="34" t="str">
        <f>IF(B24="","",Names!$G$21)</f>
        <v/>
      </c>
      <c r="J24" s="34" t="str">
        <f>IF(B24="","",Names!$H$21)</f>
        <v/>
      </c>
      <c r="K24" s="38" t="str">
        <f>IFERROR(VLOOKUP(B24,Names!$B$1:$E$253,3,FALSE),"")</f>
        <v/>
      </c>
    </row>
    <row r="25" spans="1:11" x14ac:dyDescent="0.35">
      <c r="A25" s="27"/>
      <c r="B25" s="28"/>
      <c r="C25" s="29" t="str">
        <f>IFERROR(VLOOKUP(B25,Names!$B$1:$E$253,2,FALSE),"")</f>
        <v/>
      </c>
      <c r="D25" s="30" t="str">
        <f>IFERROR(VLOOKUP(B25,Names!$B$1:$E$253,4,FALSE),"")</f>
        <v/>
      </c>
      <c r="E25" s="31"/>
      <c r="F25" s="32"/>
      <c r="G25" s="29"/>
      <c r="H25" s="33"/>
      <c r="I25" s="34" t="str">
        <f>IF(B25="","",Names!$G$21)</f>
        <v/>
      </c>
      <c r="J25" s="34" t="str">
        <f>IF(B25="","",Names!$H$21)</f>
        <v/>
      </c>
      <c r="K25" s="38" t="str">
        <f>IFERROR(VLOOKUP(B25,Names!$B$1:$E$253,3,FALSE),"")</f>
        <v/>
      </c>
    </row>
    <row r="26" spans="1:11" x14ac:dyDescent="0.35">
      <c r="A26" s="27"/>
      <c r="B26" s="28"/>
      <c r="C26" s="29" t="str">
        <f>IFERROR(VLOOKUP(B26,Names!$B$1:$E$253,2,FALSE),"")</f>
        <v/>
      </c>
      <c r="D26" s="30" t="str">
        <f>IFERROR(VLOOKUP(B26,Names!$B$1:$E$253,4,FALSE),"")</f>
        <v/>
      </c>
      <c r="E26" s="31"/>
      <c r="F26" s="32"/>
      <c r="G26" s="29"/>
      <c r="H26" s="33"/>
      <c r="I26" s="34" t="str">
        <f>IF(B26="","",Names!$G$21)</f>
        <v/>
      </c>
      <c r="J26" s="34" t="str">
        <f>IF(B26="","",Names!$H$21)</f>
        <v/>
      </c>
      <c r="K26" s="38" t="str">
        <f>IFERROR(VLOOKUP(B26,Names!$B$1:$E$253,3,FALSE),"")</f>
        <v/>
      </c>
    </row>
    <row r="27" spans="1:11" x14ac:dyDescent="0.35">
      <c r="A27" s="27"/>
      <c r="B27" s="28"/>
      <c r="C27" s="29" t="str">
        <f>IFERROR(VLOOKUP(B27,Names!$B$1:$E$253,2,FALSE),"")</f>
        <v/>
      </c>
      <c r="D27" s="30" t="str">
        <f>IFERROR(VLOOKUP(B27,Names!$B$1:$E$253,4,FALSE),"")</f>
        <v/>
      </c>
      <c r="E27" s="31"/>
      <c r="F27" s="32"/>
      <c r="G27" s="29"/>
      <c r="H27" s="33"/>
      <c r="I27" s="34" t="str">
        <f>IF(B27="","",Names!$G$21)</f>
        <v/>
      </c>
      <c r="J27" s="34" t="str">
        <f>IF(B27="","",Names!$H$21)</f>
        <v/>
      </c>
      <c r="K27" s="38" t="str">
        <f>IFERROR(VLOOKUP(B27,Names!$B$1:$E$253,3,FALSE),"")</f>
        <v/>
      </c>
    </row>
    <row r="28" spans="1:11" x14ac:dyDescent="0.35">
      <c r="A28" s="27"/>
      <c r="B28" s="28"/>
      <c r="C28" s="29" t="str">
        <f>IFERROR(VLOOKUP(B28,Names!$B$1:$E$253,2,FALSE),"")</f>
        <v/>
      </c>
      <c r="D28" s="30" t="str">
        <f>IFERROR(VLOOKUP(B28,Names!$B$1:$E$253,4,FALSE),"")</f>
        <v/>
      </c>
      <c r="E28" s="31"/>
      <c r="F28" s="32"/>
      <c r="G28" s="29"/>
      <c r="H28" s="33"/>
      <c r="I28" s="34" t="str">
        <f>IF(B28="","",Names!$G$21)</f>
        <v/>
      </c>
      <c r="J28" s="34" t="str">
        <f>IF(B28="","",Names!$H$21)</f>
        <v/>
      </c>
      <c r="K28" s="38" t="str">
        <f>IFERROR(VLOOKUP(B28,Names!$B$1:$E$253,3,FALSE),"")</f>
        <v/>
      </c>
    </row>
    <row r="29" spans="1:11" x14ac:dyDescent="0.35">
      <c r="A29" s="27"/>
      <c r="B29" s="28"/>
      <c r="C29" s="29" t="str">
        <f>IFERROR(VLOOKUP(B29,Names!$B$1:$E$253,2,FALSE),"")</f>
        <v/>
      </c>
      <c r="D29" s="30" t="str">
        <f>IFERROR(VLOOKUP(B29,Names!$B$1:$E$253,4,FALSE),"")</f>
        <v/>
      </c>
      <c r="E29" s="31"/>
      <c r="F29" s="32"/>
      <c r="G29" s="29"/>
      <c r="H29" s="33"/>
      <c r="I29" s="34" t="str">
        <f>IF(B29="","",Names!$G$21)</f>
        <v/>
      </c>
      <c r="J29" s="34" t="str">
        <f>IF(B29="","",Names!$H$21)</f>
        <v/>
      </c>
      <c r="K29" s="38" t="str">
        <f>IFERROR(VLOOKUP(B29,Names!$B$1:$E$253,3,FALSE),"")</f>
        <v/>
      </c>
    </row>
    <row r="30" spans="1:11" x14ac:dyDescent="0.35">
      <c r="A30" s="27"/>
      <c r="B30" s="28"/>
      <c r="C30" s="29" t="str">
        <f>IFERROR(VLOOKUP(B30,Names!$B$1:$E$253,2,FALSE),"")</f>
        <v/>
      </c>
      <c r="D30" s="30" t="str">
        <f>IFERROR(VLOOKUP(B30,Names!$B$1:$E$253,4,FALSE),"")</f>
        <v/>
      </c>
      <c r="E30" s="31"/>
      <c r="F30" s="32"/>
      <c r="G30" s="29"/>
      <c r="H30" s="33"/>
      <c r="I30" s="34" t="str">
        <f>IF(B30="","",Names!$G$21)</f>
        <v/>
      </c>
      <c r="J30" s="34" t="str">
        <f>IF(B30="","",Names!$H$21)</f>
        <v/>
      </c>
      <c r="K30" s="38" t="str">
        <f>IFERROR(VLOOKUP(B30,Names!$B$1:$E$253,3,FALSE),"")</f>
        <v/>
      </c>
    </row>
    <row r="31" spans="1:11" x14ac:dyDescent="0.35">
      <c r="A31" s="27"/>
      <c r="B31" s="28"/>
      <c r="C31" s="29" t="str">
        <f>IFERROR(VLOOKUP(B31,Names!$B$1:$E$253,2,FALSE),"")</f>
        <v/>
      </c>
      <c r="D31" s="30" t="str">
        <f>IFERROR(VLOOKUP(B31,Names!$B$1:$E$253,4,FALSE),"")</f>
        <v/>
      </c>
      <c r="E31" s="31"/>
      <c r="F31" s="32"/>
      <c r="G31" s="29"/>
      <c r="H31" s="33"/>
      <c r="I31" s="34" t="str">
        <f>IF(B31="","",Names!$G$21)</f>
        <v/>
      </c>
      <c r="J31" s="34" t="str">
        <f>IF(B31="","",Names!$H$21)</f>
        <v/>
      </c>
      <c r="K31" s="38" t="str">
        <f>IFERROR(VLOOKUP(B31,Names!$B$1:$E$253,3,FALSE),"")</f>
        <v/>
      </c>
    </row>
    <row r="32" spans="1:11" x14ac:dyDescent="0.35">
      <c r="A32" s="27"/>
      <c r="B32" s="28"/>
      <c r="C32" s="29" t="str">
        <f>IFERROR(VLOOKUP(B32,Names!$B$1:$E$253,2,FALSE),"")</f>
        <v/>
      </c>
      <c r="D32" s="30" t="str">
        <f>IFERROR(VLOOKUP(B32,Names!$B$1:$E$253,4,FALSE),"")</f>
        <v/>
      </c>
      <c r="E32" s="31"/>
      <c r="F32" s="32"/>
      <c r="G32" s="29"/>
      <c r="H32" s="33"/>
      <c r="I32" s="34" t="str">
        <f>IF(B32="","",Names!$G$21)</f>
        <v/>
      </c>
      <c r="J32" s="34" t="str">
        <f>IF(B32="","",Names!$H$21)</f>
        <v/>
      </c>
      <c r="K32" s="38" t="str">
        <f>IFERROR(VLOOKUP(B32,Names!$B$1:$E$253,3,FALSE),"")</f>
        <v/>
      </c>
    </row>
    <row r="33" spans="1:11" x14ac:dyDescent="0.35">
      <c r="A33" s="27"/>
      <c r="B33" s="28"/>
      <c r="C33" s="29" t="str">
        <f>IFERROR(VLOOKUP(B33,Names!$B$1:$E$253,2,FALSE),"")</f>
        <v/>
      </c>
      <c r="D33" s="30" t="str">
        <f>IFERROR(VLOOKUP(B33,Names!$B$1:$E$253,4,FALSE),"")</f>
        <v/>
      </c>
      <c r="E33" s="31"/>
      <c r="F33" s="32"/>
      <c r="G33" s="29"/>
      <c r="H33" s="33"/>
      <c r="I33" s="34" t="str">
        <f>IF(B33="","",Names!$G$21)</f>
        <v/>
      </c>
      <c r="J33" s="34" t="str">
        <f>IF(B33="","",Names!$H$21)</f>
        <v/>
      </c>
      <c r="K33" s="38" t="str">
        <f>IFERROR(VLOOKUP(B33,Names!$B$1:$E$253,3,FALSE),"")</f>
        <v/>
      </c>
    </row>
    <row r="34" spans="1:11" x14ac:dyDescent="0.35">
      <c r="A34" s="27"/>
      <c r="B34" s="28"/>
      <c r="C34" s="29" t="str">
        <f>IFERROR(VLOOKUP(B34,Names!$B$1:$E$253,2,FALSE),"")</f>
        <v/>
      </c>
      <c r="D34" s="30" t="str">
        <f>IFERROR(VLOOKUP(B34,Names!$B$1:$E$253,4,FALSE),"")</f>
        <v/>
      </c>
      <c r="E34" s="31"/>
      <c r="F34" s="32"/>
      <c r="G34" s="29"/>
      <c r="H34" s="33"/>
      <c r="I34" s="34" t="str">
        <f>IF(B34="","",Names!$G$21)</f>
        <v/>
      </c>
      <c r="J34" s="34" t="str">
        <f>IF(B34="","",Names!$H$21)</f>
        <v/>
      </c>
      <c r="K34" s="38" t="str">
        <f>IFERROR(VLOOKUP(B34,Names!$B$1:$E$253,3,FALSE),"")</f>
        <v/>
      </c>
    </row>
    <row r="35" spans="1:11" x14ac:dyDescent="0.35">
      <c r="A35" s="27"/>
      <c r="B35" s="28"/>
      <c r="C35" s="29" t="str">
        <f>IFERROR(VLOOKUP(B35,Names!$B$1:$E$253,2,FALSE),"")</f>
        <v/>
      </c>
      <c r="D35" s="30" t="str">
        <f>IFERROR(VLOOKUP(B35,Names!$B$1:$E$253,4,FALSE),"")</f>
        <v/>
      </c>
      <c r="E35" s="31"/>
      <c r="F35" s="32"/>
      <c r="G35" s="29"/>
      <c r="H35" s="33"/>
      <c r="I35" s="34" t="str">
        <f>IF(B35="","",Names!$G$21)</f>
        <v/>
      </c>
      <c r="J35" s="34" t="str">
        <f>IF(B35="","",Names!$H$21)</f>
        <v/>
      </c>
      <c r="K35" s="38" t="str">
        <f>IFERROR(VLOOKUP(B35,Names!$B$1:$E$253,3,FALSE),"")</f>
        <v/>
      </c>
    </row>
    <row r="36" spans="1:11" x14ac:dyDescent="0.35">
      <c r="A36" s="27"/>
      <c r="B36" s="28"/>
      <c r="C36" s="29" t="str">
        <f>IFERROR(VLOOKUP(B36,Names!$B$1:$E$253,2,FALSE),"")</f>
        <v/>
      </c>
      <c r="D36" s="30" t="str">
        <f>IFERROR(VLOOKUP(B36,Names!$B$1:$E$253,4,FALSE),"")</f>
        <v/>
      </c>
      <c r="E36" s="31"/>
      <c r="F36" s="32"/>
      <c r="G36" s="29"/>
      <c r="H36" s="33"/>
      <c r="I36" s="34" t="str">
        <f>IF(B36="","",Names!$G$21)</f>
        <v/>
      </c>
      <c r="J36" s="34" t="str">
        <f>IF(B36="","",Names!$H$21)</f>
        <v/>
      </c>
      <c r="K36" s="38" t="str">
        <f>IFERROR(VLOOKUP(B36,Names!$B$1:$E$253,3,FALSE),"")</f>
        <v/>
      </c>
    </row>
    <row r="37" spans="1:11" x14ac:dyDescent="0.35">
      <c r="A37" s="27"/>
      <c r="B37" s="28"/>
      <c r="C37" s="29" t="str">
        <f>IFERROR(VLOOKUP(B37,Names!$B$1:$E$253,2,FALSE),"")</f>
        <v/>
      </c>
      <c r="D37" s="30" t="str">
        <f>IFERROR(VLOOKUP(B37,Names!$B$1:$E$253,4,FALSE),"")</f>
        <v/>
      </c>
      <c r="E37" s="31"/>
      <c r="F37" s="32"/>
      <c r="G37" s="29"/>
      <c r="H37" s="33"/>
      <c r="I37" s="34" t="str">
        <f>IF(B37="","",Names!$G$21)</f>
        <v/>
      </c>
      <c r="J37" s="34" t="str">
        <f>IF(B37="","",Names!$H$21)</f>
        <v/>
      </c>
      <c r="K37" s="38" t="str">
        <f>IFERROR(VLOOKUP(B37,Names!$B$1:$E$253,3,FALSE),"")</f>
        <v/>
      </c>
    </row>
    <row r="38" spans="1:11" x14ac:dyDescent="0.35">
      <c r="A38" s="27"/>
      <c r="B38" s="28"/>
      <c r="C38" s="29" t="str">
        <f>IFERROR(VLOOKUP(B38,Names!$B$1:$E$253,2,FALSE),"")</f>
        <v/>
      </c>
      <c r="D38" s="30" t="str">
        <f>IFERROR(VLOOKUP(B38,Names!$B$1:$E$253,4,FALSE),"")</f>
        <v/>
      </c>
      <c r="E38" s="31"/>
      <c r="F38" s="32"/>
      <c r="G38" s="29"/>
      <c r="H38" s="33"/>
      <c r="I38" s="34" t="str">
        <f>IF(B38="","",Names!$G$21)</f>
        <v/>
      </c>
      <c r="J38" s="34" t="str">
        <f>IF(B38="","",Names!$H$21)</f>
        <v/>
      </c>
      <c r="K38" s="38" t="str">
        <f>IFERROR(VLOOKUP(B38,Names!$B$1:$E$253,3,FALSE),"")</f>
        <v/>
      </c>
    </row>
    <row r="39" spans="1:11" x14ac:dyDescent="0.35">
      <c r="A39" s="27"/>
      <c r="B39" s="28"/>
      <c r="C39" s="29" t="str">
        <f>IFERROR(VLOOKUP(B39,Names!$B$1:$E$253,2,FALSE),"")</f>
        <v/>
      </c>
      <c r="D39" s="30" t="str">
        <f>IFERROR(VLOOKUP(B39,Names!$B$1:$E$253,4,FALSE),"")</f>
        <v/>
      </c>
      <c r="E39" s="31"/>
      <c r="F39" s="32"/>
      <c r="G39" s="29"/>
      <c r="H39" s="33"/>
      <c r="I39" s="34" t="str">
        <f>IF(B39="","",Names!$G$21)</f>
        <v/>
      </c>
      <c r="J39" s="34" t="str">
        <f>IF(B39="","",Names!$H$21)</f>
        <v/>
      </c>
      <c r="K39" s="38" t="str">
        <f>IFERROR(VLOOKUP(B39,Names!$B$1:$E$253,3,FALSE),"")</f>
        <v/>
      </c>
    </row>
    <row r="40" spans="1:11" x14ac:dyDescent="0.35">
      <c r="A40" s="27"/>
      <c r="B40" s="28"/>
      <c r="C40" s="29" t="str">
        <f>IFERROR(VLOOKUP(B40,Names!$B$1:$E$253,2,FALSE),"")</f>
        <v/>
      </c>
      <c r="D40" s="30" t="str">
        <f>IFERROR(VLOOKUP(B40,Names!$B$1:$E$253,4,FALSE),"")</f>
        <v/>
      </c>
      <c r="E40" s="31"/>
      <c r="F40" s="32"/>
      <c r="G40" s="29"/>
      <c r="H40" s="33"/>
      <c r="I40" s="34" t="str">
        <f>IF(B40="","",Names!$G$21)</f>
        <v/>
      </c>
      <c r="J40" s="34" t="str">
        <f>IF(B40="","",Names!$H$21)</f>
        <v/>
      </c>
      <c r="K40" s="38" t="str">
        <f>IFERROR(VLOOKUP(B40,Names!$B$1:$E$253,3,FALSE),"")</f>
        <v/>
      </c>
    </row>
    <row r="41" spans="1:11" x14ac:dyDescent="0.35">
      <c r="A41" s="27"/>
      <c r="B41" s="28"/>
      <c r="C41" s="29" t="str">
        <f>IFERROR(VLOOKUP(B41,Names!$B$1:$E$253,2,FALSE),"")</f>
        <v/>
      </c>
      <c r="D41" s="30" t="str">
        <f>IFERROR(VLOOKUP(B41,Names!$B$1:$E$253,4,FALSE),"")</f>
        <v/>
      </c>
      <c r="E41" s="31"/>
      <c r="F41" s="32"/>
      <c r="G41" s="29"/>
      <c r="H41" s="33"/>
      <c r="I41" s="34" t="str">
        <f>IF(B41="","",Names!$G$21)</f>
        <v/>
      </c>
      <c r="J41" s="34" t="str">
        <f>IF(B41="","",Names!$H$21)</f>
        <v/>
      </c>
      <c r="K41" s="38" t="str">
        <f>IFERROR(VLOOKUP(B41,Names!$B$1:$E$253,3,FALSE),"")</f>
        <v/>
      </c>
    </row>
    <row r="42" spans="1:11" x14ac:dyDescent="0.35">
      <c r="A42" s="27"/>
      <c r="B42" s="28"/>
      <c r="C42" s="29" t="str">
        <f>IFERROR(VLOOKUP(B42,Names!$B$1:$E$253,2,FALSE),"")</f>
        <v/>
      </c>
      <c r="D42" s="30" t="str">
        <f>IFERROR(VLOOKUP(B42,Names!$B$1:$E$253,4,FALSE),"")</f>
        <v/>
      </c>
      <c r="E42" s="31"/>
      <c r="F42" s="32"/>
      <c r="G42" s="29"/>
      <c r="H42" s="33"/>
      <c r="I42" s="34" t="str">
        <f>IF(B42="","",Names!$G$21)</f>
        <v/>
      </c>
      <c r="J42" s="34" t="str">
        <f>IF(B42="","",Names!$H$21)</f>
        <v/>
      </c>
      <c r="K42" s="38" t="str">
        <f>IFERROR(VLOOKUP(B42,Names!$B$1:$E$253,3,FALSE),"")</f>
        <v/>
      </c>
    </row>
    <row r="43" spans="1:11" x14ac:dyDescent="0.35">
      <c r="A43" s="27"/>
      <c r="B43" s="28"/>
      <c r="C43" s="29" t="str">
        <f>IFERROR(VLOOKUP(B43,Names!$B$1:$E$253,2,FALSE),"")</f>
        <v/>
      </c>
      <c r="D43" s="30" t="str">
        <f>IFERROR(VLOOKUP(B43,Names!$B$1:$E$253,4,FALSE),"")</f>
        <v/>
      </c>
      <c r="E43" s="31"/>
      <c r="F43" s="32"/>
      <c r="G43" s="29"/>
      <c r="H43" s="33"/>
      <c r="I43" s="34" t="str">
        <f>IF(B43="","",Names!$G$21)</f>
        <v/>
      </c>
      <c r="J43" s="34" t="str">
        <f>IF(B43="","",Names!$H$21)</f>
        <v/>
      </c>
      <c r="K43" s="38" t="str">
        <f>IFERROR(VLOOKUP(B43,Names!$B$1:$E$253,3,FALSE),"")</f>
        <v/>
      </c>
    </row>
    <row r="44" spans="1:11" x14ac:dyDescent="0.35">
      <c r="A44" s="27"/>
      <c r="B44" s="28"/>
      <c r="C44" s="29" t="str">
        <f>IFERROR(VLOOKUP(B44,Names!$B$1:$E$253,2,FALSE),"")</f>
        <v/>
      </c>
      <c r="D44" s="30" t="str">
        <f>IFERROR(VLOOKUP(B44,Names!$B$1:$E$253,4,FALSE),"")</f>
        <v/>
      </c>
      <c r="E44" s="31"/>
      <c r="F44" s="32"/>
      <c r="G44" s="29"/>
      <c r="H44" s="33"/>
      <c r="I44" s="34" t="str">
        <f>IF(B44="","",Names!$G$21)</f>
        <v/>
      </c>
      <c r="J44" s="34" t="str">
        <f>IF(B44="","",Names!$H$21)</f>
        <v/>
      </c>
      <c r="K44" s="38" t="str">
        <f>IFERROR(VLOOKUP(B44,Names!$B$1:$E$253,3,FALSE),"")</f>
        <v/>
      </c>
    </row>
    <row r="45" spans="1:11" x14ac:dyDescent="0.35">
      <c r="A45" s="27"/>
      <c r="B45" s="28"/>
      <c r="C45" s="29" t="str">
        <f>IFERROR(VLOOKUP(B45,Names!$B$1:$E$253,2,FALSE),"")</f>
        <v/>
      </c>
      <c r="D45" s="30" t="str">
        <f>IFERROR(VLOOKUP(B45,Names!$B$1:$E$253,4,FALSE),"")</f>
        <v/>
      </c>
      <c r="E45" s="31"/>
      <c r="F45" s="32"/>
      <c r="G45" s="29"/>
      <c r="H45" s="33"/>
      <c r="I45" s="34" t="str">
        <f>IF(B45="","",Names!$G$21)</f>
        <v/>
      </c>
      <c r="J45" s="34" t="str">
        <f>IF(B45="","",Names!$H$21)</f>
        <v/>
      </c>
      <c r="K45" s="38" t="str">
        <f>IFERROR(VLOOKUP(B45,Names!$B$1:$E$253,3,FALSE),"")</f>
        <v/>
      </c>
    </row>
    <row r="46" spans="1:11" x14ac:dyDescent="0.35">
      <c r="A46" s="27"/>
      <c r="B46" s="28"/>
      <c r="C46" s="29" t="str">
        <f>IFERROR(VLOOKUP(B46,Names!$B$1:$E$253,2,FALSE),"")</f>
        <v/>
      </c>
      <c r="D46" s="30" t="str">
        <f>IFERROR(VLOOKUP(B46,Names!$B$1:$E$253,4,FALSE),"")</f>
        <v/>
      </c>
      <c r="E46" s="31"/>
      <c r="F46" s="32"/>
      <c r="G46" s="29"/>
      <c r="H46" s="33"/>
      <c r="I46" s="34" t="str">
        <f>IF(B46="","",Names!$G$21)</f>
        <v/>
      </c>
      <c r="J46" s="34" t="str">
        <f>IF(B46="","",Names!$H$21)</f>
        <v/>
      </c>
      <c r="K46" s="38" t="str">
        <f>IFERROR(VLOOKUP(B46,Names!$B$1:$E$253,3,FALSE),"")</f>
        <v/>
      </c>
    </row>
    <row r="47" spans="1:11" x14ac:dyDescent="0.35">
      <c r="A47" s="27"/>
      <c r="B47" s="28"/>
      <c r="C47" s="29" t="str">
        <f>IFERROR(VLOOKUP(B47,Names!$B$1:$E$253,2,FALSE),"")</f>
        <v/>
      </c>
      <c r="D47" s="30" t="str">
        <f>IFERROR(VLOOKUP(B47,Names!$B$1:$E$253,4,FALSE),"")</f>
        <v/>
      </c>
      <c r="E47" s="31"/>
      <c r="F47" s="32"/>
      <c r="G47" s="29"/>
      <c r="H47" s="33"/>
      <c r="I47" s="34" t="str">
        <f>IF(B47="","",Names!$G$21)</f>
        <v/>
      </c>
      <c r="J47" s="34" t="str">
        <f>IF(B47="","",Names!$H$21)</f>
        <v/>
      </c>
      <c r="K47" s="38" t="str">
        <f>IFERROR(VLOOKUP(B47,Names!$B$1:$E$253,3,FALSE),"")</f>
        <v/>
      </c>
    </row>
    <row r="48" spans="1:11" x14ac:dyDescent="0.35">
      <c r="A48" s="27"/>
      <c r="B48" s="28"/>
      <c r="C48" s="29" t="str">
        <f>IFERROR(VLOOKUP(B48,Names!$B$1:$E$253,2,FALSE),"")</f>
        <v/>
      </c>
      <c r="D48" s="30" t="str">
        <f>IFERROR(VLOOKUP(B48,Names!$B$1:$E$253,4,FALSE),"")</f>
        <v/>
      </c>
      <c r="E48" s="31"/>
      <c r="F48" s="32"/>
      <c r="G48" s="29"/>
      <c r="H48" s="33"/>
      <c r="I48" s="34" t="str">
        <f>IF(B48="","",Names!$G$21)</f>
        <v/>
      </c>
      <c r="J48" s="34" t="str">
        <f>IF(B48="","",Names!$H$21)</f>
        <v/>
      </c>
      <c r="K48" s="38" t="str">
        <f>IFERROR(VLOOKUP(B48,Names!$B$1:$E$253,3,FALSE),"")</f>
        <v/>
      </c>
    </row>
    <row r="49" spans="1:11" x14ac:dyDescent="0.35">
      <c r="A49" s="27"/>
      <c r="B49" s="28"/>
      <c r="C49" s="29" t="str">
        <f>IFERROR(VLOOKUP(B49,Names!$B$1:$E$253,2,FALSE),"")</f>
        <v/>
      </c>
      <c r="D49" s="30" t="str">
        <f>IFERROR(VLOOKUP(B49,Names!$B$1:$E$253,4,FALSE),"")</f>
        <v/>
      </c>
      <c r="E49" s="31"/>
      <c r="F49" s="32"/>
      <c r="G49" s="29"/>
      <c r="H49" s="33"/>
      <c r="I49" s="34" t="str">
        <f>IF(B49="","",Names!$G$21)</f>
        <v/>
      </c>
      <c r="J49" s="34" t="str">
        <f>IF(B49="","",Names!$H$21)</f>
        <v/>
      </c>
      <c r="K49" s="38" t="str">
        <f>IFERROR(VLOOKUP(B49,Names!$B$1:$E$253,3,FALSE),"")</f>
        <v/>
      </c>
    </row>
    <row r="50" spans="1:11" x14ac:dyDescent="0.35">
      <c r="A50" s="27"/>
      <c r="B50" s="28"/>
      <c r="C50" s="29" t="str">
        <f>IFERROR(VLOOKUP(B50,Names!$B$1:$E$253,2,FALSE),"")</f>
        <v/>
      </c>
      <c r="D50" s="30" t="str">
        <f>IFERROR(VLOOKUP(B50,Names!$B$1:$E$253,4,FALSE),"")</f>
        <v/>
      </c>
      <c r="E50" s="31"/>
      <c r="F50" s="32"/>
      <c r="G50" s="29"/>
      <c r="H50" s="33"/>
      <c r="I50" s="34" t="str">
        <f>IF(B50="","",Names!$G$21)</f>
        <v/>
      </c>
      <c r="J50" s="34" t="str">
        <f>IF(B50="","",Names!$H$21)</f>
        <v/>
      </c>
      <c r="K50" s="38" t="str">
        <f>IFERROR(VLOOKUP(B50,Names!$B$1:$E$253,3,FALSE),"")</f>
        <v/>
      </c>
    </row>
    <row r="51" spans="1:11" x14ac:dyDescent="0.35">
      <c r="A51" s="27"/>
      <c r="B51" s="28"/>
      <c r="C51" s="29" t="str">
        <f>IFERROR(VLOOKUP(B51,Names!$B$1:$E$253,2,FALSE),"")</f>
        <v/>
      </c>
      <c r="D51" s="30" t="str">
        <f>IFERROR(VLOOKUP(B51,Names!$B$1:$E$253,4,FALSE),"")</f>
        <v/>
      </c>
      <c r="E51" s="31"/>
      <c r="F51" s="32"/>
      <c r="G51" s="29"/>
      <c r="H51" s="33"/>
      <c r="I51" s="34" t="str">
        <f>IF(B51="","",Names!$G$21)</f>
        <v/>
      </c>
      <c r="J51" s="34" t="str">
        <f>IF(B51="","",Names!$H$21)</f>
        <v/>
      </c>
      <c r="K51" s="38" t="str">
        <f>IFERROR(VLOOKUP(B51,Names!$B$1:$E$253,3,FALSE),"")</f>
        <v/>
      </c>
    </row>
    <row r="52" spans="1:11" x14ac:dyDescent="0.35">
      <c r="A52" s="27"/>
      <c r="B52" s="28"/>
      <c r="C52" s="29" t="str">
        <f>IFERROR(VLOOKUP(B52,Names!$B$1:$E$253,2,FALSE),"")</f>
        <v/>
      </c>
      <c r="D52" s="30" t="str">
        <f>IFERROR(VLOOKUP(B52,Names!$B$1:$E$253,4,FALSE),"")</f>
        <v/>
      </c>
      <c r="E52" s="31"/>
      <c r="F52" s="32"/>
      <c r="G52" s="29"/>
      <c r="H52" s="33"/>
      <c r="I52" s="34" t="str">
        <f>IF(B52="","",Names!$G$21)</f>
        <v/>
      </c>
      <c r="J52" s="34" t="str">
        <f>IF(B52="","",Names!$H$21)</f>
        <v/>
      </c>
      <c r="K52" s="38" t="str">
        <f>IFERROR(VLOOKUP(B52,Names!$B$1:$E$253,3,FALSE),"")</f>
        <v/>
      </c>
    </row>
    <row r="53" spans="1:11" x14ac:dyDescent="0.35">
      <c r="A53" s="27"/>
      <c r="B53" s="28"/>
      <c r="C53" s="29" t="str">
        <f>IFERROR(VLOOKUP(B53,Names!$B$1:$E$253,2,FALSE),"")</f>
        <v/>
      </c>
      <c r="D53" s="30" t="str">
        <f>IFERROR(VLOOKUP(B53,Names!$B$1:$E$253,4,FALSE),"")</f>
        <v/>
      </c>
      <c r="E53" s="31"/>
      <c r="F53" s="32"/>
      <c r="G53" s="29"/>
      <c r="H53" s="33"/>
      <c r="I53" s="34" t="str">
        <f>IF(B53="","",Names!$G$21)</f>
        <v/>
      </c>
      <c r="J53" s="34" t="str">
        <f>IF(B53="","",Names!$H$21)</f>
        <v/>
      </c>
      <c r="K53" s="38" t="str">
        <f>IFERROR(VLOOKUP(B53,Names!$B$1:$E$253,3,FALSE),"")</f>
        <v/>
      </c>
    </row>
    <row r="54" spans="1:11" x14ac:dyDescent="0.35">
      <c r="A54" s="27"/>
      <c r="B54" s="28"/>
      <c r="C54" s="29" t="str">
        <f>IFERROR(VLOOKUP(B54,Names!$B$1:$E$253,2,FALSE),"")</f>
        <v/>
      </c>
      <c r="D54" s="30" t="str">
        <f>IFERROR(VLOOKUP(B54,Names!$B$1:$E$253,4,FALSE),"")</f>
        <v/>
      </c>
      <c r="E54" s="31"/>
      <c r="F54" s="32"/>
      <c r="G54" s="29"/>
      <c r="H54" s="33"/>
      <c r="I54" s="34" t="str">
        <f>IF(B54="","",Names!$G$21)</f>
        <v/>
      </c>
      <c r="J54" s="34" t="str">
        <f>IF(B54="","",Names!$H$21)</f>
        <v/>
      </c>
      <c r="K54" s="38" t="str">
        <f>IFERROR(VLOOKUP(B54,Names!$B$1:$E$253,3,FALSE),"")</f>
        <v/>
      </c>
    </row>
    <row r="55" spans="1:11" x14ac:dyDescent="0.35">
      <c r="A55" s="27"/>
      <c r="B55" s="28"/>
      <c r="C55" s="29" t="str">
        <f>IFERROR(VLOOKUP(B55,Names!$B$1:$E$253,2,FALSE),"")</f>
        <v/>
      </c>
      <c r="D55" s="30" t="str">
        <f>IFERROR(VLOOKUP(B55,Names!$B$1:$E$253,4,FALSE),"")</f>
        <v/>
      </c>
      <c r="E55" s="31"/>
      <c r="F55" s="32"/>
      <c r="G55" s="29"/>
      <c r="H55" s="33"/>
      <c r="I55" s="34" t="str">
        <f>IF(B55="","",Names!$G$21)</f>
        <v/>
      </c>
      <c r="J55" s="34" t="str">
        <f>IF(B55="","",Names!$H$21)</f>
        <v/>
      </c>
      <c r="K55" s="38" t="str">
        <f>IFERROR(VLOOKUP(B55,Names!$B$1:$E$253,3,FALSE),"")</f>
        <v/>
      </c>
    </row>
    <row r="56" spans="1:11" x14ac:dyDescent="0.35">
      <c r="A56" s="27"/>
      <c r="B56" s="28"/>
      <c r="C56" s="29" t="str">
        <f>IFERROR(VLOOKUP(B56,Names!$B$1:$E$253,2,FALSE),"")</f>
        <v/>
      </c>
      <c r="D56" s="30" t="str">
        <f>IFERROR(VLOOKUP(B56,Names!$B$1:$E$253,4,FALSE),"")</f>
        <v/>
      </c>
      <c r="E56" s="31"/>
      <c r="F56" s="32"/>
      <c r="G56" s="29"/>
      <c r="H56" s="33"/>
      <c r="I56" s="34" t="str">
        <f>IF(B56="","",Names!$G$21)</f>
        <v/>
      </c>
      <c r="J56" s="34" t="str">
        <f>IF(B56="","",Names!$H$21)</f>
        <v/>
      </c>
      <c r="K56" s="38" t="str">
        <f>IFERROR(VLOOKUP(B56,Names!$B$1:$E$253,3,FALSE),"")</f>
        <v/>
      </c>
    </row>
    <row r="57" spans="1:11" x14ac:dyDescent="0.35">
      <c r="A57" s="27"/>
      <c r="B57" s="28"/>
      <c r="C57" s="29" t="str">
        <f>IFERROR(VLOOKUP(B57,Names!$B$1:$E$253,2,FALSE),"")</f>
        <v/>
      </c>
      <c r="D57" s="30" t="str">
        <f>IFERROR(VLOOKUP(B57,Names!$B$1:$E$253,4,FALSE),"")</f>
        <v/>
      </c>
      <c r="E57" s="31"/>
      <c r="F57" s="32"/>
      <c r="G57" s="29"/>
      <c r="H57" s="33"/>
      <c r="I57" s="34" t="str">
        <f>IF(B57="","",Names!$G$21)</f>
        <v/>
      </c>
      <c r="J57" s="34" t="str">
        <f>IF(B57="","",Names!$H$21)</f>
        <v/>
      </c>
      <c r="K57" s="38" t="str">
        <f>IFERROR(VLOOKUP(B57,Names!$B$1:$E$253,3,FALSE),"")</f>
        <v/>
      </c>
    </row>
    <row r="58" spans="1:11" x14ac:dyDescent="0.35">
      <c r="A58" s="27"/>
      <c r="B58" s="28"/>
      <c r="C58" s="29" t="str">
        <f>IFERROR(VLOOKUP(B58,Names!$B$1:$E$253,2,FALSE),"")</f>
        <v/>
      </c>
      <c r="D58" s="30" t="str">
        <f>IFERROR(VLOOKUP(B58,Names!$B$1:$E$253,4,FALSE),"")</f>
        <v/>
      </c>
      <c r="E58" s="31"/>
      <c r="F58" s="32"/>
      <c r="G58" s="29"/>
      <c r="H58" s="33"/>
      <c r="I58" s="34" t="str">
        <f>IF(B58="","",Names!$G$21)</f>
        <v/>
      </c>
      <c r="J58" s="34" t="str">
        <f>IF(B58="","",Names!$H$21)</f>
        <v/>
      </c>
      <c r="K58" s="38" t="str">
        <f>IFERROR(VLOOKUP(B58,Names!$B$1:$E$253,3,FALSE),"")</f>
        <v/>
      </c>
    </row>
    <row r="59" spans="1:11" x14ac:dyDescent="0.35">
      <c r="A59" s="27"/>
      <c r="B59" s="28"/>
      <c r="C59" s="29" t="str">
        <f>IFERROR(VLOOKUP(B59,Names!$B$1:$E$253,2,FALSE),"")</f>
        <v/>
      </c>
      <c r="D59" s="30" t="str">
        <f>IFERROR(VLOOKUP(B59,Names!$B$1:$E$253,4,FALSE),"")</f>
        <v/>
      </c>
      <c r="E59" s="31"/>
      <c r="F59" s="32"/>
      <c r="G59" s="29"/>
      <c r="H59" s="33"/>
      <c r="I59" s="34" t="str">
        <f>IF(B59="","",Names!$G$21)</f>
        <v/>
      </c>
      <c r="J59" s="34" t="str">
        <f>IF(B59="","",Names!$H$21)</f>
        <v/>
      </c>
      <c r="K59" s="38" t="str">
        <f>IFERROR(VLOOKUP(B59,Names!$B$1:$E$253,3,FALSE),"")</f>
        <v/>
      </c>
    </row>
    <row r="60" spans="1:11" x14ac:dyDescent="0.35">
      <c r="A60" s="27"/>
      <c r="B60" s="28"/>
      <c r="C60" s="29" t="str">
        <f>IFERROR(VLOOKUP(B60,Names!$B$1:$E$253,2,FALSE),"")</f>
        <v/>
      </c>
      <c r="D60" s="30" t="str">
        <f>IFERROR(VLOOKUP(B60,Names!$B$1:$E$253,4,FALSE),"")</f>
        <v/>
      </c>
      <c r="E60" s="31"/>
      <c r="F60" s="32"/>
      <c r="G60" s="29"/>
      <c r="H60" s="33"/>
      <c r="I60" s="34" t="str">
        <f>IF(B60="","",Names!$G$21)</f>
        <v/>
      </c>
      <c r="J60" s="34" t="str">
        <f>IF(B60="","",Names!$H$21)</f>
        <v/>
      </c>
      <c r="K60" s="38" t="str">
        <f>IFERROR(VLOOKUP(B60,Names!$B$1:$E$253,3,FALSE),"")</f>
        <v/>
      </c>
    </row>
    <row r="61" spans="1:11" x14ac:dyDescent="0.35">
      <c r="A61" s="27"/>
      <c r="B61" s="28"/>
      <c r="C61" s="29" t="str">
        <f>IFERROR(VLOOKUP(B61,Names!$B$1:$E$253,2,FALSE),"")</f>
        <v/>
      </c>
      <c r="D61" s="30" t="str">
        <f>IFERROR(VLOOKUP(B61,Names!$B$1:$E$253,4,FALSE),"")</f>
        <v/>
      </c>
      <c r="E61" s="31"/>
      <c r="F61" s="32"/>
      <c r="G61" s="29"/>
      <c r="H61" s="33"/>
      <c r="I61" s="34" t="str">
        <f>IF(B61="","",Names!$G$21)</f>
        <v/>
      </c>
      <c r="J61" s="34" t="str">
        <f>IF(B61="","",Names!$H$21)</f>
        <v/>
      </c>
      <c r="K61" s="38" t="str">
        <f>IFERROR(VLOOKUP(B61,Names!$B$1:$E$253,3,FALSE),"")</f>
        <v/>
      </c>
    </row>
    <row r="62" spans="1:11" x14ac:dyDescent="0.35">
      <c r="A62" s="27"/>
      <c r="B62" s="28"/>
      <c r="C62" s="29" t="str">
        <f>IFERROR(VLOOKUP(B62,Names!$B$1:$E$253,2,FALSE),"")</f>
        <v/>
      </c>
      <c r="D62" s="30" t="str">
        <f>IFERROR(VLOOKUP(B62,Names!$B$1:$E$253,4,FALSE),"")</f>
        <v/>
      </c>
      <c r="E62" s="31"/>
      <c r="F62" s="32"/>
      <c r="G62" s="29"/>
      <c r="H62" s="33"/>
      <c r="I62" s="34" t="str">
        <f>IF(B62="","",Names!$G$21)</f>
        <v/>
      </c>
      <c r="J62" s="34" t="str">
        <f>IF(B62="","",Names!$H$21)</f>
        <v/>
      </c>
      <c r="K62" s="38" t="str">
        <f>IFERROR(VLOOKUP(B62,Names!$B$1:$E$253,3,FALSE),"")</f>
        <v/>
      </c>
    </row>
    <row r="63" spans="1:11" x14ac:dyDescent="0.35">
      <c r="A63" s="27"/>
      <c r="B63" s="28"/>
      <c r="C63" s="29" t="str">
        <f>IFERROR(VLOOKUP(B63,Names!$B$1:$E$253,2,FALSE),"")</f>
        <v/>
      </c>
      <c r="D63" s="30" t="str">
        <f>IFERROR(VLOOKUP(B63,Names!$B$1:$E$253,4,FALSE),"")</f>
        <v/>
      </c>
      <c r="E63" s="31"/>
      <c r="F63" s="32"/>
      <c r="G63" s="29"/>
      <c r="H63" s="33"/>
      <c r="I63" s="34" t="str">
        <f>IF(B63="","",Names!$G$21)</f>
        <v/>
      </c>
      <c r="J63" s="34" t="str">
        <f>IF(B63="","",Names!$H$21)</f>
        <v/>
      </c>
      <c r="K63" s="38" t="str">
        <f>IFERROR(VLOOKUP(B63,Names!$B$1:$E$253,3,FALSE),"")</f>
        <v/>
      </c>
    </row>
    <row r="64" spans="1:11" x14ac:dyDescent="0.35">
      <c r="A64" s="27"/>
      <c r="B64" s="28"/>
      <c r="C64" s="29" t="str">
        <f>IFERROR(VLOOKUP(B64,Names!$B$1:$E$253,2,FALSE),"")</f>
        <v/>
      </c>
      <c r="D64" s="30" t="str">
        <f>IFERROR(VLOOKUP(B64,Names!$B$1:$E$253,4,FALSE),"")</f>
        <v/>
      </c>
      <c r="E64" s="31"/>
      <c r="F64" s="32"/>
      <c r="G64" s="29"/>
      <c r="H64" s="33"/>
      <c r="I64" s="34" t="str">
        <f>IF(B64="","",Names!$G$21)</f>
        <v/>
      </c>
      <c r="J64" s="34" t="str">
        <f>IF(B64="","",Names!$H$21)</f>
        <v/>
      </c>
      <c r="K64" s="38" t="str">
        <f>IFERROR(VLOOKUP(B64,Names!$B$1:$E$253,3,FALSE),"")</f>
        <v/>
      </c>
    </row>
    <row r="65" spans="1:11" x14ac:dyDescent="0.35">
      <c r="A65" s="27"/>
      <c r="B65" s="28"/>
      <c r="C65" s="29" t="str">
        <f>IFERROR(VLOOKUP(B65,Names!$B$1:$E$253,2,FALSE),"")</f>
        <v/>
      </c>
      <c r="D65" s="30" t="str">
        <f>IFERROR(VLOOKUP(B65,Names!$B$1:$E$253,4,FALSE),"")</f>
        <v/>
      </c>
      <c r="E65" s="31"/>
      <c r="F65" s="32"/>
      <c r="G65" s="29"/>
      <c r="H65" s="33"/>
      <c r="I65" s="34" t="str">
        <f>IF(B65="","",Names!$G$21)</f>
        <v/>
      </c>
      <c r="J65" s="34" t="str">
        <f>IF(B65="","",Names!$H$21)</f>
        <v/>
      </c>
      <c r="K65" s="38" t="str">
        <f>IFERROR(VLOOKUP(B65,Names!$B$1:$E$253,3,FALSE),"")</f>
        <v/>
      </c>
    </row>
    <row r="66" spans="1:11" x14ac:dyDescent="0.35">
      <c r="A66" s="27"/>
      <c r="B66" s="28"/>
      <c r="C66" s="29" t="str">
        <f>IFERROR(VLOOKUP(B66,Names!$B$1:$E$253,2,FALSE),"")</f>
        <v/>
      </c>
      <c r="D66" s="30" t="str">
        <f>IFERROR(VLOOKUP(B66,Names!$B$1:$E$253,4,FALSE),"")</f>
        <v/>
      </c>
      <c r="E66" s="31"/>
      <c r="F66" s="32"/>
      <c r="G66" s="29"/>
      <c r="H66" s="33"/>
      <c r="I66" s="34" t="str">
        <f>IF(B66="","",Names!$G$21)</f>
        <v/>
      </c>
      <c r="J66" s="34" t="str">
        <f>IF(B66="","",Names!$H$21)</f>
        <v/>
      </c>
      <c r="K66" s="38" t="str">
        <f>IFERROR(VLOOKUP(B66,Names!$B$1:$E$253,3,FALSE),"")</f>
        <v/>
      </c>
    </row>
    <row r="67" spans="1:11" x14ac:dyDescent="0.35">
      <c r="A67" s="27"/>
      <c r="B67" s="28"/>
      <c r="C67" s="29" t="str">
        <f>IFERROR(VLOOKUP(B67,Names!$B$1:$E$253,2,FALSE),"")</f>
        <v/>
      </c>
      <c r="D67" s="30" t="str">
        <f>IFERROR(VLOOKUP(B67,Names!$B$1:$E$253,4,FALSE),"")</f>
        <v/>
      </c>
      <c r="E67" s="31"/>
      <c r="F67" s="32"/>
      <c r="G67" s="29"/>
      <c r="H67" s="33"/>
      <c r="I67" s="34" t="str">
        <f>IF(B67="","",Names!$G$21)</f>
        <v/>
      </c>
      <c r="J67" s="34" t="str">
        <f>IF(B67="","",Names!$H$21)</f>
        <v/>
      </c>
      <c r="K67" s="38" t="str">
        <f>IFERROR(VLOOKUP(B67,Names!$B$1:$E$253,3,FALSE),"")</f>
        <v/>
      </c>
    </row>
    <row r="68" spans="1:11" x14ac:dyDescent="0.35">
      <c r="A68" s="27"/>
      <c r="B68" s="28"/>
      <c r="C68" s="29" t="str">
        <f>IFERROR(VLOOKUP(B68,Names!$B$1:$E$253,2,FALSE),"")</f>
        <v/>
      </c>
      <c r="D68" s="30" t="str">
        <f>IFERROR(VLOOKUP(B68,Names!$B$1:$E$253,4,FALSE),"")</f>
        <v/>
      </c>
      <c r="E68" s="31"/>
      <c r="F68" s="32"/>
      <c r="G68" s="29"/>
      <c r="H68" s="33"/>
      <c r="I68" s="34" t="str">
        <f>IF(B68="","",Names!$G$21)</f>
        <v/>
      </c>
      <c r="J68" s="34" t="str">
        <f>IF(B68="","",Names!$H$21)</f>
        <v/>
      </c>
      <c r="K68" s="38" t="str">
        <f>IFERROR(VLOOKUP(B68,Names!$B$1:$E$253,3,FALSE),"")</f>
        <v/>
      </c>
    </row>
    <row r="69" spans="1:11" x14ac:dyDescent="0.35">
      <c r="A69" s="27"/>
      <c r="B69" s="28"/>
      <c r="C69" s="29" t="str">
        <f>IFERROR(VLOOKUP(B69,Names!$B$1:$E$253,2,FALSE),"")</f>
        <v/>
      </c>
      <c r="D69" s="30" t="str">
        <f>IFERROR(VLOOKUP(B69,Names!$B$1:$E$253,4,FALSE),"")</f>
        <v/>
      </c>
      <c r="E69" s="31"/>
      <c r="F69" s="32"/>
      <c r="G69" s="29"/>
      <c r="H69" s="33"/>
      <c r="I69" s="34" t="str">
        <f>IF(B69="","",Names!$G$21)</f>
        <v/>
      </c>
      <c r="J69" s="34" t="str">
        <f>IF(B69="","",Names!$H$21)</f>
        <v/>
      </c>
      <c r="K69" s="38" t="str">
        <f>IFERROR(VLOOKUP(B69,Names!$B$1:$E$253,3,FALSE),"")</f>
        <v/>
      </c>
    </row>
    <row r="70" spans="1:11" x14ac:dyDescent="0.35">
      <c r="A70" s="27"/>
      <c r="B70" s="28"/>
      <c r="C70" s="29" t="str">
        <f>IFERROR(VLOOKUP(B70,Names!$B$1:$E$253,2,FALSE),"")</f>
        <v/>
      </c>
      <c r="D70" s="30" t="str">
        <f>IFERROR(VLOOKUP(B70,Names!$B$1:$E$253,4,FALSE),"")</f>
        <v/>
      </c>
      <c r="E70" s="31"/>
      <c r="F70" s="32"/>
      <c r="G70" s="29"/>
      <c r="H70" s="33"/>
      <c r="I70" s="34" t="str">
        <f>IF(B70="","",Names!$G$21)</f>
        <v/>
      </c>
      <c r="J70" s="34" t="str">
        <f>IF(B70="","",Names!$H$21)</f>
        <v/>
      </c>
      <c r="K70" s="38" t="str">
        <f>IFERROR(VLOOKUP(B70,Names!$B$1:$E$253,3,FALSE),"")</f>
        <v/>
      </c>
    </row>
    <row r="71" spans="1:11" x14ac:dyDescent="0.35">
      <c r="A71" s="27"/>
      <c r="B71" s="28"/>
      <c r="C71" s="29" t="str">
        <f>IFERROR(VLOOKUP(B71,Names!$B$1:$E$253,2,FALSE),"")</f>
        <v/>
      </c>
      <c r="D71" s="30" t="str">
        <f>IFERROR(VLOOKUP(B71,Names!$B$1:$E$253,4,FALSE),"")</f>
        <v/>
      </c>
      <c r="E71" s="31"/>
      <c r="F71" s="32"/>
      <c r="G71" s="29"/>
      <c r="H71" s="33"/>
      <c r="I71" s="34" t="str">
        <f>IF(B71="","",Names!$G$21)</f>
        <v/>
      </c>
      <c r="J71" s="34" t="str">
        <f>IF(B71="","",Names!$H$21)</f>
        <v/>
      </c>
      <c r="K71" s="38" t="str">
        <f>IFERROR(VLOOKUP(B71,Names!$B$1:$E$253,3,FALSE),"")</f>
        <v/>
      </c>
    </row>
    <row r="72" spans="1:11" x14ac:dyDescent="0.35">
      <c r="A72" s="27"/>
      <c r="B72" s="28"/>
      <c r="C72" s="29" t="str">
        <f>IFERROR(VLOOKUP(B72,Names!$B$1:$E$253,2,FALSE),"")</f>
        <v/>
      </c>
      <c r="D72" s="30" t="str">
        <f>IFERROR(VLOOKUP(B72,Names!$B$1:$E$253,4,FALSE),"")</f>
        <v/>
      </c>
      <c r="E72" s="31"/>
      <c r="F72" s="32"/>
      <c r="G72" s="29"/>
      <c r="H72" s="33"/>
      <c r="I72" s="34" t="str">
        <f>IF(B72="","",Names!$G$21)</f>
        <v/>
      </c>
      <c r="J72" s="34" t="str">
        <f>IF(B72="","",Names!$H$21)</f>
        <v/>
      </c>
      <c r="K72" s="38" t="str">
        <f>IFERROR(VLOOKUP(B72,Names!$B$1:$E$253,3,FALSE),"")</f>
        <v/>
      </c>
    </row>
    <row r="73" spans="1:11" x14ac:dyDescent="0.35">
      <c r="A73" s="27"/>
      <c r="B73" s="28"/>
      <c r="C73" s="29" t="str">
        <f>IFERROR(VLOOKUP(B73,Names!$B$1:$E$253,2,FALSE),"")</f>
        <v/>
      </c>
      <c r="D73" s="30" t="str">
        <f>IFERROR(VLOOKUP(B73,Names!$B$1:$E$253,4,FALSE),"")</f>
        <v/>
      </c>
      <c r="E73" s="31"/>
      <c r="F73" s="32"/>
      <c r="G73" s="29"/>
      <c r="H73" s="33"/>
      <c r="I73" s="34" t="str">
        <f>IF(B73="","",Names!$G$21)</f>
        <v/>
      </c>
      <c r="J73" s="34" t="str">
        <f>IF(B73="","",Names!$H$21)</f>
        <v/>
      </c>
      <c r="K73" s="38" t="str">
        <f>IFERROR(VLOOKUP(B73,Names!$B$1:$E$253,3,FALSE),"")</f>
        <v/>
      </c>
    </row>
    <row r="74" spans="1:11" x14ac:dyDescent="0.35">
      <c r="A74" s="27"/>
      <c r="B74" s="28"/>
      <c r="C74" s="29" t="str">
        <f>IFERROR(VLOOKUP(B74,Names!$B$1:$E$253,2,FALSE),"")</f>
        <v/>
      </c>
      <c r="D74" s="30" t="str">
        <f>IFERROR(VLOOKUP(B74,Names!$B$1:$E$253,4,FALSE),"")</f>
        <v/>
      </c>
      <c r="E74" s="31"/>
      <c r="F74" s="32"/>
      <c r="G74" s="29"/>
      <c r="H74" s="33"/>
      <c r="I74" s="34" t="str">
        <f>IF(B74="","",Names!$G$21)</f>
        <v/>
      </c>
      <c r="J74" s="34" t="str">
        <f>IF(B74="","",Names!$H$21)</f>
        <v/>
      </c>
      <c r="K74" s="38" t="str">
        <f>IFERROR(VLOOKUP(B74,Names!$B$1:$E$253,3,FALSE),"")</f>
        <v/>
      </c>
    </row>
    <row r="75" spans="1:11" x14ac:dyDescent="0.35">
      <c r="A75" s="27"/>
      <c r="B75" s="28"/>
      <c r="C75" s="29" t="str">
        <f>IFERROR(VLOOKUP(B75,Names!$B$1:$E$253,2,FALSE),"")</f>
        <v/>
      </c>
      <c r="D75" s="30" t="str">
        <f>IFERROR(VLOOKUP(B75,Names!$B$1:$E$253,4,FALSE),"")</f>
        <v/>
      </c>
      <c r="E75" s="31"/>
      <c r="F75" s="32"/>
      <c r="G75" s="29"/>
      <c r="H75" s="33"/>
      <c r="I75" s="34" t="str">
        <f>IF(B75="","",Names!$G$21)</f>
        <v/>
      </c>
      <c r="J75" s="34" t="str">
        <f>IF(B75="","",Names!$H$21)</f>
        <v/>
      </c>
      <c r="K75" s="38" t="str">
        <f>IFERROR(VLOOKUP(B75,Names!$B$1:$E$253,3,FALSE),"")</f>
        <v/>
      </c>
    </row>
    <row r="76" spans="1:11" x14ac:dyDescent="0.35">
      <c r="A76" s="27"/>
      <c r="B76" s="28"/>
      <c r="C76" s="29" t="str">
        <f>IFERROR(VLOOKUP(B76,Names!$B$1:$E$253,2,FALSE),"")</f>
        <v/>
      </c>
      <c r="D76" s="30" t="str">
        <f>IFERROR(VLOOKUP(B76,Names!$B$1:$E$253,4,FALSE),"")</f>
        <v/>
      </c>
      <c r="E76" s="31"/>
      <c r="F76" s="32"/>
      <c r="G76" s="29"/>
      <c r="H76" s="33"/>
      <c r="I76" s="34" t="str">
        <f>IF(B76="","",Names!$G$21)</f>
        <v/>
      </c>
      <c r="J76" s="34" t="str">
        <f>IF(B76="","",Names!$H$21)</f>
        <v/>
      </c>
      <c r="K76" s="38" t="str">
        <f>IFERROR(VLOOKUP(B76,Names!$B$1:$E$253,3,FALSE),"")</f>
        <v/>
      </c>
    </row>
    <row r="77" spans="1:11" x14ac:dyDescent="0.35">
      <c r="A77" s="27"/>
      <c r="B77" s="28"/>
      <c r="C77" s="29" t="str">
        <f>IFERROR(VLOOKUP(B77,Names!$B$1:$E$253,2,FALSE),"")</f>
        <v/>
      </c>
      <c r="D77" s="30" t="str">
        <f>IFERROR(VLOOKUP(B77,Names!$B$1:$E$253,4,FALSE),"")</f>
        <v/>
      </c>
      <c r="E77" s="31"/>
      <c r="F77" s="32"/>
      <c r="G77" s="29"/>
      <c r="H77" s="33"/>
      <c r="I77" s="34" t="str">
        <f>IF(B77="","",Names!$G$21)</f>
        <v/>
      </c>
      <c r="J77" s="34" t="str">
        <f>IF(B77="","",Names!$H$21)</f>
        <v/>
      </c>
      <c r="K77" s="38" t="str">
        <f>IFERROR(VLOOKUP(B77,Names!$B$1:$E$253,3,FALSE),"")</f>
        <v/>
      </c>
    </row>
    <row r="78" spans="1:11" x14ac:dyDescent="0.35">
      <c r="A78" s="27"/>
      <c r="B78" s="28"/>
      <c r="C78" s="29" t="str">
        <f>IFERROR(VLOOKUP(B78,Names!$B$1:$E$253,2,FALSE),"")</f>
        <v/>
      </c>
      <c r="D78" s="30" t="str">
        <f>IFERROR(VLOOKUP(B78,Names!$B$1:$E$253,4,FALSE),"")</f>
        <v/>
      </c>
      <c r="E78" s="31"/>
      <c r="F78" s="32"/>
      <c r="G78" s="29"/>
      <c r="H78" s="33"/>
      <c r="I78" s="34" t="str">
        <f>IF(B78="","",Names!$G$21)</f>
        <v/>
      </c>
      <c r="J78" s="34" t="str">
        <f>IF(B78="","",Names!$H$21)</f>
        <v/>
      </c>
      <c r="K78" s="38" t="str">
        <f>IFERROR(VLOOKUP(B78,Names!$B$1:$E$253,3,FALSE),"")</f>
        <v/>
      </c>
    </row>
    <row r="79" spans="1:11" x14ac:dyDescent="0.35">
      <c r="A79" s="27"/>
      <c r="B79" s="28"/>
      <c r="C79" s="29" t="str">
        <f>IFERROR(VLOOKUP(B79,Names!$B$1:$E$253,2,FALSE),"")</f>
        <v/>
      </c>
      <c r="D79" s="30" t="str">
        <f>IFERROR(VLOOKUP(B79,Names!$B$1:$E$253,4,FALSE),"")</f>
        <v/>
      </c>
      <c r="E79" s="31"/>
      <c r="F79" s="32"/>
      <c r="G79" s="29"/>
      <c r="H79" s="33"/>
      <c r="I79" s="34" t="str">
        <f>IF(B79="","",Names!$G$21)</f>
        <v/>
      </c>
      <c r="J79" s="34" t="str">
        <f>IF(B79="","",Names!$H$21)</f>
        <v/>
      </c>
      <c r="K79" s="38" t="str">
        <f>IFERROR(VLOOKUP(B79,Names!$B$1:$E$253,3,FALSE),"")</f>
        <v/>
      </c>
    </row>
    <row r="80" spans="1:11" x14ac:dyDescent="0.35">
      <c r="A80" s="27"/>
      <c r="B80" s="28"/>
      <c r="C80" s="29" t="str">
        <f>IFERROR(VLOOKUP(B80,Names!$B$1:$E$253,2,FALSE),"")</f>
        <v/>
      </c>
      <c r="D80" s="30" t="str">
        <f>IFERROR(VLOOKUP(B80,Names!$B$1:$E$253,4,FALSE),"")</f>
        <v/>
      </c>
      <c r="E80" s="31"/>
      <c r="F80" s="32"/>
      <c r="G80" s="29"/>
      <c r="H80" s="33"/>
      <c r="I80" s="34" t="str">
        <f>IF(B80="","",Names!$G$21)</f>
        <v/>
      </c>
      <c r="J80" s="34" t="str">
        <f>IF(B80="","",Names!$H$21)</f>
        <v/>
      </c>
      <c r="K80" s="38" t="str">
        <f>IFERROR(VLOOKUP(B80,Names!$B$1:$E$253,3,FALSE),"")</f>
        <v/>
      </c>
    </row>
    <row r="81" spans="1:11" x14ac:dyDescent="0.35">
      <c r="A81" s="27"/>
      <c r="B81" s="28"/>
      <c r="C81" s="29" t="str">
        <f>IFERROR(VLOOKUP(B81,Names!$B$1:$E$253,2,FALSE),"")</f>
        <v/>
      </c>
      <c r="D81" s="30" t="str">
        <f>IFERROR(VLOOKUP(B81,Names!$B$1:$E$253,4,FALSE),"")</f>
        <v/>
      </c>
      <c r="E81" s="31"/>
      <c r="F81" s="32"/>
      <c r="G81" s="29"/>
      <c r="H81" s="33"/>
      <c r="I81" s="34" t="str">
        <f>IF(B81="","",Names!$G$21)</f>
        <v/>
      </c>
      <c r="J81" s="34" t="str">
        <f>IF(B81="","",Names!$H$21)</f>
        <v/>
      </c>
      <c r="K81" s="38" t="str">
        <f>IFERROR(VLOOKUP(B81,Names!$B$1:$E$253,3,FALSE),"")</f>
        <v/>
      </c>
    </row>
    <row r="82" spans="1:11" x14ac:dyDescent="0.35">
      <c r="A82" s="27"/>
      <c r="B82" s="28"/>
      <c r="C82" s="29" t="str">
        <f>IFERROR(VLOOKUP(B82,Names!$B$1:$E$253,2,FALSE),"")</f>
        <v/>
      </c>
      <c r="D82" s="30" t="str">
        <f>IFERROR(VLOOKUP(B82,Names!$B$1:$E$253,4,FALSE),"")</f>
        <v/>
      </c>
      <c r="E82" s="31"/>
      <c r="F82" s="32"/>
      <c r="G82" s="29"/>
      <c r="H82" s="33"/>
      <c r="I82" s="34" t="str">
        <f>IF(B82="","",Names!$G$21)</f>
        <v/>
      </c>
      <c r="J82" s="34" t="str">
        <f>IF(B82="","",Names!$H$21)</f>
        <v/>
      </c>
      <c r="K82" s="38" t="str">
        <f>IFERROR(VLOOKUP(B82,Names!$B$1:$E$253,3,FALSE),"")</f>
        <v/>
      </c>
    </row>
    <row r="83" spans="1:11" x14ac:dyDescent="0.35">
      <c r="A83" s="27"/>
      <c r="B83" s="28"/>
      <c r="C83" s="29" t="str">
        <f>IFERROR(VLOOKUP(B83,Names!$B$1:$E$253,2,FALSE),"")</f>
        <v/>
      </c>
      <c r="D83" s="30" t="str">
        <f>IFERROR(VLOOKUP(B83,Names!$B$1:$E$253,4,FALSE),"")</f>
        <v/>
      </c>
      <c r="E83" s="31"/>
      <c r="F83" s="32"/>
      <c r="G83" s="29"/>
      <c r="H83" s="33"/>
      <c r="I83" s="34" t="str">
        <f>IF(B83="","",Names!$G$21)</f>
        <v/>
      </c>
      <c r="J83" s="34" t="str">
        <f>IF(B83="","",Names!$H$21)</f>
        <v/>
      </c>
      <c r="K83" s="38" t="str">
        <f>IFERROR(VLOOKUP(B83,Names!$B$1:$E$253,3,FALSE),"")</f>
        <v/>
      </c>
    </row>
    <row r="84" spans="1:11" x14ac:dyDescent="0.35">
      <c r="A84" s="27"/>
      <c r="B84" s="28"/>
      <c r="C84" s="29" t="str">
        <f>IFERROR(VLOOKUP(B84,Names!$B$1:$E$253,2,FALSE),"")</f>
        <v/>
      </c>
      <c r="D84" s="30" t="str">
        <f>IFERROR(VLOOKUP(B84,Names!$B$1:$E$253,4,FALSE),"")</f>
        <v/>
      </c>
      <c r="E84" s="31"/>
      <c r="F84" s="32"/>
      <c r="G84" s="29"/>
      <c r="H84" s="33"/>
      <c r="I84" s="34" t="str">
        <f>IF(B84="","",Names!$G$21)</f>
        <v/>
      </c>
      <c r="J84" s="34" t="str">
        <f>IF(B84="","",Names!$H$21)</f>
        <v/>
      </c>
      <c r="K84" s="38" t="str">
        <f>IFERROR(VLOOKUP(B84,Names!$B$1:$E$253,3,FALSE),"")</f>
        <v/>
      </c>
    </row>
    <row r="85" spans="1:11" x14ac:dyDescent="0.35">
      <c r="A85" s="27"/>
      <c r="B85" s="28"/>
      <c r="C85" s="29" t="str">
        <f>IFERROR(VLOOKUP(B85,Names!$B$1:$E$253,2,FALSE),"")</f>
        <v/>
      </c>
      <c r="D85" s="30" t="str">
        <f>IFERROR(VLOOKUP(B85,Names!$B$1:$E$253,4,FALSE),"")</f>
        <v/>
      </c>
      <c r="E85" s="31"/>
      <c r="F85" s="32"/>
      <c r="G85" s="29"/>
      <c r="H85" s="33"/>
      <c r="I85" s="34" t="str">
        <f>IF(B85="","",Names!$G$21)</f>
        <v/>
      </c>
      <c r="J85" s="34" t="str">
        <f>IF(B85="","",Names!$H$21)</f>
        <v/>
      </c>
      <c r="K85" s="38" t="str">
        <f>IFERROR(VLOOKUP(B85,Names!$B$1:$E$253,3,FALSE),"")</f>
        <v/>
      </c>
    </row>
    <row r="86" spans="1:11" x14ac:dyDescent="0.35">
      <c r="A86" s="27"/>
      <c r="B86" s="28"/>
      <c r="C86" s="29" t="str">
        <f>IFERROR(VLOOKUP(B86,Names!$B$1:$E$253,2,FALSE),"")</f>
        <v/>
      </c>
      <c r="D86" s="30" t="str">
        <f>IFERROR(VLOOKUP(B86,Names!$B$1:$E$253,4,FALSE),"")</f>
        <v/>
      </c>
      <c r="E86" s="31"/>
      <c r="F86" s="32"/>
      <c r="G86" s="29"/>
      <c r="H86" s="33"/>
      <c r="I86" s="34" t="str">
        <f>IF(B86="","",Names!$G$21)</f>
        <v/>
      </c>
      <c r="J86" s="34" t="str">
        <f>IF(B86="","",Names!$H$21)</f>
        <v/>
      </c>
      <c r="K86" s="38" t="str">
        <f>IFERROR(VLOOKUP(B86,Names!$B$1:$E$253,3,FALSE),"")</f>
        <v/>
      </c>
    </row>
    <row r="87" spans="1:11" x14ac:dyDescent="0.35">
      <c r="A87" s="27"/>
      <c r="B87" s="28"/>
      <c r="C87" s="29" t="str">
        <f>IFERROR(VLOOKUP(B87,Names!$B$1:$E$253,2,FALSE),"")</f>
        <v/>
      </c>
      <c r="D87" s="30" t="str">
        <f>IFERROR(VLOOKUP(B87,Names!$B$1:$E$253,4,FALSE),"")</f>
        <v/>
      </c>
      <c r="E87" s="31"/>
      <c r="F87" s="32"/>
      <c r="G87" s="29"/>
      <c r="H87" s="33"/>
      <c r="I87" s="34" t="str">
        <f>IF(B87="","",Names!$G$21)</f>
        <v/>
      </c>
      <c r="J87" s="34" t="str">
        <f>IF(B87="","",Names!$H$21)</f>
        <v/>
      </c>
      <c r="K87" s="38" t="str">
        <f>IFERROR(VLOOKUP(B87,Names!$B$1:$E$253,3,FALSE),"")</f>
        <v/>
      </c>
    </row>
    <row r="88" spans="1:11" x14ac:dyDescent="0.35">
      <c r="A88" s="27"/>
      <c r="B88" s="28"/>
      <c r="C88" s="29" t="str">
        <f>IFERROR(VLOOKUP(B88,Names!$B$1:$E$253,2,FALSE),"")</f>
        <v/>
      </c>
      <c r="D88" s="30" t="str">
        <f>IFERROR(VLOOKUP(B88,Names!$B$1:$E$253,4,FALSE),"")</f>
        <v/>
      </c>
      <c r="E88" s="31"/>
      <c r="F88" s="32"/>
      <c r="G88" s="29"/>
      <c r="H88" s="33"/>
      <c r="I88" s="34" t="str">
        <f>IF(B88="","",Names!$G$21)</f>
        <v/>
      </c>
      <c r="J88" s="34" t="str">
        <f>IF(B88="","",Names!$H$21)</f>
        <v/>
      </c>
      <c r="K88" s="38" t="str">
        <f>IFERROR(VLOOKUP(B88,Names!$B$1:$E$253,3,FALSE),"")</f>
        <v/>
      </c>
    </row>
    <row r="89" spans="1:11" x14ac:dyDescent="0.35">
      <c r="A89" s="27"/>
      <c r="B89" s="28"/>
      <c r="C89" s="29" t="str">
        <f>IFERROR(VLOOKUP(B89,Names!$B$1:$E$253,2,FALSE),"")</f>
        <v/>
      </c>
      <c r="D89" s="30" t="str">
        <f>IFERROR(VLOOKUP(B89,Names!$B$1:$E$253,4,FALSE),"")</f>
        <v/>
      </c>
      <c r="E89" s="31"/>
      <c r="F89" s="32"/>
      <c r="G89" s="29"/>
      <c r="H89" s="33"/>
      <c r="I89" s="34" t="str">
        <f>IF(B89="","",Names!$G$21)</f>
        <v/>
      </c>
      <c r="J89" s="34" t="str">
        <f>IF(B89="","",Names!$H$21)</f>
        <v/>
      </c>
      <c r="K89" s="38" t="str">
        <f>IFERROR(VLOOKUP(B89,Names!$B$1:$E$253,3,FALSE),"")</f>
        <v/>
      </c>
    </row>
    <row r="90" spans="1:11" x14ac:dyDescent="0.35">
      <c r="A90" s="27"/>
      <c r="B90" s="28"/>
      <c r="C90" s="29" t="str">
        <f>IFERROR(VLOOKUP(B90,Names!$B$1:$E$253,2,FALSE),"")</f>
        <v/>
      </c>
      <c r="D90" s="30" t="str">
        <f>IFERROR(VLOOKUP(B90,Names!$B$1:$E$253,4,FALSE),"")</f>
        <v/>
      </c>
      <c r="E90" s="31"/>
      <c r="F90" s="32"/>
      <c r="G90" s="29"/>
      <c r="H90" s="33"/>
      <c r="I90" s="34" t="str">
        <f>IF(B90="","",Names!$G$21)</f>
        <v/>
      </c>
      <c r="J90" s="34" t="str">
        <f>IF(B90="","",Names!$H$21)</f>
        <v/>
      </c>
      <c r="K90" s="38" t="str">
        <f>IFERROR(VLOOKUP(B90,Names!$B$1:$E$253,3,FALSE),"")</f>
        <v/>
      </c>
    </row>
    <row r="91" spans="1:11" x14ac:dyDescent="0.35">
      <c r="A91" s="27"/>
      <c r="B91" s="28"/>
      <c r="C91" s="29" t="str">
        <f>IFERROR(VLOOKUP(B91,Names!$B$1:$E$253,2,FALSE),"")</f>
        <v/>
      </c>
      <c r="D91" s="30" t="str">
        <f>IFERROR(VLOOKUP(B91,Names!$B$1:$E$253,4,FALSE),"")</f>
        <v/>
      </c>
      <c r="E91" s="31"/>
      <c r="F91" s="32"/>
      <c r="G91" s="29"/>
      <c r="H91" s="33"/>
      <c r="I91" s="34" t="str">
        <f>IF(B91="","",Names!$G$21)</f>
        <v/>
      </c>
      <c r="J91" s="34" t="str">
        <f>IF(B91="","",Names!$H$21)</f>
        <v/>
      </c>
      <c r="K91" s="38" t="str">
        <f>IFERROR(VLOOKUP(B91,Names!$B$1:$E$253,3,FALSE),"")</f>
        <v/>
      </c>
    </row>
    <row r="92" spans="1:11" x14ac:dyDescent="0.35">
      <c r="A92" s="27"/>
      <c r="B92" s="28"/>
      <c r="C92" s="29" t="str">
        <f>IFERROR(VLOOKUP(B92,Names!$B$1:$E$253,2,FALSE),"")</f>
        <v/>
      </c>
      <c r="D92" s="30" t="str">
        <f>IFERROR(VLOOKUP(B92,Names!$B$1:$E$253,4,FALSE),"")</f>
        <v/>
      </c>
      <c r="E92" s="31"/>
      <c r="F92" s="32"/>
      <c r="G92" s="29"/>
      <c r="H92" s="33"/>
      <c r="I92" s="34" t="str">
        <f>IF(B92="","",Names!$G$21)</f>
        <v/>
      </c>
      <c r="J92" s="34" t="str">
        <f>IF(B92="","",Names!$H$21)</f>
        <v/>
      </c>
      <c r="K92" s="38" t="str">
        <f>IFERROR(VLOOKUP(B92,Names!$B$1:$E$253,3,FALSE),"")</f>
        <v/>
      </c>
    </row>
    <row r="93" spans="1:11" x14ac:dyDescent="0.35">
      <c r="A93" s="27"/>
      <c r="B93" s="28"/>
      <c r="C93" s="29" t="str">
        <f>IFERROR(VLOOKUP(B93,Names!$B$1:$E$253,2,FALSE),"")</f>
        <v/>
      </c>
      <c r="D93" s="30" t="str">
        <f>IFERROR(VLOOKUP(B93,Names!$B$1:$E$253,4,FALSE),"")</f>
        <v/>
      </c>
      <c r="E93" s="31"/>
      <c r="F93" s="32"/>
      <c r="G93" s="29"/>
      <c r="H93" s="33"/>
      <c r="I93" s="34" t="str">
        <f>IF(B93="","",Names!$G$21)</f>
        <v/>
      </c>
      <c r="J93" s="34" t="str">
        <f>IF(B93="","",Names!$H$21)</f>
        <v/>
      </c>
      <c r="K93" s="38" t="str">
        <f>IFERROR(VLOOKUP(B93,Names!$B$1:$E$253,3,FALSE),"")</f>
        <v/>
      </c>
    </row>
    <row r="94" spans="1:11" x14ac:dyDescent="0.35">
      <c r="A94" s="23"/>
      <c r="B94" s="39"/>
      <c r="C94" s="29" t="str">
        <f>IFERROR(VLOOKUP(B94,Names!$B$1:$E$253,2,FALSE),"")</f>
        <v/>
      </c>
      <c r="D94" s="30" t="str">
        <f>IFERROR(VLOOKUP(B94,Names!$B$1:$E$253,4,FALSE),"")</f>
        <v/>
      </c>
      <c r="E94" s="18"/>
      <c r="F94" s="25"/>
      <c r="G94" s="29"/>
      <c r="H94" s="17"/>
      <c r="I94" s="34" t="str">
        <f>IF(B94="","",Names!$G$21)</f>
        <v/>
      </c>
      <c r="J94" s="34" t="str">
        <f>IF(B94="","",Names!$H$21)</f>
        <v/>
      </c>
      <c r="K94" s="38" t="str">
        <f>IFERROR(VLOOKUP(B94,Names!$B$1:$E$253,3,FALSE),"")</f>
        <v/>
      </c>
    </row>
    <row r="95" spans="1:11" x14ac:dyDescent="0.35">
      <c r="A95" s="23"/>
      <c r="B95" s="39"/>
      <c r="C95" s="29" t="str">
        <f>IFERROR(VLOOKUP(B95,Names!$B$1:$E$253,2,FALSE),"")</f>
        <v/>
      </c>
      <c r="D95" s="30" t="str">
        <f>IFERROR(VLOOKUP(B95,Names!$B$1:$E$253,4,FALSE),"")</f>
        <v/>
      </c>
      <c r="E95" s="18"/>
      <c r="F95" s="25"/>
      <c r="G95" s="29"/>
      <c r="H95" s="17"/>
      <c r="I95" s="34" t="str">
        <f>IF(B95="","",Names!$G$21)</f>
        <v/>
      </c>
      <c r="J95" s="34" t="str">
        <f>IF(B95="","",Names!$H$21)</f>
        <v/>
      </c>
      <c r="K95" s="38" t="str">
        <f>IFERROR(VLOOKUP(B95,Names!$B$1:$E$253,3,FALSE),"")</f>
        <v/>
      </c>
    </row>
    <row r="96" spans="1:11" x14ac:dyDescent="0.35">
      <c r="A96" s="23"/>
      <c r="B96" s="39"/>
      <c r="C96" s="29" t="str">
        <f>IFERROR(VLOOKUP(B96,Names!$B$1:$E$253,2,FALSE),"")</f>
        <v/>
      </c>
      <c r="D96" s="30" t="str">
        <f>IFERROR(VLOOKUP(B96,Names!$B$1:$E$253,4,FALSE),"")</f>
        <v/>
      </c>
      <c r="E96" s="18"/>
      <c r="F96" s="25"/>
      <c r="G96" s="29"/>
      <c r="H96" s="17"/>
      <c r="I96" s="34" t="str">
        <f>IF(B96="","",Names!$G$21)</f>
        <v/>
      </c>
      <c r="J96" s="34" t="str">
        <f>IF(B96="","",Names!$H$21)</f>
        <v/>
      </c>
      <c r="K96" s="38" t="str">
        <f>IFERROR(VLOOKUP(B96,Names!$B$1:$E$253,3,FALSE),"")</f>
        <v/>
      </c>
    </row>
    <row r="97" spans="1:11" x14ac:dyDescent="0.35">
      <c r="A97" s="23"/>
      <c r="B97" s="39"/>
      <c r="C97" s="29" t="str">
        <f>IFERROR(VLOOKUP(B97,Names!$B$1:$E$253,2,FALSE),"")</f>
        <v/>
      </c>
      <c r="D97" s="30" t="str">
        <f>IFERROR(VLOOKUP(B97,Names!$B$1:$E$253,4,FALSE),"")</f>
        <v/>
      </c>
      <c r="E97" s="18"/>
      <c r="F97" s="25"/>
      <c r="G97" s="29"/>
      <c r="H97" s="17"/>
      <c r="I97" s="34" t="str">
        <f>IF(B97="","",Names!$G$21)</f>
        <v/>
      </c>
      <c r="J97" s="34" t="str">
        <f>IF(B97="","",Names!$H$21)</f>
        <v/>
      </c>
      <c r="K97" s="38" t="str">
        <f>IFERROR(VLOOKUP(B97,Names!$B$1:$E$253,3,FALSE),"")</f>
        <v/>
      </c>
    </row>
    <row r="98" spans="1:11" x14ac:dyDescent="0.35">
      <c r="A98" s="23"/>
      <c r="B98" s="39"/>
      <c r="C98" s="29" t="str">
        <f>IFERROR(VLOOKUP(B98,Names!$B$1:$E$253,2,FALSE),"")</f>
        <v/>
      </c>
      <c r="D98" s="30" t="str">
        <f>IFERROR(VLOOKUP(B98,Names!$B$1:$E$253,4,FALSE),"")</f>
        <v/>
      </c>
      <c r="E98" s="18"/>
      <c r="F98" s="25"/>
      <c r="G98" s="29"/>
      <c r="H98" s="17"/>
      <c r="I98" s="34" t="str">
        <f>IF(B98="","",Names!$G$21)</f>
        <v/>
      </c>
      <c r="J98" s="34" t="str">
        <f>IF(B98="","",Names!$H$21)</f>
        <v/>
      </c>
      <c r="K98" s="38" t="str">
        <f>IFERROR(VLOOKUP(B98,Names!$B$1:$E$253,3,FALSE),"")</f>
        <v/>
      </c>
    </row>
    <row r="99" spans="1:11" x14ac:dyDescent="0.35">
      <c r="A99" s="23"/>
      <c r="B99" s="39"/>
      <c r="C99" s="29" t="str">
        <f>IFERROR(VLOOKUP(B99,Names!$B$1:$E$253,2,FALSE),"")</f>
        <v/>
      </c>
      <c r="D99" s="30" t="str">
        <f>IFERROR(VLOOKUP(B99,Names!$B$1:$E$253,4,FALSE),"")</f>
        <v/>
      </c>
      <c r="E99" s="18"/>
      <c r="F99" s="25"/>
      <c r="G99" s="29"/>
      <c r="H99" s="17"/>
      <c r="I99" s="34" t="str">
        <f>IF(B99="","",Names!$G$21)</f>
        <v/>
      </c>
      <c r="J99" s="34" t="str">
        <f>IF(B99="","",Names!$H$21)</f>
        <v/>
      </c>
      <c r="K99" s="38" t="str">
        <f>IFERROR(VLOOKUP(B99,Names!$B$1:$E$253,3,FALSE),"")</f>
        <v/>
      </c>
    </row>
    <row r="100" spans="1:11" x14ac:dyDescent="0.35">
      <c r="A100" s="23"/>
      <c r="B100" s="39"/>
      <c r="C100" s="29" t="str">
        <f>IFERROR(VLOOKUP(B100,Names!$B$1:$E$253,2,FALSE),"")</f>
        <v/>
      </c>
      <c r="D100" s="30" t="str">
        <f>IFERROR(VLOOKUP(B100,Names!$B$1:$E$253,4,FALSE),"")</f>
        <v/>
      </c>
      <c r="E100" s="18"/>
      <c r="F100" s="25"/>
      <c r="G100" s="29"/>
      <c r="H100" s="17"/>
      <c r="I100" s="34" t="str">
        <f>IF(B100="","",Names!$G$21)</f>
        <v/>
      </c>
      <c r="J100" s="34" t="str">
        <f>IF(B100="","",Names!$H$21)</f>
        <v/>
      </c>
      <c r="K100" s="38" t="str">
        <f>IFERROR(VLOOKUP(B100,Names!$B$1:$E$253,3,FALSE),"")</f>
        <v/>
      </c>
    </row>
    <row r="101" spans="1:11" x14ac:dyDescent="0.35">
      <c r="A101" s="23"/>
      <c r="B101" s="39"/>
      <c r="C101" s="29" t="str">
        <f>IFERROR(VLOOKUP(B101,Names!$B$1:$E$253,2,FALSE),"")</f>
        <v/>
      </c>
      <c r="D101" s="30" t="str">
        <f>IFERROR(VLOOKUP(B101,Names!$B$1:$E$253,4,FALSE),"")</f>
        <v/>
      </c>
      <c r="E101" s="18"/>
      <c r="F101" s="25"/>
      <c r="G101" s="29"/>
      <c r="H101" s="17"/>
      <c r="I101" s="34" t="str">
        <f>IF(B101="","",Names!$G$21)</f>
        <v/>
      </c>
      <c r="J101" s="34" t="str">
        <f>IF(B101="","",Names!$H$21)</f>
        <v/>
      </c>
      <c r="K101" s="38" t="str">
        <f>IFERROR(VLOOKUP(B101,Names!$B$1:$E$253,3,FALSE),"")</f>
        <v/>
      </c>
    </row>
    <row r="102" spans="1:11" x14ac:dyDescent="0.35">
      <c r="A102" s="23"/>
      <c r="B102" s="39"/>
      <c r="C102" s="29" t="str">
        <f>IFERROR(VLOOKUP(B102,Names!$B$1:$E$253,2,FALSE),"")</f>
        <v/>
      </c>
      <c r="D102" s="30" t="str">
        <f>IFERROR(VLOOKUP(B102,Names!$B$1:$E$253,4,FALSE),"")</f>
        <v/>
      </c>
      <c r="E102" s="18"/>
      <c r="F102" s="25"/>
      <c r="G102" s="29"/>
      <c r="H102" s="17"/>
      <c r="I102" s="34" t="str">
        <f>IF(B102="","",Names!$G$21)</f>
        <v/>
      </c>
      <c r="J102" s="34" t="str">
        <f>IF(B102="","",Names!$H$21)</f>
        <v/>
      </c>
      <c r="K102" s="38" t="str">
        <f>IFERROR(VLOOKUP(B102,Names!$B$1:$E$253,3,FALSE),"")</f>
        <v/>
      </c>
    </row>
    <row r="103" spans="1:11" x14ac:dyDescent="0.35">
      <c r="A103" s="23"/>
      <c r="B103" s="39"/>
      <c r="C103" s="29" t="str">
        <f>IFERROR(VLOOKUP(B103,Names!$B$1:$E$253,2,FALSE),"")</f>
        <v/>
      </c>
      <c r="D103" s="30" t="str">
        <f>IFERROR(VLOOKUP(B103,Names!$B$1:$E$253,4,FALSE),"")</f>
        <v/>
      </c>
      <c r="E103" s="18"/>
      <c r="F103" s="25"/>
      <c r="G103" s="29"/>
      <c r="H103" s="17"/>
      <c r="I103" s="34" t="str">
        <f>IF(B103="","",Names!$G$21)</f>
        <v/>
      </c>
      <c r="J103" s="34" t="str">
        <f>IF(B103="","",Names!$H$21)</f>
        <v/>
      </c>
      <c r="K103" s="38" t="str">
        <f>IFERROR(VLOOKUP(B103,Names!$B$1:$E$253,3,FALSE),"")</f>
        <v/>
      </c>
    </row>
    <row r="104" spans="1:11" x14ac:dyDescent="0.35">
      <c r="A104" s="23"/>
      <c r="B104" s="39"/>
      <c r="C104" s="29" t="str">
        <f>IFERROR(VLOOKUP(B104,Names!$B$1:$E$253,2,FALSE),"")</f>
        <v/>
      </c>
      <c r="D104" s="30" t="str">
        <f>IFERROR(VLOOKUP(B104,Names!$B$1:$E$253,4,FALSE),"")</f>
        <v/>
      </c>
      <c r="E104" s="18"/>
      <c r="F104" s="25"/>
      <c r="G104" s="29"/>
      <c r="H104" s="17"/>
      <c r="I104" s="34" t="str">
        <f>IF(B104="","",Names!$G$21)</f>
        <v/>
      </c>
      <c r="J104" s="34" t="str">
        <f>IF(B104="","",Names!$H$21)</f>
        <v/>
      </c>
      <c r="K104" s="38" t="str">
        <f>IFERROR(VLOOKUP(B104,Names!$B$1:$E$253,3,FALSE),"")</f>
        <v/>
      </c>
    </row>
    <row r="105" spans="1:11" x14ac:dyDescent="0.35">
      <c r="A105" s="23"/>
      <c r="B105" s="39"/>
      <c r="C105" s="29" t="str">
        <f>IFERROR(VLOOKUP(B105,Names!$B$1:$E$253,2,FALSE),"")</f>
        <v/>
      </c>
      <c r="D105" s="30" t="str">
        <f>IFERROR(VLOOKUP(B105,Names!$B$1:$E$253,4,FALSE),"")</f>
        <v/>
      </c>
      <c r="E105" s="18"/>
      <c r="F105" s="25"/>
      <c r="G105" s="29"/>
      <c r="H105" s="17"/>
      <c r="I105" s="34" t="str">
        <f>IF(B105="","",Names!$G$21)</f>
        <v/>
      </c>
      <c r="J105" s="34" t="str">
        <f>IF(B105="","",Names!$H$21)</f>
        <v/>
      </c>
      <c r="K105" s="38" t="str">
        <f>IFERROR(VLOOKUP(B105,Names!$B$1:$E$253,3,FALSE),"")</f>
        <v/>
      </c>
    </row>
    <row r="106" spans="1:11" x14ac:dyDescent="0.35">
      <c r="A106" s="23"/>
      <c r="B106" s="39"/>
      <c r="C106" s="29" t="str">
        <f>IFERROR(VLOOKUP(B106,Names!$B$1:$E$253,2,FALSE),"")</f>
        <v/>
      </c>
      <c r="D106" s="30" t="str">
        <f>IFERROR(VLOOKUP(B106,Names!$B$1:$E$253,4,FALSE),"")</f>
        <v/>
      </c>
      <c r="E106" s="18"/>
      <c r="F106" s="25"/>
      <c r="G106" s="29"/>
      <c r="H106" s="17"/>
      <c r="I106" s="34" t="str">
        <f>IF(B106="","",Names!$G$21)</f>
        <v/>
      </c>
      <c r="J106" s="34" t="str">
        <f>IF(B106="","",Names!$H$21)</f>
        <v/>
      </c>
      <c r="K106" s="38" t="str">
        <f>IFERROR(VLOOKUP(B106,Names!$B$1:$E$253,3,FALSE),"")</f>
        <v/>
      </c>
    </row>
    <row r="107" spans="1:11" x14ac:dyDescent="0.35">
      <c r="A107" s="23"/>
      <c r="B107" s="39"/>
      <c r="C107" s="29" t="str">
        <f>IFERROR(VLOOKUP(B107,Names!$B$1:$E$253,2,FALSE),"")</f>
        <v/>
      </c>
      <c r="D107" s="30" t="str">
        <f>IFERROR(VLOOKUP(B107,Names!$B$1:$E$253,4,FALSE),"")</f>
        <v/>
      </c>
      <c r="E107" s="18"/>
      <c r="F107" s="25"/>
      <c r="G107" s="29"/>
      <c r="H107" s="17"/>
      <c r="I107" s="34" t="str">
        <f>IF(B107="","",Names!$G$21)</f>
        <v/>
      </c>
      <c r="J107" s="34" t="str">
        <f>IF(B107="","",Names!$H$21)</f>
        <v/>
      </c>
      <c r="K107" s="38" t="str">
        <f>IFERROR(VLOOKUP(B107,Names!$B$1:$E$253,3,FALSE),"")</f>
        <v/>
      </c>
    </row>
    <row r="108" spans="1:11" x14ac:dyDescent="0.35">
      <c r="A108" s="23"/>
      <c r="B108" s="39"/>
      <c r="C108" s="29" t="str">
        <f>IFERROR(VLOOKUP(B108,Names!$B$1:$E$253,2,FALSE),"")</f>
        <v/>
      </c>
      <c r="D108" s="30" t="str">
        <f>IFERROR(VLOOKUP(B108,Names!$B$1:$E$253,4,FALSE),"")</f>
        <v/>
      </c>
      <c r="E108" s="18"/>
      <c r="F108" s="25"/>
      <c r="G108" s="29"/>
      <c r="H108" s="17"/>
      <c r="I108" s="34" t="str">
        <f>IF(B108="","",Names!$G$21)</f>
        <v/>
      </c>
      <c r="J108" s="34" t="str">
        <f>IF(B108="","",Names!$H$21)</f>
        <v/>
      </c>
      <c r="K108" s="38" t="str">
        <f>IFERROR(VLOOKUP(B108,Names!$B$1:$E$253,3,FALSE),"")</f>
        <v/>
      </c>
    </row>
    <row r="109" spans="1:11" x14ac:dyDescent="0.35">
      <c r="A109" s="23"/>
      <c r="B109" s="39"/>
      <c r="C109" s="29" t="str">
        <f>IFERROR(VLOOKUP(B109,Names!$B$1:$E$253,2,FALSE),"")</f>
        <v/>
      </c>
      <c r="D109" s="30" t="str">
        <f>IFERROR(VLOOKUP(B109,Names!$B$1:$E$253,4,FALSE),"")</f>
        <v/>
      </c>
      <c r="E109" s="18"/>
      <c r="F109" s="25"/>
      <c r="G109" s="29"/>
      <c r="H109" s="17"/>
      <c r="I109" s="34" t="str">
        <f>IF(B109="","",Names!$G$21)</f>
        <v/>
      </c>
      <c r="J109" s="34" t="str">
        <f>IF(B109="","",Names!$H$21)</f>
        <v/>
      </c>
      <c r="K109" s="38" t="str">
        <f>IFERROR(VLOOKUP(B109,Names!$B$1:$E$253,3,FALSE),"")</f>
        <v/>
      </c>
    </row>
    <row r="110" spans="1:11" x14ac:dyDescent="0.35">
      <c r="A110" s="23"/>
      <c r="B110" s="39"/>
      <c r="C110" s="29" t="str">
        <f>IFERROR(VLOOKUP(B110,Names!$B$1:$E$253,2,FALSE),"")</f>
        <v/>
      </c>
      <c r="D110" s="30" t="str">
        <f>IFERROR(VLOOKUP(B110,Names!$B$1:$E$253,4,FALSE),"")</f>
        <v/>
      </c>
      <c r="E110" s="18"/>
      <c r="F110" s="25"/>
      <c r="G110" s="29"/>
      <c r="H110" s="17"/>
      <c r="I110" s="34" t="str">
        <f>IF(B110="","",Names!$G$21)</f>
        <v/>
      </c>
      <c r="J110" s="34" t="str">
        <f>IF(B110="","",Names!$H$21)</f>
        <v/>
      </c>
      <c r="K110" s="38" t="str">
        <f>IFERROR(VLOOKUP(B110,Names!$B$1:$E$253,3,FALSE),"")</f>
        <v/>
      </c>
    </row>
    <row r="111" spans="1:11" x14ac:dyDescent="0.35">
      <c r="A111" s="23"/>
      <c r="B111" s="39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5"/>
      <c r="G111" s="20"/>
      <c r="H111" s="17"/>
      <c r="I111" s="24" t="str">
        <f>IF(B111="","",Names!$G$21)</f>
        <v/>
      </c>
      <c r="J111" s="24" t="str">
        <f>IF(B111="","",Names!$H$21)</f>
        <v/>
      </c>
    </row>
    <row r="112" spans="1:11" x14ac:dyDescent="0.35">
      <c r="A112" s="23"/>
      <c r="B112" s="39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5"/>
      <c r="G112" s="20"/>
      <c r="H112" s="17"/>
      <c r="I112" s="24" t="str">
        <f>IF(B112="","",Names!$G$21)</f>
        <v/>
      </c>
      <c r="J112" s="24" t="str">
        <f>IF(B112="","",Names!$H$21)</f>
        <v/>
      </c>
    </row>
    <row r="113" spans="1:10" x14ac:dyDescent="0.35">
      <c r="A113" s="23"/>
      <c r="B113" s="39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5"/>
      <c r="G113" s="20"/>
      <c r="H113" s="17"/>
      <c r="I113" s="24" t="str">
        <f>IF(B113="","",Names!$G$21)</f>
        <v/>
      </c>
      <c r="J113" s="24" t="str">
        <f>IF(B113="","",Names!$H$21)</f>
        <v/>
      </c>
    </row>
    <row r="114" spans="1:10" x14ac:dyDescent="0.35">
      <c r="A114" s="23"/>
      <c r="B114" s="39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5"/>
      <c r="G114" s="20"/>
      <c r="H114" s="17"/>
      <c r="I114" s="24" t="str">
        <f>IF(B114="","",Names!$G$21)</f>
        <v/>
      </c>
      <c r="J114" s="24" t="str">
        <f>IF(B114="","",Names!$H$21)</f>
        <v/>
      </c>
    </row>
    <row r="115" spans="1:10" x14ac:dyDescent="0.35">
      <c r="A115" s="23"/>
      <c r="B115" s="39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5"/>
      <c r="G115" s="20"/>
      <c r="H115" s="17"/>
      <c r="I115" s="24" t="str">
        <f>IF(B115="","",Names!$G$21)</f>
        <v/>
      </c>
      <c r="J115" s="24" t="str">
        <f>IF(B115="","",Names!$H$21)</f>
        <v/>
      </c>
    </row>
    <row r="116" spans="1:10" x14ac:dyDescent="0.35">
      <c r="A116" s="23"/>
      <c r="B116" s="39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5"/>
      <c r="G116" s="20"/>
      <c r="H116" s="17"/>
      <c r="I116" s="24" t="str">
        <f>IF(B116="","",Names!$G$21)</f>
        <v/>
      </c>
      <c r="J116" s="24" t="str">
        <f>IF(B116="","",Names!$H$21)</f>
        <v/>
      </c>
    </row>
    <row r="117" spans="1:10" x14ac:dyDescent="0.35">
      <c r="A117" s="23"/>
      <c r="B117" s="39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5"/>
      <c r="G117" s="20"/>
      <c r="H117" s="17"/>
      <c r="I117" s="24" t="str">
        <f>IF(B117="","",Names!$G$21)</f>
        <v/>
      </c>
      <c r="J117" s="24" t="str">
        <f>IF(B117="","",Names!$H$21)</f>
        <v/>
      </c>
    </row>
    <row r="118" spans="1:10" x14ac:dyDescent="0.35">
      <c r="A118" s="23"/>
      <c r="B118" s="39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5"/>
      <c r="G118" s="20"/>
      <c r="H118" s="17"/>
      <c r="I118" s="24" t="str">
        <f>IF(B118="","",Names!$G$21)</f>
        <v/>
      </c>
      <c r="J118" s="24" t="str">
        <f>IF(B118="","",Names!$H$21)</f>
        <v/>
      </c>
    </row>
    <row r="119" spans="1:10" x14ac:dyDescent="0.35">
      <c r="A119" s="23"/>
      <c r="B119" s="39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5"/>
      <c r="G119" s="20"/>
      <c r="H119" s="17"/>
      <c r="I119" s="24" t="str">
        <f>IF(B119="","",Names!$G$21)</f>
        <v/>
      </c>
      <c r="J119" s="24" t="str">
        <f>IF(B119="","",Names!$H$21)</f>
        <v/>
      </c>
    </row>
    <row r="120" spans="1:10" x14ac:dyDescent="0.35">
      <c r="A120" s="23"/>
      <c r="B120" s="39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5"/>
      <c r="G120" s="20"/>
      <c r="H120" s="17"/>
      <c r="I120" s="24" t="str">
        <f>IF(B120="","",Names!$G$21)</f>
        <v/>
      </c>
      <c r="J120" s="24" t="str">
        <f>IF(B120="","",Names!$H$21)</f>
        <v/>
      </c>
    </row>
    <row r="121" spans="1:10" x14ac:dyDescent="0.35">
      <c r="A121" s="23"/>
      <c r="B121" s="39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5"/>
      <c r="G121" s="20"/>
      <c r="H121" s="17"/>
      <c r="I121" s="24" t="str">
        <f>IF(B121="","",Names!$G$21)</f>
        <v/>
      </c>
      <c r="J121" s="24" t="str">
        <f>IF(B121="","",Names!$H$21)</f>
        <v/>
      </c>
    </row>
    <row r="122" spans="1:10" x14ac:dyDescent="0.35">
      <c r="A122" s="23"/>
      <c r="B122" s="39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5"/>
      <c r="G122" s="20"/>
      <c r="H122" s="17"/>
      <c r="I122" s="24" t="str">
        <f>IF(B122="","",Names!$G$21)</f>
        <v/>
      </c>
      <c r="J122" s="24" t="str">
        <f>IF(B122="","",Names!$H$21)</f>
        <v/>
      </c>
    </row>
    <row r="123" spans="1:10" x14ac:dyDescent="0.35">
      <c r="A123" s="23"/>
      <c r="B123" s="39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5"/>
      <c r="G123" s="20"/>
      <c r="H123" s="17"/>
      <c r="I123" s="24" t="str">
        <f>IF(B123="","",Names!$G$21)</f>
        <v/>
      </c>
      <c r="J123" s="24" t="str">
        <f>IF(B123="","",Names!$H$21)</f>
        <v/>
      </c>
    </row>
    <row r="124" spans="1:10" x14ac:dyDescent="0.35">
      <c r="A124" s="23"/>
      <c r="B124" s="39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5"/>
      <c r="G124" s="20"/>
      <c r="H124" s="17"/>
      <c r="I124" s="24" t="str">
        <f>IF(B124="","",Names!$G$21)</f>
        <v/>
      </c>
      <c r="J124" s="24" t="str">
        <f>IF(B124="","",Names!$H$21)</f>
        <v/>
      </c>
    </row>
    <row r="125" spans="1:10" x14ac:dyDescent="0.35">
      <c r="A125" s="23"/>
      <c r="B125" s="39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5"/>
      <c r="G125" s="20"/>
      <c r="H125" s="17"/>
      <c r="I125" s="24" t="str">
        <f>IF(B125="","",Names!$G$21)</f>
        <v/>
      </c>
      <c r="J125" s="24" t="str">
        <f>IF(B125="","",Names!$H$21)</f>
        <v/>
      </c>
    </row>
    <row r="126" spans="1:10" x14ac:dyDescent="0.35">
      <c r="A126" s="23"/>
      <c r="B126" s="39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5"/>
      <c r="G126" s="20"/>
      <c r="H126" s="17"/>
      <c r="I126" s="24" t="str">
        <f>IF(B126="","",Names!$G$21)</f>
        <v/>
      </c>
      <c r="J126" s="24" t="str">
        <f>IF(B126="","",Names!$H$21)</f>
        <v/>
      </c>
    </row>
    <row r="127" spans="1:10" x14ac:dyDescent="0.35">
      <c r="A127" s="23"/>
      <c r="B127" s="39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5"/>
      <c r="G127" s="20"/>
      <c r="H127" s="17"/>
      <c r="I127" s="24" t="str">
        <f>IF(B127="","",Names!$G$21)</f>
        <v/>
      </c>
      <c r="J127" s="24" t="str">
        <f>IF(B127="","",Names!$H$21)</f>
        <v/>
      </c>
    </row>
    <row r="128" spans="1:10" x14ac:dyDescent="0.35">
      <c r="A128" s="23"/>
      <c r="B128" s="39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5"/>
      <c r="G128" s="20"/>
      <c r="H128" s="17"/>
      <c r="I128" s="24" t="str">
        <f>IF(B128="","",Names!$G$21)</f>
        <v/>
      </c>
      <c r="J128" s="24" t="str">
        <f>IF(B128="","",Names!$H$21)</f>
        <v/>
      </c>
    </row>
    <row r="129" spans="1:10" x14ac:dyDescent="0.35">
      <c r="A129" s="23"/>
      <c r="B129" s="39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5"/>
      <c r="G129" s="20"/>
      <c r="H129" s="17"/>
      <c r="I129" s="24" t="str">
        <f>IF(B129="","",Names!$G$21)</f>
        <v/>
      </c>
      <c r="J129" s="24" t="str">
        <f>IF(B129="","",Names!$H$21)</f>
        <v/>
      </c>
    </row>
    <row r="130" spans="1:10" x14ac:dyDescent="0.35">
      <c r="A130" s="23"/>
      <c r="B130" s="39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5"/>
      <c r="G130" s="20"/>
      <c r="H130" s="17"/>
      <c r="I130" s="24" t="str">
        <f>IF(B130="","",Names!$G$21)</f>
        <v/>
      </c>
      <c r="J130" s="24" t="str">
        <f>IF(B130="","",Names!$H$21)</f>
        <v/>
      </c>
    </row>
    <row r="131" spans="1:10" x14ac:dyDescent="0.35">
      <c r="A131" s="23"/>
      <c r="B131" s="39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5"/>
      <c r="G131" s="20"/>
      <c r="H131" s="17"/>
      <c r="I131" s="24" t="str">
        <f>IF(B131="","",Names!$G$21)</f>
        <v/>
      </c>
      <c r="J131" s="24" t="str">
        <f>IF(B131="","",Names!$H$21)</f>
        <v/>
      </c>
    </row>
    <row r="132" spans="1:10" x14ac:dyDescent="0.35">
      <c r="A132" s="23"/>
      <c r="B132" s="39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5"/>
      <c r="G132" s="20"/>
      <c r="H132" s="17"/>
      <c r="I132" s="24" t="str">
        <f>IF(B132="","",Names!$G$21)</f>
        <v/>
      </c>
      <c r="J132" s="24" t="str">
        <f>IF(B132="","",Names!$H$21)</f>
        <v/>
      </c>
    </row>
    <row r="133" spans="1:10" x14ac:dyDescent="0.35">
      <c r="A133" s="23"/>
      <c r="B133" s="39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5"/>
      <c r="G133" s="20"/>
      <c r="H133" s="17"/>
      <c r="I133" s="24" t="str">
        <f>IF(B133="","",Names!$G$21)</f>
        <v/>
      </c>
      <c r="J133" s="24" t="str">
        <f>IF(B133="","",Names!$H$21)</f>
        <v/>
      </c>
    </row>
    <row r="134" spans="1:10" x14ac:dyDescent="0.35">
      <c r="A134" s="23"/>
      <c r="B134" s="39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5"/>
      <c r="G134" s="20"/>
      <c r="H134" s="17"/>
      <c r="I134" s="24" t="str">
        <f>IF(B134="","",Names!$G$21)</f>
        <v/>
      </c>
      <c r="J134" s="24" t="str">
        <f>IF(B134="","",Names!$H$21)</f>
        <v/>
      </c>
    </row>
    <row r="135" spans="1:10" x14ac:dyDescent="0.35">
      <c r="A135" s="23"/>
      <c r="B135" s="39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5"/>
      <c r="G135" s="20"/>
      <c r="H135" s="17"/>
      <c r="I135" s="24" t="str">
        <f>IF(B135="","",Names!$G$21)</f>
        <v/>
      </c>
      <c r="J135" s="24" t="str">
        <f>IF(B135="","",Names!$H$21)</f>
        <v/>
      </c>
    </row>
    <row r="136" spans="1:10" x14ac:dyDescent="0.35">
      <c r="A136" s="23"/>
      <c r="B136" s="39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5"/>
      <c r="G136" s="20"/>
      <c r="H136" s="17"/>
      <c r="I136" s="24" t="str">
        <f>IF(B136="","",Names!$G$21)</f>
        <v/>
      </c>
      <c r="J136" s="24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  <x14:dataValidation type="list" allowBlank="1" showInputMessage="1" showErrorMessage="1" xr:uid="{55BFFC22-05E2-40B1-AB09-90A4B23CFDFD}">
          <x14:formula1>
            <xm:f>'Work Orders'!$B$2:$B$111</xm:f>
          </x14:formula1>
          <xm:sqref>F4:F159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47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47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47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47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47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47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47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47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47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47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47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47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47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47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47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47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47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47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47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47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47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47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47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47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47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47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47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47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47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47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47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47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47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47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47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47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47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47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47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47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47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47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47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47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47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47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47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47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47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47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47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47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47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47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47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47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47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47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47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47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47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47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47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47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47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47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47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47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47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47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47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47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47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47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47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47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47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47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47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47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47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47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47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47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47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47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47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47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47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47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47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47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47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47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47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47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47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47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47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47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47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47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47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47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47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47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47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47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47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47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47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47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47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47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47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47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47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47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47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47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47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47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47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47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47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47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47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47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47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47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47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47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47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47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47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47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47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47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47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47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47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47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47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47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47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47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47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47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47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47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47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47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47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47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47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47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47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47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47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47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47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47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47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47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47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47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47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47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47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47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47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47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47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47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47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47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47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47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47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47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47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47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47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47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47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47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47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47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47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47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47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47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47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47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47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47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47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47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47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47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47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47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47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47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47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47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47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47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47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47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47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47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47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47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47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47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47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47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47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47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47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47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47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47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47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47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47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47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47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47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47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47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47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47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47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47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47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47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47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47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47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47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47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47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47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47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47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47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47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47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47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47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47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47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47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47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47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47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47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47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47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47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47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47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47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47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47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47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47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47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47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47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47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47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47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47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47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47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47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47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47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47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47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47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47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47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47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47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47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47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47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47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47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47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47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47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47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47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47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47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47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47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47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47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47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47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47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47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47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47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47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47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47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47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47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47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47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47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47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47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47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47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47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47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47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47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47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47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47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47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47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47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47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47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47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47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47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47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M100"/>
  <sheetViews>
    <sheetView topLeftCell="A34" workbookViewId="0">
      <selection activeCell="B60" sqref="B60"/>
    </sheetView>
  </sheetViews>
  <sheetFormatPr defaultRowHeight="14.5" x14ac:dyDescent="0.35"/>
  <cols>
    <col min="1" max="1" width="22.1796875" customWidth="1"/>
    <col min="2" max="2" width="30.1796875" customWidth="1"/>
    <col min="3" max="3" width="17.26953125" style="10" customWidth="1"/>
    <col min="4" max="4" width="20.81640625" bestFit="1" customWidth="1"/>
    <col min="5" max="5" width="20.54296875" style="11" customWidth="1"/>
    <col min="6" max="6" width="12.7265625" style="10" customWidth="1"/>
    <col min="7" max="7" width="20.81640625" bestFit="1" customWidth="1"/>
    <col min="8" max="8" width="13.1796875" bestFit="1" customWidth="1"/>
    <col min="9" max="9" width="17.54296875" customWidth="1"/>
    <col min="10" max="10" width="14.7265625" bestFit="1" customWidth="1"/>
    <col min="11" max="11" width="13.54296875" style="10" bestFit="1" customWidth="1"/>
    <col min="12" max="12" width="11.81640625" bestFit="1" customWidth="1"/>
    <col min="13" max="13" width="24.7265625" customWidth="1"/>
  </cols>
  <sheetData>
    <row r="1" spans="1:13" x14ac:dyDescent="0.35">
      <c r="A1" s="52" t="s">
        <v>49</v>
      </c>
      <c r="B1" s="52" t="s">
        <v>40</v>
      </c>
      <c r="C1" s="53" t="s">
        <v>41</v>
      </c>
      <c r="D1" s="53" t="s">
        <v>18</v>
      </c>
      <c r="E1" s="53" t="s">
        <v>42</v>
      </c>
      <c r="F1"/>
      <c r="G1" s="53" t="s">
        <v>18</v>
      </c>
      <c r="H1" s="53" t="s">
        <v>42</v>
      </c>
      <c r="J1" s="52" t="s">
        <v>49</v>
      </c>
      <c r="K1" s="54" t="s">
        <v>43</v>
      </c>
      <c r="L1" s="54" t="s">
        <v>44</v>
      </c>
      <c r="M1" s="10"/>
    </row>
    <row r="2" spans="1:13" x14ac:dyDescent="0.35">
      <c r="A2" s="46" t="s">
        <v>50</v>
      </c>
      <c r="B2" s="55" t="s">
        <v>122</v>
      </c>
      <c r="C2" s="56">
        <v>90303035</v>
      </c>
      <c r="D2" s="46" t="s">
        <v>47</v>
      </c>
      <c r="E2" s="21"/>
      <c r="F2"/>
      <c r="G2" s="11" t="s">
        <v>114</v>
      </c>
      <c r="H2" s="57"/>
      <c r="J2" t="s">
        <v>91</v>
      </c>
      <c r="K2" s="21">
        <v>4700022986</v>
      </c>
      <c r="L2">
        <v>10</v>
      </c>
      <c r="M2" s="10"/>
    </row>
    <row r="3" spans="1:13" x14ac:dyDescent="0.35">
      <c r="A3" s="46" t="s">
        <v>50</v>
      </c>
      <c r="B3" s="55" t="s">
        <v>123</v>
      </c>
      <c r="C3" s="56">
        <v>90301394</v>
      </c>
      <c r="D3" s="46" t="s">
        <v>124</v>
      </c>
      <c r="E3" s="21"/>
      <c r="F3"/>
      <c r="G3" s="11" t="s">
        <v>97</v>
      </c>
      <c r="H3" s="57"/>
      <c r="J3" t="s">
        <v>50</v>
      </c>
      <c r="K3" s="21">
        <v>4700022697</v>
      </c>
      <c r="L3">
        <v>10</v>
      </c>
      <c r="M3" s="10"/>
    </row>
    <row r="4" spans="1:13" x14ac:dyDescent="0.35">
      <c r="A4" s="46" t="s">
        <v>50</v>
      </c>
      <c r="B4" s="55" t="s">
        <v>125</v>
      </c>
      <c r="C4" s="56">
        <v>90303036</v>
      </c>
      <c r="D4" s="46" t="s">
        <v>124</v>
      </c>
      <c r="E4" s="21"/>
      <c r="F4"/>
      <c r="G4" s="11" t="s">
        <v>98</v>
      </c>
      <c r="H4" s="57"/>
      <c r="J4" t="s">
        <v>126</v>
      </c>
      <c r="K4" s="21">
        <v>4700022696</v>
      </c>
      <c r="L4">
        <v>10</v>
      </c>
      <c r="M4" s="10"/>
    </row>
    <row r="5" spans="1:13" x14ac:dyDescent="0.35">
      <c r="A5" s="46" t="s">
        <v>50</v>
      </c>
      <c r="B5" s="55" t="s">
        <v>127</v>
      </c>
      <c r="C5" s="56">
        <v>90302810</v>
      </c>
      <c r="D5" s="46" t="s">
        <v>128</v>
      </c>
      <c r="E5" s="21"/>
      <c r="F5"/>
      <c r="G5" s="11" t="s">
        <v>94</v>
      </c>
      <c r="H5" s="57"/>
      <c r="J5" t="s">
        <v>85</v>
      </c>
      <c r="K5" s="21">
        <v>4700022985</v>
      </c>
      <c r="L5">
        <v>10</v>
      </c>
      <c r="M5" s="10"/>
    </row>
    <row r="6" spans="1:13" x14ac:dyDescent="0.35">
      <c r="A6" s="46" t="s">
        <v>50</v>
      </c>
      <c r="B6" s="55" t="s">
        <v>129</v>
      </c>
      <c r="C6" s="56">
        <v>90302811</v>
      </c>
      <c r="D6" s="46" t="s">
        <v>128</v>
      </c>
      <c r="E6" s="21"/>
      <c r="F6"/>
      <c r="G6" t="s">
        <v>96</v>
      </c>
      <c r="H6" s="57"/>
      <c r="K6"/>
      <c r="M6" s="10"/>
    </row>
    <row r="7" spans="1:13" x14ac:dyDescent="0.35">
      <c r="A7" s="46" t="s">
        <v>50</v>
      </c>
      <c r="B7" s="55" t="s">
        <v>130</v>
      </c>
      <c r="C7" s="56">
        <v>90301575</v>
      </c>
      <c r="D7" s="46" t="s">
        <v>131</v>
      </c>
      <c r="E7" s="21"/>
      <c r="F7"/>
      <c r="G7" t="s">
        <v>95</v>
      </c>
      <c r="H7" s="57"/>
      <c r="K7" s="57"/>
      <c r="M7" s="10"/>
    </row>
    <row r="8" spans="1:13" x14ac:dyDescent="0.35">
      <c r="A8" s="46" t="s">
        <v>50</v>
      </c>
      <c r="B8" s="55" t="s">
        <v>132</v>
      </c>
      <c r="C8" s="56">
        <v>90302899</v>
      </c>
      <c r="D8" s="46" t="s">
        <v>90</v>
      </c>
      <c r="E8" s="21"/>
      <c r="F8"/>
      <c r="G8" t="s">
        <v>101</v>
      </c>
      <c r="H8" s="57"/>
      <c r="K8" s="57"/>
      <c r="M8" s="10"/>
    </row>
    <row r="9" spans="1:13" x14ac:dyDescent="0.35">
      <c r="A9" s="46" t="s">
        <v>50</v>
      </c>
      <c r="B9" s="55" t="s">
        <v>133</v>
      </c>
      <c r="C9" s="56">
        <v>90303047</v>
      </c>
      <c r="D9" s="46" t="s">
        <v>47</v>
      </c>
      <c r="E9" s="21"/>
      <c r="F9"/>
      <c r="G9" t="s">
        <v>100</v>
      </c>
      <c r="H9" s="57"/>
      <c r="K9" s="57"/>
      <c r="M9" s="10"/>
    </row>
    <row r="10" spans="1:13" x14ac:dyDescent="0.35">
      <c r="A10" s="46" t="s">
        <v>50</v>
      </c>
      <c r="B10" s="55" t="s">
        <v>134</v>
      </c>
      <c r="C10" s="56">
        <v>90302812</v>
      </c>
      <c r="D10" s="46" t="s">
        <v>124</v>
      </c>
      <c r="E10" s="21"/>
      <c r="F10"/>
      <c r="G10" t="s">
        <v>99</v>
      </c>
      <c r="H10" s="57"/>
      <c r="K10" s="57"/>
      <c r="M10" s="10"/>
    </row>
    <row r="11" spans="1:13" x14ac:dyDescent="0.35">
      <c r="A11" s="46" t="s">
        <v>50</v>
      </c>
      <c r="B11" s="55" t="s">
        <v>135</v>
      </c>
      <c r="C11" s="56">
        <v>90303037</v>
      </c>
      <c r="D11" s="46" t="s">
        <v>124</v>
      </c>
      <c r="E11" s="21"/>
      <c r="F11"/>
      <c r="G11" t="s">
        <v>103</v>
      </c>
      <c r="H11" s="57"/>
      <c r="K11"/>
      <c r="M11" s="10"/>
    </row>
    <row r="12" spans="1:13" x14ac:dyDescent="0.35">
      <c r="A12" s="46" t="s">
        <v>50</v>
      </c>
      <c r="B12" s="55"/>
      <c r="C12" s="56"/>
      <c r="D12" s="46" t="s">
        <v>128</v>
      </c>
      <c r="E12" s="21"/>
      <c r="F12"/>
      <c r="G12" t="s">
        <v>104</v>
      </c>
      <c r="H12" s="57"/>
      <c r="K12"/>
      <c r="M12" s="10"/>
    </row>
    <row r="13" spans="1:13" x14ac:dyDescent="0.35">
      <c r="A13" s="46" t="s">
        <v>50</v>
      </c>
      <c r="B13" s="55" t="s">
        <v>136</v>
      </c>
      <c r="C13" s="56">
        <v>90303038</v>
      </c>
      <c r="D13" s="46" t="s">
        <v>128</v>
      </c>
      <c r="E13" s="21"/>
      <c r="F13"/>
      <c r="G13" t="s">
        <v>102</v>
      </c>
      <c r="H13" s="57"/>
      <c r="K13"/>
      <c r="M13" s="10"/>
    </row>
    <row r="14" spans="1:13" x14ac:dyDescent="0.35">
      <c r="A14" s="46" t="s">
        <v>50</v>
      </c>
      <c r="B14" s="55" t="s">
        <v>137</v>
      </c>
      <c r="C14" s="56">
        <v>90300883</v>
      </c>
      <c r="D14" s="46" t="s">
        <v>131</v>
      </c>
      <c r="E14" s="21"/>
      <c r="F14"/>
      <c r="G14" t="s">
        <v>105</v>
      </c>
      <c r="H14" s="57"/>
      <c r="K14"/>
      <c r="M14" s="10"/>
    </row>
    <row r="15" spans="1:13" x14ac:dyDescent="0.35">
      <c r="A15" s="46" t="s">
        <v>50</v>
      </c>
      <c r="B15" s="55" t="s">
        <v>138</v>
      </c>
      <c r="C15" s="56">
        <v>90303039</v>
      </c>
      <c r="D15" s="46" t="s">
        <v>90</v>
      </c>
      <c r="E15" s="21"/>
      <c r="F15"/>
      <c r="G15" t="s">
        <v>106</v>
      </c>
      <c r="H15" s="57"/>
      <c r="K15"/>
      <c r="M15" s="10"/>
    </row>
    <row r="16" spans="1:13" x14ac:dyDescent="0.35">
      <c r="A16" s="46" t="s">
        <v>50</v>
      </c>
      <c r="B16" s="55" t="s">
        <v>93</v>
      </c>
      <c r="C16" s="56">
        <v>90301596</v>
      </c>
      <c r="D16" s="46" t="s">
        <v>124</v>
      </c>
      <c r="E16" s="21"/>
      <c r="F16"/>
      <c r="G16" t="s">
        <v>107</v>
      </c>
      <c r="H16" s="57"/>
      <c r="K16"/>
      <c r="M16" s="10"/>
    </row>
    <row r="17" spans="1:13" x14ac:dyDescent="0.35">
      <c r="A17" s="46" t="s">
        <v>50</v>
      </c>
      <c r="B17" s="55" t="s">
        <v>139</v>
      </c>
      <c r="C17" s="56">
        <v>90302084</v>
      </c>
      <c r="D17" s="46" t="s">
        <v>124</v>
      </c>
      <c r="E17" s="21"/>
      <c r="F17"/>
      <c r="G17" t="s">
        <v>108</v>
      </c>
      <c r="H17" s="57"/>
      <c r="K17"/>
      <c r="M17" s="10"/>
    </row>
    <row r="18" spans="1:13" x14ac:dyDescent="0.35">
      <c r="A18" s="46" t="s">
        <v>50</v>
      </c>
      <c r="B18" s="55" t="s">
        <v>140</v>
      </c>
      <c r="C18" s="56">
        <v>90303040</v>
      </c>
      <c r="D18" s="46" t="s">
        <v>128</v>
      </c>
      <c r="E18" s="21"/>
      <c r="F18"/>
      <c r="G18" t="s">
        <v>110</v>
      </c>
      <c r="H18" s="57"/>
      <c r="K18"/>
      <c r="M18" s="10"/>
    </row>
    <row r="19" spans="1:13" x14ac:dyDescent="0.35">
      <c r="A19" s="46" t="s">
        <v>50</v>
      </c>
      <c r="B19" s="55" t="s">
        <v>141</v>
      </c>
      <c r="C19" s="56">
        <v>90302814</v>
      </c>
      <c r="D19" s="46" t="s">
        <v>124</v>
      </c>
      <c r="E19" s="21"/>
      <c r="F19"/>
      <c r="G19" t="s">
        <v>111</v>
      </c>
      <c r="H19" s="57"/>
      <c r="K19"/>
      <c r="M19" s="10"/>
    </row>
    <row r="20" spans="1:13" x14ac:dyDescent="0.35">
      <c r="A20" s="46" t="s">
        <v>50</v>
      </c>
      <c r="B20" s="55" t="s">
        <v>142</v>
      </c>
      <c r="C20" s="56">
        <v>90303041</v>
      </c>
      <c r="D20" s="46" t="s">
        <v>90</v>
      </c>
      <c r="E20" s="21"/>
      <c r="F20"/>
      <c r="G20" t="s">
        <v>109</v>
      </c>
      <c r="H20" s="57"/>
      <c r="K20"/>
      <c r="M20" s="10"/>
    </row>
    <row r="21" spans="1:13" x14ac:dyDescent="0.35">
      <c r="A21" s="46" t="s">
        <v>50</v>
      </c>
      <c r="B21" s="55" t="s">
        <v>143</v>
      </c>
      <c r="C21" s="56">
        <v>90303042</v>
      </c>
      <c r="D21" s="46" t="s">
        <v>90</v>
      </c>
      <c r="E21" s="21"/>
      <c r="F21"/>
      <c r="G21" s="11"/>
      <c r="H21" s="10"/>
      <c r="K21"/>
      <c r="M21" s="10"/>
    </row>
    <row r="22" spans="1:13" x14ac:dyDescent="0.35">
      <c r="A22" s="46" t="s">
        <v>50</v>
      </c>
      <c r="B22" s="55" t="s">
        <v>112</v>
      </c>
      <c r="C22" s="56">
        <v>90301904</v>
      </c>
      <c r="D22" s="46" t="s">
        <v>124</v>
      </c>
      <c r="E22" s="21"/>
      <c r="F22"/>
      <c r="G22" s="11"/>
      <c r="H22" s="10"/>
      <c r="K22"/>
      <c r="M22" s="10"/>
    </row>
    <row r="23" spans="1:13" x14ac:dyDescent="0.35">
      <c r="A23" s="46" t="s">
        <v>50</v>
      </c>
      <c r="B23" s="55" t="s">
        <v>144</v>
      </c>
      <c r="C23" s="56">
        <v>90303043</v>
      </c>
      <c r="D23" s="46" t="s">
        <v>128</v>
      </c>
      <c r="E23" s="21"/>
      <c r="F23"/>
      <c r="G23" s="11"/>
      <c r="H23" s="10"/>
      <c r="K23"/>
      <c r="M23" s="10"/>
    </row>
    <row r="24" spans="1:13" x14ac:dyDescent="0.35">
      <c r="A24" s="46" t="s">
        <v>50</v>
      </c>
      <c r="B24" s="55" t="s">
        <v>145</v>
      </c>
      <c r="C24" s="56">
        <v>90300831</v>
      </c>
      <c r="D24" s="46" t="s">
        <v>128</v>
      </c>
      <c r="E24" s="21"/>
      <c r="F24"/>
      <c r="G24" s="11"/>
      <c r="H24" s="10"/>
      <c r="K24"/>
      <c r="M24" s="10"/>
    </row>
    <row r="25" spans="1:13" x14ac:dyDescent="0.35">
      <c r="A25" s="46" t="s">
        <v>50</v>
      </c>
      <c r="B25" s="46" t="s">
        <v>146</v>
      </c>
      <c r="C25" s="56">
        <v>90303044</v>
      </c>
      <c r="D25" s="46" t="s">
        <v>124</v>
      </c>
      <c r="E25" s="21"/>
      <c r="F25"/>
      <c r="G25" s="11"/>
      <c r="H25" s="10"/>
      <c r="K25"/>
      <c r="M25" s="10"/>
    </row>
    <row r="26" spans="1:13" x14ac:dyDescent="0.35">
      <c r="A26" s="46" t="s">
        <v>50</v>
      </c>
      <c r="B26" s="55" t="s">
        <v>147</v>
      </c>
      <c r="C26" s="56">
        <v>90302816</v>
      </c>
      <c r="D26" s="46" t="s">
        <v>124</v>
      </c>
      <c r="E26" s="21"/>
      <c r="F26"/>
      <c r="G26" s="11"/>
      <c r="H26" s="10"/>
      <c r="K26"/>
      <c r="M26" s="10"/>
    </row>
    <row r="27" spans="1:13" x14ac:dyDescent="0.35">
      <c r="A27" s="46" t="s">
        <v>50</v>
      </c>
      <c r="B27" s="55" t="s">
        <v>148</v>
      </c>
      <c r="C27" s="56">
        <v>90300877</v>
      </c>
      <c r="D27" s="46" t="s">
        <v>128</v>
      </c>
      <c r="E27" s="21"/>
      <c r="F27"/>
      <c r="G27" s="11"/>
      <c r="H27" s="10"/>
      <c r="K27"/>
      <c r="M27" s="10"/>
    </row>
    <row r="28" spans="1:13" x14ac:dyDescent="0.35">
      <c r="A28" s="46" t="s">
        <v>50</v>
      </c>
      <c r="B28" s="55" t="s">
        <v>149</v>
      </c>
      <c r="C28" s="56">
        <v>90303045</v>
      </c>
      <c r="D28" s="46" t="s">
        <v>128</v>
      </c>
      <c r="E28" s="21"/>
      <c r="F28"/>
      <c r="G28" s="11"/>
      <c r="H28" s="10"/>
      <c r="K28"/>
      <c r="M28" s="10"/>
    </row>
    <row r="29" spans="1:13" x14ac:dyDescent="0.35">
      <c r="A29" s="46" t="s">
        <v>50</v>
      </c>
      <c r="B29" s="55" t="s">
        <v>150</v>
      </c>
      <c r="C29" s="56">
        <v>90300744</v>
      </c>
      <c r="D29" s="46" t="s">
        <v>124</v>
      </c>
      <c r="E29" s="21"/>
      <c r="F29"/>
      <c r="G29" s="11"/>
      <c r="H29" s="10"/>
      <c r="K29"/>
      <c r="M29" s="10"/>
    </row>
    <row r="30" spans="1:13" x14ac:dyDescent="0.35">
      <c r="A30" s="46" t="s">
        <v>85</v>
      </c>
      <c r="B30" s="46" t="s">
        <v>151</v>
      </c>
      <c r="C30" s="56">
        <v>90302878</v>
      </c>
      <c r="D30" s="46" t="s">
        <v>47</v>
      </c>
      <c r="E30" s="21"/>
      <c r="F30"/>
      <c r="G30" s="11"/>
      <c r="H30" s="10"/>
      <c r="K30"/>
      <c r="M30" s="10"/>
    </row>
    <row r="31" spans="1:13" x14ac:dyDescent="0.35">
      <c r="A31" s="46" t="s">
        <v>85</v>
      </c>
      <c r="B31" s="46" t="s">
        <v>152</v>
      </c>
      <c r="C31" s="56">
        <v>90302879</v>
      </c>
      <c r="D31" s="46" t="s">
        <v>124</v>
      </c>
      <c r="E31" s="21"/>
      <c r="F31"/>
      <c r="G31" s="11"/>
      <c r="H31" s="10"/>
      <c r="K31"/>
      <c r="M31" s="10"/>
    </row>
    <row r="32" spans="1:13" x14ac:dyDescent="0.35">
      <c r="A32" s="46" t="s">
        <v>85</v>
      </c>
      <c r="B32" s="46" t="s">
        <v>113</v>
      </c>
      <c r="C32" s="56">
        <v>90302565</v>
      </c>
      <c r="D32" s="46" t="s">
        <v>128</v>
      </c>
      <c r="E32" s="21"/>
      <c r="F32"/>
      <c r="G32" s="11"/>
      <c r="H32" s="10"/>
      <c r="K32"/>
      <c r="M32" s="10"/>
    </row>
    <row r="33" spans="1:13" x14ac:dyDescent="0.35">
      <c r="A33" s="46" t="s">
        <v>85</v>
      </c>
      <c r="B33" s="46" t="s">
        <v>153</v>
      </c>
      <c r="C33" s="56">
        <v>90302880</v>
      </c>
      <c r="D33" s="46" t="s">
        <v>154</v>
      </c>
      <c r="E33" s="21"/>
      <c r="F33"/>
      <c r="G33" s="11"/>
      <c r="H33" s="10"/>
      <c r="K33"/>
      <c r="M33" s="10"/>
    </row>
    <row r="34" spans="1:13" x14ac:dyDescent="0.35">
      <c r="A34" s="46" t="s">
        <v>85</v>
      </c>
      <c r="B34" s="46" t="s">
        <v>155</v>
      </c>
      <c r="C34" s="56">
        <v>90301205</v>
      </c>
      <c r="D34" s="46" t="s">
        <v>131</v>
      </c>
      <c r="E34" s="21"/>
      <c r="F34"/>
      <c r="G34" s="11"/>
      <c r="H34" s="10"/>
      <c r="K34"/>
      <c r="M34" s="10"/>
    </row>
    <row r="35" spans="1:13" x14ac:dyDescent="0.35">
      <c r="A35" s="46" t="s">
        <v>85</v>
      </c>
      <c r="B35" s="46" t="s">
        <v>156</v>
      </c>
      <c r="C35" s="56">
        <v>90302881</v>
      </c>
      <c r="D35" s="46" t="s">
        <v>157</v>
      </c>
      <c r="E35" s="21"/>
      <c r="F35"/>
      <c r="G35" s="11"/>
      <c r="H35" s="10"/>
      <c r="K35"/>
      <c r="M35" s="10"/>
    </row>
    <row r="36" spans="1:13" x14ac:dyDescent="0.35">
      <c r="A36" s="46" t="s">
        <v>85</v>
      </c>
      <c r="B36" s="46" t="s">
        <v>158</v>
      </c>
      <c r="C36" s="56">
        <v>90302882</v>
      </c>
      <c r="D36" s="46" t="s">
        <v>47</v>
      </c>
      <c r="E36" s="21"/>
      <c r="F36"/>
      <c r="G36" s="11"/>
      <c r="H36" s="10"/>
      <c r="K36"/>
      <c r="M36" s="10"/>
    </row>
    <row r="37" spans="1:13" x14ac:dyDescent="0.35">
      <c r="A37" s="46" t="s">
        <v>85</v>
      </c>
      <c r="B37" s="55" t="s">
        <v>159</v>
      </c>
      <c r="C37" s="56">
        <v>90303049</v>
      </c>
      <c r="D37" s="46" t="s">
        <v>124</v>
      </c>
      <c r="E37" s="21"/>
      <c r="F37"/>
      <c r="G37" s="11"/>
      <c r="H37" s="10"/>
      <c r="K37"/>
      <c r="M37" s="10"/>
    </row>
    <row r="38" spans="1:13" x14ac:dyDescent="0.35">
      <c r="A38" s="46" t="s">
        <v>85</v>
      </c>
      <c r="B38" s="46" t="s">
        <v>160</v>
      </c>
      <c r="C38" s="56">
        <v>90302884</v>
      </c>
      <c r="D38" s="46" t="s">
        <v>128</v>
      </c>
      <c r="E38" s="21"/>
      <c r="F38"/>
      <c r="G38" s="11"/>
      <c r="H38" s="10"/>
      <c r="K38"/>
      <c r="M38" s="10"/>
    </row>
    <row r="39" spans="1:13" x14ac:dyDescent="0.35">
      <c r="A39" s="46" t="s">
        <v>85</v>
      </c>
      <c r="B39" s="46" t="s">
        <v>161</v>
      </c>
      <c r="C39" s="56">
        <v>90302885</v>
      </c>
      <c r="D39" s="46" t="s">
        <v>131</v>
      </c>
      <c r="E39" s="21"/>
      <c r="F39"/>
      <c r="G39" s="11"/>
      <c r="H39" s="10"/>
      <c r="K39"/>
      <c r="M39" s="10"/>
    </row>
    <row r="40" spans="1:13" x14ac:dyDescent="0.35">
      <c r="A40" s="46" t="s">
        <v>85</v>
      </c>
      <c r="B40" s="46" t="s">
        <v>162</v>
      </c>
      <c r="C40" s="56">
        <v>90302886</v>
      </c>
      <c r="D40" s="46" t="s">
        <v>154</v>
      </c>
      <c r="E40" s="21"/>
      <c r="F40"/>
      <c r="G40" s="11"/>
      <c r="H40" s="10"/>
      <c r="K40"/>
      <c r="M40" s="10"/>
    </row>
    <row r="41" spans="1:13" x14ac:dyDescent="0.35">
      <c r="A41" s="46" t="s">
        <v>85</v>
      </c>
      <c r="B41" s="46" t="s">
        <v>163</v>
      </c>
      <c r="C41" s="56">
        <v>90302887</v>
      </c>
      <c r="D41" s="46" t="s">
        <v>157</v>
      </c>
      <c r="E41" s="21"/>
      <c r="F41"/>
      <c r="G41" s="11"/>
      <c r="H41" s="10"/>
      <c r="K41"/>
      <c r="M41" s="10"/>
    </row>
    <row r="42" spans="1:13" x14ac:dyDescent="0.35">
      <c r="A42" s="46" t="s">
        <v>85</v>
      </c>
      <c r="C42"/>
      <c r="D42" s="46" t="s">
        <v>47</v>
      </c>
      <c r="E42" s="21"/>
      <c r="F42"/>
      <c r="G42" s="11"/>
      <c r="H42" s="10"/>
      <c r="K42"/>
      <c r="M42" s="10"/>
    </row>
    <row r="43" spans="1:13" x14ac:dyDescent="0.35">
      <c r="A43" s="46" t="s">
        <v>85</v>
      </c>
      <c r="B43" s="55" t="s">
        <v>164</v>
      </c>
      <c r="C43" s="56">
        <v>90302823</v>
      </c>
      <c r="D43" s="46" t="s">
        <v>124</v>
      </c>
      <c r="E43" s="21"/>
      <c r="F43"/>
      <c r="G43" s="11"/>
      <c r="H43" s="10"/>
      <c r="K43"/>
      <c r="M43" s="10"/>
    </row>
    <row r="44" spans="1:13" x14ac:dyDescent="0.35">
      <c r="A44" s="46" t="s">
        <v>85</v>
      </c>
      <c r="B44" s="55" t="s">
        <v>165</v>
      </c>
      <c r="C44" s="56">
        <v>90302824</v>
      </c>
      <c r="D44" s="46" t="s">
        <v>128</v>
      </c>
      <c r="E44" s="21"/>
      <c r="F44"/>
      <c r="G44" s="11"/>
      <c r="H44" s="10"/>
      <c r="K44"/>
      <c r="M44" s="10"/>
    </row>
    <row r="45" spans="1:13" x14ac:dyDescent="0.35">
      <c r="A45" s="46" t="s">
        <v>85</v>
      </c>
      <c r="B45" s="55" t="s">
        <v>166</v>
      </c>
      <c r="C45" s="56">
        <v>90302825</v>
      </c>
      <c r="D45" s="58" t="s">
        <v>90</v>
      </c>
      <c r="E45" s="21"/>
      <c r="F45"/>
      <c r="G45" s="11"/>
      <c r="H45" s="10"/>
      <c r="K45"/>
      <c r="M45" s="10"/>
    </row>
    <row r="46" spans="1:13" x14ac:dyDescent="0.35">
      <c r="A46" s="46" t="s">
        <v>85</v>
      </c>
      <c r="B46" s="59" t="s">
        <v>167</v>
      </c>
      <c r="C46" s="56">
        <v>90300463</v>
      </c>
      <c r="D46" s="46" t="s">
        <v>47</v>
      </c>
      <c r="E46" s="21"/>
      <c r="F46"/>
      <c r="G46" s="11"/>
      <c r="H46" s="10"/>
      <c r="K46"/>
      <c r="M46" s="10"/>
    </row>
    <row r="47" spans="1:13" x14ac:dyDescent="0.35">
      <c r="A47" s="46" t="s">
        <v>85</v>
      </c>
      <c r="B47" s="46" t="s">
        <v>168</v>
      </c>
      <c r="C47" s="60">
        <v>90302435</v>
      </c>
      <c r="D47" s="46" t="s">
        <v>124</v>
      </c>
      <c r="E47" s="21"/>
      <c r="F47"/>
      <c r="G47" s="11"/>
      <c r="H47" s="10"/>
      <c r="K47"/>
      <c r="M47" s="10"/>
    </row>
    <row r="48" spans="1:13" x14ac:dyDescent="0.35">
      <c r="A48" s="46" t="s">
        <v>85</v>
      </c>
      <c r="B48" s="55" t="s">
        <v>169</v>
      </c>
      <c r="C48" s="56">
        <v>90302890</v>
      </c>
      <c r="D48" s="46" t="s">
        <v>128</v>
      </c>
      <c r="E48" s="21"/>
      <c r="F48"/>
      <c r="G48" s="11"/>
      <c r="H48" s="10"/>
      <c r="K48"/>
      <c r="M48" s="10"/>
    </row>
    <row r="49" spans="1:13" x14ac:dyDescent="0.35">
      <c r="A49" s="46" t="s">
        <v>85</v>
      </c>
      <c r="B49" s="55" t="s">
        <v>170</v>
      </c>
      <c r="C49" s="56">
        <v>90302891</v>
      </c>
      <c r="D49" s="58" t="s">
        <v>131</v>
      </c>
      <c r="E49" s="21"/>
      <c r="F49"/>
      <c r="G49" s="11"/>
      <c r="H49" s="10"/>
      <c r="K49"/>
      <c r="M49" s="10"/>
    </row>
    <row r="50" spans="1:13" x14ac:dyDescent="0.35">
      <c r="A50" s="46" t="s">
        <v>126</v>
      </c>
      <c r="B50" s="46" t="s">
        <v>86</v>
      </c>
      <c r="C50" s="56">
        <v>90140920</v>
      </c>
      <c r="D50" s="46" t="s">
        <v>47</v>
      </c>
      <c r="E50" s="21"/>
      <c r="F50"/>
      <c r="G50" s="11"/>
      <c r="H50" s="10"/>
      <c r="K50"/>
      <c r="M50" s="10"/>
    </row>
    <row r="51" spans="1:13" x14ac:dyDescent="0.35">
      <c r="A51" s="46" t="s">
        <v>126</v>
      </c>
      <c r="B51" s="46" t="s">
        <v>171</v>
      </c>
      <c r="C51" s="56">
        <v>90300209</v>
      </c>
      <c r="D51" s="46" t="s">
        <v>172</v>
      </c>
      <c r="E51" s="21"/>
      <c r="F51"/>
      <c r="G51" s="11"/>
      <c r="H51" s="10"/>
      <c r="K51"/>
      <c r="M51" s="10"/>
    </row>
    <row r="52" spans="1:13" x14ac:dyDescent="0.35">
      <c r="A52" s="46" t="s">
        <v>126</v>
      </c>
      <c r="B52" s="46" t="s">
        <v>173</v>
      </c>
      <c r="C52" s="60">
        <v>90302877</v>
      </c>
      <c r="D52" s="46" t="s">
        <v>172</v>
      </c>
      <c r="E52" s="21"/>
      <c r="F52"/>
      <c r="G52" s="11"/>
      <c r="H52" s="10"/>
      <c r="K52"/>
      <c r="M52" s="10"/>
    </row>
    <row r="53" spans="1:13" x14ac:dyDescent="0.35">
      <c r="A53" s="46" t="s">
        <v>126</v>
      </c>
      <c r="B53" s="55" t="s">
        <v>174</v>
      </c>
      <c r="C53" s="60">
        <v>90302964</v>
      </c>
      <c r="D53" s="46" t="s">
        <v>175</v>
      </c>
      <c r="E53" s="21"/>
      <c r="F53"/>
      <c r="G53" s="11"/>
      <c r="H53" s="10"/>
      <c r="K53"/>
      <c r="M53" s="10"/>
    </row>
    <row r="54" spans="1:13" x14ac:dyDescent="0.35">
      <c r="A54" s="46" t="s">
        <v>126</v>
      </c>
      <c r="B54" s="46" t="s">
        <v>176</v>
      </c>
      <c r="C54" s="60">
        <v>90302465</v>
      </c>
      <c r="D54" s="46" t="s">
        <v>131</v>
      </c>
      <c r="E54" s="21"/>
      <c r="F54"/>
      <c r="G54" s="11"/>
      <c r="H54" s="10"/>
      <c r="K54"/>
      <c r="M54" s="10"/>
    </row>
    <row r="55" spans="1:13" x14ac:dyDescent="0.35">
      <c r="A55" s="46" t="s">
        <v>126</v>
      </c>
      <c r="B55" s="46" t="s">
        <v>177</v>
      </c>
      <c r="C55" s="56">
        <v>90302706</v>
      </c>
      <c r="D55" s="46" t="s">
        <v>175</v>
      </c>
      <c r="E55" s="21"/>
      <c r="F55"/>
      <c r="G55" s="11"/>
      <c r="H55" s="10"/>
      <c r="K55"/>
      <c r="M55" s="10"/>
    </row>
    <row r="56" spans="1:13" x14ac:dyDescent="0.35">
      <c r="A56" s="46" t="s">
        <v>126</v>
      </c>
      <c r="B56" s="46" t="s">
        <v>178</v>
      </c>
      <c r="C56" s="56">
        <v>90302755</v>
      </c>
      <c r="D56" s="46" t="s">
        <v>131</v>
      </c>
      <c r="E56" s="21"/>
      <c r="F56"/>
      <c r="G56" s="11"/>
      <c r="H56" s="10"/>
      <c r="K56"/>
      <c r="M56" s="10"/>
    </row>
    <row r="57" spans="1:13" x14ac:dyDescent="0.35">
      <c r="A57" s="46" t="s">
        <v>126</v>
      </c>
      <c r="B57" s="46" t="s">
        <v>88</v>
      </c>
      <c r="C57" s="60">
        <v>90301259</v>
      </c>
      <c r="D57" s="46" t="s">
        <v>179</v>
      </c>
      <c r="E57" s="21"/>
      <c r="F57"/>
      <c r="G57" s="11"/>
      <c r="H57" s="10"/>
      <c r="K57"/>
      <c r="M57" s="10"/>
    </row>
    <row r="58" spans="1:13" x14ac:dyDescent="0.35">
      <c r="A58" s="46" t="s">
        <v>126</v>
      </c>
      <c r="B58" s="46" t="s">
        <v>180</v>
      </c>
      <c r="C58" s="56">
        <v>90302707</v>
      </c>
      <c r="D58" s="46" t="s">
        <v>131</v>
      </c>
      <c r="E58" s="21"/>
      <c r="F58"/>
      <c r="G58" s="11"/>
      <c r="H58" s="10"/>
      <c r="K58"/>
      <c r="M58" s="10"/>
    </row>
    <row r="59" spans="1:13" x14ac:dyDescent="0.35">
      <c r="A59" s="46" t="s">
        <v>126</v>
      </c>
      <c r="B59" s="46" t="s">
        <v>87</v>
      </c>
      <c r="C59" s="56">
        <v>90302329</v>
      </c>
      <c r="D59" s="46" t="s">
        <v>179</v>
      </c>
      <c r="E59" s="21"/>
      <c r="F59"/>
      <c r="G59" s="11"/>
      <c r="H59" s="10"/>
      <c r="K59"/>
      <c r="M59" s="10"/>
    </row>
    <row r="60" spans="1:13" x14ac:dyDescent="0.35">
      <c r="A60" s="46" t="s">
        <v>126</v>
      </c>
      <c r="B60" s="46" t="s">
        <v>89</v>
      </c>
      <c r="C60" s="56">
        <v>90300214</v>
      </c>
      <c r="D60" s="46" t="s">
        <v>131</v>
      </c>
      <c r="E60" s="21"/>
      <c r="F60"/>
      <c r="G60" s="11"/>
      <c r="H60" s="10"/>
      <c r="K60"/>
      <c r="M60" s="10"/>
    </row>
    <row r="61" spans="1:13" x14ac:dyDescent="0.35">
      <c r="A61" s="46" t="s">
        <v>126</v>
      </c>
      <c r="B61" s="46" t="s">
        <v>181</v>
      </c>
      <c r="C61" s="56">
        <v>90112330</v>
      </c>
      <c r="D61" s="46" t="s">
        <v>47</v>
      </c>
      <c r="E61" s="21"/>
      <c r="F61"/>
      <c r="G61" s="11"/>
      <c r="H61" s="10"/>
      <c r="K61"/>
      <c r="M61" s="10"/>
    </row>
    <row r="62" spans="1:13" x14ac:dyDescent="0.35">
      <c r="A62" s="46" t="s">
        <v>91</v>
      </c>
      <c r="B62" s="46" t="s">
        <v>182</v>
      </c>
      <c r="C62" s="56">
        <v>90128099</v>
      </c>
      <c r="D62" s="46" t="s">
        <v>47</v>
      </c>
      <c r="E62" s="21"/>
      <c r="F62"/>
      <c r="G62" s="11"/>
      <c r="H62" s="10"/>
      <c r="K62"/>
      <c r="M62" s="10"/>
    </row>
    <row r="63" spans="1:13" x14ac:dyDescent="0.35">
      <c r="A63" s="46" t="s">
        <v>91</v>
      </c>
      <c r="B63" s="46" t="s">
        <v>183</v>
      </c>
      <c r="C63" s="56">
        <v>90302036</v>
      </c>
      <c r="D63" s="46" t="s">
        <v>184</v>
      </c>
      <c r="E63" s="21"/>
      <c r="F63"/>
      <c r="G63" s="11"/>
      <c r="H63" s="10"/>
      <c r="K63"/>
      <c r="M63" s="10"/>
    </row>
    <row r="64" spans="1:13" x14ac:dyDescent="0.35">
      <c r="A64" s="46" t="s">
        <v>91</v>
      </c>
      <c r="B64" s="46" t="s">
        <v>185</v>
      </c>
      <c r="C64" s="56">
        <v>90302520</v>
      </c>
      <c r="D64" s="46" t="s">
        <v>184</v>
      </c>
      <c r="E64" s="21"/>
      <c r="F64"/>
      <c r="G64" s="11"/>
      <c r="H64" s="10"/>
      <c r="K64"/>
      <c r="M64" s="10"/>
    </row>
    <row r="65" spans="1:13" x14ac:dyDescent="0.35">
      <c r="A65" s="46" t="s">
        <v>91</v>
      </c>
      <c r="B65" s="46" t="s">
        <v>186</v>
      </c>
      <c r="C65" s="56">
        <v>90302598</v>
      </c>
      <c r="D65" s="46" t="s">
        <v>184</v>
      </c>
      <c r="E65" s="21"/>
      <c r="F65"/>
      <c r="G65" s="11"/>
      <c r="H65" s="10"/>
      <c r="K65"/>
      <c r="M65" s="10"/>
    </row>
    <row r="66" spans="1:13" x14ac:dyDescent="0.35">
      <c r="A66" s="46" t="s">
        <v>91</v>
      </c>
      <c r="B66" s="46" t="s">
        <v>187</v>
      </c>
      <c r="C66" s="56">
        <v>90302416</v>
      </c>
      <c r="D66" s="46" t="s">
        <v>184</v>
      </c>
      <c r="E66" s="21"/>
      <c r="F66"/>
      <c r="G66" s="11"/>
      <c r="H66" s="10"/>
      <c r="K66"/>
      <c r="M66" s="10"/>
    </row>
    <row r="67" spans="1:13" x14ac:dyDescent="0.35">
      <c r="A67" s="46" t="s">
        <v>91</v>
      </c>
      <c r="B67" s="46" t="s">
        <v>188</v>
      </c>
      <c r="C67" s="56">
        <v>90301293</v>
      </c>
      <c r="D67" s="46" t="s">
        <v>189</v>
      </c>
      <c r="E67" s="21"/>
      <c r="F67"/>
      <c r="G67" s="11"/>
      <c r="H67" s="10"/>
      <c r="K67"/>
      <c r="M67" s="10"/>
    </row>
    <row r="68" spans="1:13" x14ac:dyDescent="0.35">
      <c r="A68" s="46" t="s">
        <v>91</v>
      </c>
      <c r="B68" s="46" t="s">
        <v>190</v>
      </c>
      <c r="C68" s="56">
        <v>90302753</v>
      </c>
      <c r="D68" s="46" t="s">
        <v>189</v>
      </c>
      <c r="E68" s="21"/>
      <c r="F68"/>
      <c r="G68" s="11"/>
      <c r="H68" s="10"/>
      <c r="K68"/>
      <c r="M68" s="10"/>
    </row>
    <row r="69" spans="1:13" x14ac:dyDescent="0.35">
      <c r="A69" s="46" t="s">
        <v>91</v>
      </c>
      <c r="B69" s="46" t="s">
        <v>92</v>
      </c>
      <c r="C69" s="56">
        <v>90128100</v>
      </c>
      <c r="D69" s="46" t="s">
        <v>47</v>
      </c>
      <c r="E69" s="21"/>
      <c r="F69"/>
      <c r="G69" s="11"/>
      <c r="H69" s="10"/>
      <c r="K69"/>
      <c r="M69" s="10"/>
    </row>
    <row r="70" spans="1:13" x14ac:dyDescent="0.35">
      <c r="E70" s="21"/>
      <c r="F70"/>
      <c r="G70" s="11"/>
      <c r="H70" s="10"/>
      <c r="K70"/>
      <c r="M70" s="10"/>
    </row>
    <row r="71" spans="1:13" x14ac:dyDescent="0.35">
      <c r="E71" s="21"/>
      <c r="F71"/>
      <c r="G71" s="11"/>
      <c r="H71" s="10"/>
      <c r="K71"/>
      <c r="M71" s="10"/>
    </row>
    <row r="72" spans="1:13" x14ac:dyDescent="0.35">
      <c r="E72" s="21"/>
      <c r="F72"/>
      <c r="G72" s="11"/>
      <c r="H72" s="10"/>
      <c r="K72"/>
      <c r="M72" s="10"/>
    </row>
    <row r="73" spans="1:13" x14ac:dyDescent="0.35">
      <c r="E73" s="21"/>
      <c r="F73"/>
      <c r="G73" s="11"/>
      <c r="H73" s="10"/>
      <c r="K73"/>
      <c r="M73" s="10"/>
    </row>
    <row r="74" spans="1:13" x14ac:dyDescent="0.35">
      <c r="E74" s="21"/>
      <c r="F74"/>
      <c r="G74" s="11"/>
      <c r="H74" s="10"/>
      <c r="K74"/>
      <c r="M74" s="10"/>
    </row>
    <row r="75" spans="1:13" x14ac:dyDescent="0.35">
      <c r="E75" s="21"/>
      <c r="F75"/>
      <c r="G75" s="11"/>
      <c r="H75" s="10"/>
      <c r="K75"/>
      <c r="M75" s="10"/>
    </row>
    <row r="76" spans="1:13" x14ac:dyDescent="0.35">
      <c r="E76" s="21"/>
      <c r="F76"/>
      <c r="G76" s="11"/>
      <c r="H76" s="10"/>
      <c r="K76"/>
      <c r="M76" s="10"/>
    </row>
    <row r="77" spans="1:13" x14ac:dyDescent="0.35">
      <c r="E77" s="21"/>
      <c r="F77"/>
      <c r="G77" s="11"/>
      <c r="H77" s="10"/>
      <c r="K77"/>
      <c r="M77" s="10"/>
    </row>
    <row r="78" spans="1:13" x14ac:dyDescent="0.35">
      <c r="E78" s="21"/>
      <c r="F78"/>
      <c r="G78" s="11"/>
      <c r="H78" s="10"/>
      <c r="K78"/>
      <c r="M78" s="10"/>
    </row>
    <row r="80" spans="1:13" x14ac:dyDescent="0.35">
      <c r="A80" s="11"/>
      <c r="B80" s="10"/>
      <c r="C80"/>
      <c r="D80" s="11"/>
      <c r="E80" s="10"/>
    </row>
    <row r="81" spans="1:3" x14ac:dyDescent="0.35">
      <c r="A81" s="46"/>
      <c r="C81" s="21"/>
    </row>
    <row r="94" spans="1:3" x14ac:dyDescent="0.35">
      <c r="C94" s="10" t="str">
        <f>IFERROR(VLOOKUP(#REF!,$G$2:$H$18,2,FALSE),"")</f>
        <v/>
      </c>
    </row>
    <row r="95" spans="1:3" x14ac:dyDescent="0.35">
      <c r="C95" s="10" t="str">
        <f>IFERROR(VLOOKUP(#REF!,$G$2:$H$18,2,FALSE),"")</f>
        <v/>
      </c>
    </row>
    <row r="96" spans="1:3" x14ac:dyDescent="0.35">
      <c r="C96" s="10" t="str">
        <f>IFERROR(VLOOKUP(#REF!,$G$2:$H$18,2,FALSE),"")</f>
        <v/>
      </c>
    </row>
    <row r="97" spans="3:3" x14ac:dyDescent="0.35">
      <c r="C97" s="10" t="str">
        <f>IFERROR(VLOOKUP(#REF!,$G$2:$H$18,2,FALSE),"")</f>
        <v/>
      </c>
    </row>
    <row r="98" spans="3:3" x14ac:dyDescent="0.35">
      <c r="C98" s="10" t="str">
        <f>IFERROR(VLOOKUP(#REF!,$G$2:$H$18,2,FALSE),"")</f>
        <v/>
      </c>
    </row>
    <row r="99" spans="3:3" x14ac:dyDescent="0.35">
      <c r="C99" s="10" t="str">
        <f>IFERROR(VLOOKUP(#REF!,$G$2:$H$18,2,FALSE),"")</f>
        <v/>
      </c>
    </row>
    <row r="100" spans="3:3" x14ac:dyDescent="0.35">
      <c r="C100" s="10" t="str">
        <f>IFERROR(VLOOKUP(#REF!,$G$2:$H$18,2,FALSE),"")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204"/>
  <sheetViews>
    <sheetView tabSelected="1" workbookViewId="0">
      <selection activeCell="B114" sqref="B114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8" t="s">
        <v>45</v>
      </c>
      <c r="B1" s="48" t="s">
        <v>14</v>
      </c>
      <c r="C1" s="48" t="s">
        <v>48</v>
      </c>
      <c r="D1" s="48" t="s">
        <v>51</v>
      </c>
      <c r="E1" s="48" t="s">
        <v>46</v>
      </c>
      <c r="F1" s="48" t="s">
        <v>49</v>
      </c>
    </row>
    <row r="2" spans="1:6" x14ac:dyDescent="0.35">
      <c r="A2" s="5" t="s">
        <v>191</v>
      </c>
      <c r="B2" s="5" t="s">
        <v>54</v>
      </c>
      <c r="C2" s="5" t="s">
        <v>192</v>
      </c>
      <c r="D2" s="5" t="s">
        <v>193</v>
      </c>
      <c r="E2" s="5" t="s">
        <v>194</v>
      </c>
      <c r="F2" s="61" t="s">
        <v>50</v>
      </c>
    </row>
    <row r="3" spans="1:6" x14ac:dyDescent="0.35">
      <c r="A3" s="5" t="s">
        <v>191</v>
      </c>
      <c r="B3" s="5" t="s">
        <v>55</v>
      </c>
      <c r="C3" s="5" t="s">
        <v>192</v>
      </c>
      <c r="D3" s="5" t="s">
        <v>193</v>
      </c>
      <c r="E3" s="5" t="s">
        <v>78</v>
      </c>
      <c r="F3" s="61" t="s">
        <v>50</v>
      </c>
    </row>
    <row r="4" spans="1:6" x14ac:dyDescent="0.35">
      <c r="A4" s="5" t="s">
        <v>191</v>
      </c>
      <c r="B4" s="5" t="s">
        <v>56</v>
      </c>
      <c r="C4" s="5" t="s">
        <v>192</v>
      </c>
      <c r="D4" s="5" t="s">
        <v>195</v>
      </c>
      <c r="E4" s="5" t="s">
        <v>84</v>
      </c>
      <c r="F4" s="61" t="s">
        <v>91</v>
      </c>
    </row>
    <row r="5" spans="1:6" x14ac:dyDescent="0.35">
      <c r="A5" s="5" t="s">
        <v>196</v>
      </c>
      <c r="B5" s="5" t="s">
        <v>54</v>
      </c>
      <c r="C5" s="5" t="s">
        <v>197</v>
      </c>
      <c r="D5" s="5" t="s">
        <v>198</v>
      </c>
      <c r="E5" s="5" t="s">
        <v>194</v>
      </c>
      <c r="F5" s="61" t="s">
        <v>50</v>
      </c>
    </row>
    <row r="6" spans="1:6" x14ac:dyDescent="0.35">
      <c r="A6" s="5" t="s">
        <v>199</v>
      </c>
      <c r="B6" s="5" t="s">
        <v>52</v>
      </c>
      <c r="C6" s="5" t="s">
        <v>200</v>
      </c>
      <c r="D6" s="5" t="s">
        <v>201</v>
      </c>
      <c r="E6" s="5" t="s">
        <v>82</v>
      </c>
      <c r="F6" s="61" t="s">
        <v>85</v>
      </c>
    </row>
    <row r="7" spans="1:6" x14ac:dyDescent="0.35">
      <c r="A7" s="5" t="s">
        <v>199</v>
      </c>
      <c r="B7" s="5" t="s">
        <v>54</v>
      </c>
      <c r="C7" s="5" t="s">
        <v>200</v>
      </c>
      <c r="D7" s="5" t="s">
        <v>202</v>
      </c>
      <c r="E7" s="5" t="s">
        <v>79</v>
      </c>
      <c r="F7" s="61" t="s">
        <v>91</v>
      </c>
    </row>
    <row r="8" spans="1:6" x14ac:dyDescent="0.35">
      <c r="A8" s="5" t="s">
        <v>199</v>
      </c>
      <c r="B8" s="5" t="s">
        <v>55</v>
      </c>
      <c r="C8" s="5" t="s">
        <v>200</v>
      </c>
      <c r="D8" s="5" t="s">
        <v>203</v>
      </c>
      <c r="E8" s="5" t="s">
        <v>82</v>
      </c>
      <c r="F8" s="61" t="s">
        <v>85</v>
      </c>
    </row>
    <row r="9" spans="1:6" x14ac:dyDescent="0.35">
      <c r="A9" s="5" t="s">
        <v>199</v>
      </c>
      <c r="B9" s="5" t="s">
        <v>57</v>
      </c>
      <c r="C9" s="5" t="s">
        <v>200</v>
      </c>
      <c r="D9" s="5" t="s">
        <v>204</v>
      </c>
      <c r="E9" s="5" t="s">
        <v>80</v>
      </c>
      <c r="F9" s="61" t="s">
        <v>126</v>
      </c>
    </row>
    <row r="10" spans="1:6" x14ac:dyDescent="0.35">
      <c r="A10" s="5" t="s">
        <v>199</v>
      </c>
      <c r="B10" s="5" t="s">
        <v>58</v>
      </c>
      <c r="C10" s="5" t="s">
        <v>200</v>
      </c>
      <c r="D10" s="5" t="s">
        <v>205</v>
      </c>
      <c r="E10" s="5" t="s">
        <v>81</v>
      </c>
      <c r="F10" s="61" t="s">
        <v>126</v>
      </c>
    </row>
    <row r="11" spans="1:6" x14ac:dyDescent="0.35">
      <c r="A11" s="5" t="s">
        <v>199</v>
      </c>
      <c r="B11" s="5" t="s">
        <v>59</v>
      </c>
      <c r="C11" s="5" t="s">
        <v>200</v>
      </c>
      <c r="D11" s="5" t="s">
        <v>206</v>
      </c>
      <c r="E11" s="5" t="s">
        <v>79</v>
      </c>
      <c r="F11" s="61" t="s">
        <v>91</v>
      </c>
    </row>
    <row r="12" spans="1:6" x14ac:dyDescent="0.35">
      <c r="A12" s="5" t="s">
        <v>207</v>
      </c>
      <c r="B12" s="5" t="s">
        <v>52</v>
      </c>
      <c r="C12" s="5" t="s">
        <v>208</v>
      </c>
      <c r="D12" s="5" t="s">
        <v>209</v>
      </c>
      <c r="E12" s="5" t="s">
        <v>82</v>
      </c>
      <c r="F12" s="61" t="s">
        <v>85</v>
      </c>
    </row>
    <row r="13" spans="1:6" x14ac:dyDescent="0.35">
      <c r="A13" s="5" t="s">
        <v>210</v>
      </c>
      <c r="B13" s="5" t="s">
        <v>54</v>
      </c>
      <c r="C13" s="5" t="s">
        <v>211</v>
      </c>
      <c r="D13" s="5" t="s">
        <v>212</v>
      </c>
      <c r="E13" s="5" t="s">
        <v>194</v>
      </c>
      <c r="F13" s="61" t="s">
        <v>50</v>
      </c>
    </row>
    <row r="14" spans="1:6" x14ac:dyDescent="0.35">
      <c r="A14" s="5" t="s">
        <v>210</v>
      </c>
      <c r="B14" s="5" t="s">
        <v>55</v>
      </c>
      <c r="C14" s="5" t="s">
        <v>211</v>
      </c>
      <c r="D14" s="5" t="s">
        <v>212</v>
      </c>
      <c r="E14" s="5" t="s">
        <v>194</v>
      </c>
      <c r="F14" s="61" t="s">
        <v>50</v>
      </c>
    </row>
    <row r="15" spans="1:6" x14ac:dyDescent="0.35">
      <c r="A15" s="5" t="s">
        <v>210</v>
      </c>
      <c r="B15" s="5" t="s">
        <v>56</v>
      </c>
      <c r="C15" s="5" t="s">
        <v>211</v>
      </c>
      <c r="D15" s="5" t="s">
        <v>213</v>
      </c>
      <c r="E15" s="5" t="s">
        <v>84</v>
      </c>
      <c r="F15" s="61" t="s">
        <v>91</v>
      </c>
    </row>
    <row r="16" spans="1:6" x14ac:dyDescent="0.35">
      <c r="A16" s="5" t="s">
        <v>214</v>
      </c>
      <c r="B16" s="5" t="s">
        <v>52</v>
      </c>
      <c r="C16" s="5" t="s">
        <v>215</v>
      </c>
      <c r="D16" s="5" t="s">
        <v>216</v>
      </c>
      <c r="E16" s="5" t="s">
        <v>83</v>
      </c>
      <c r="F16" s="61" t="s">
        <v>85</v>
      </c>
    </row>
    <row r="17" spans="1:6" x14ac:dyDescent="0.35">
      <c r="A17" s="5" t="s">
        <v>217</v>
      </c>
      <c r="B17" s="5" t="s">
        <v>52</v>
      </c>
      <c r="C17" s="5" t="s">
        <v>218</v>
      </c>
      <c r="D17" s="5" t="s">
        <v>219</v>
      </c>
      <c r="E17" s="5" t="s">
        <v>78</v>
      </c>
      <c r="F17" s="61" t="s">
        <v>50</v>
      </c>
    </row>
    <row r="18" spans="1:6" x14ac:dyDescent="0.35">
      <c r="A18" s="5" t="s">
        <v>217</v>
      </c>
      <c r="B18" s="5" t="s">
        <v>54</v>
      </c>
      <c r="C18" s="5" t="s">
        <v>218</v>
      </c>
      <c r="D18" s="5" t="s">
        <v>220</v>
      </c>
      <c r="E18" s="5" t="s">
        <v>78</v>
      </c>
      <c r="F18" s="61" t="s">
        <v>50</v>
      </c>
    </row>
    <row r="19" spans="1:6" x14ac:dyDescent="0.35">
      <c r="A19" s="5" t="s">
        <v>217</v>
      </c>
      <c r="B19" s="5" t="s">
        <v>56</v>
      </c>
      <c r="C19" s="5" t="s">
        <v>218</v>
      </c>
      <c r="D19" s="5" t="s">
        <v>221</v>
      </c>
      <c r="E19" s="5" t="s">
        <v>80</v>
      </c>
      <c r="F19" s="61" t="s">
        <v>126</v>
      </c>
    </row>
    <row r="20" spans="1:6" x14ac:dyDescent="0.35">
      <c r="A20" s="5" t="s">
        <v>217</v>
      </c>
      <c r="B20" s="5" t="s">
        <v>57</v>
      </c>
      <c r="C20" s="5" t="s">
        <v>218</v>
      </c>
      <c r="D20" s="5" t="s">
        <v>222</v>
      </c>
      <c r="E20" s="5" t="s">
        <v>81</v>
      </c>
      <c r="F20" s="61" t="s">
        <v>126</v>
      </c>
    </row>
    <row r="21" spans="1:6" x14ac:dyDescent="0.35">
      <c r="A21" s="5" t="s">
        <v>223</v>
      </c>
      <c r="B21" s="5" t="s">
        <v>52</v>
      </c>
      <c r="C21" s="5" t="s">
        <v>224</v>
      </c>
      <c r="D21" s="5" t="s">
        <v>225</v>
      </c>
      <c r="E21" s="5" t="s">
        <v>226</v>
      </c>
      <c r="F21" s="61" t="s">
        <v>91</v>
      </c>
    </row>
    <row r="22" spans="1:6" x14ac:dyDescent="0.35">
      <c r="A22" s="5" t="s">
        <v>223</v>
      </c>
      <c r="B22" s="5" t="s">
        <v>54</v>
      </c>
      <c r="C22" s="5" t="s">
        <v>224</v>
      </c>
      <c r="D22" s="5" t="s">
        <v>227</v>
      </c>
      <c r="E22" s="5" t="s">
        <v>194</v>
      </c>
      <c r="F22" s="61" t="s">
        <v>50</v>
      </c>
    </row>
    <row r="23" spans="1:6" x14ac:dyDescent="0.35">
      <c r="A23" s="5" t="s">
        <v>223</v>
      </c>
      <c r="B23" s="5" t="s">
        <v>58</v>
      </c>
      <c r="C23" s="5" t="s">
        <v>224</v>
      </c>
      <c r="D23" s="5" t="s">
        <v>228</v>
      </c>
      <c r="E23" s="5" t="s">
        <v>80</v>
      </c>
      <c r="F23" s="61" t="s">
        <v>126</v>
      </c>
    </row>
    <row r="24" spans="1:6" x14ac:dyDescent="0.35">
      <c r="A24" s="5" t="s">
        <v>223</v>
      </c>
      <c r="B24" s="5" t="s">
        <v>59</v>
      </c>
      <c r="C24" s="5" t="s">
        <v>224</v>
      </c>
      <c r="D24" s="5" t="s">
        <v>229</v>
      </c>
      <c r="E24" s="5" t="s">
        <v>226</v>
      </c>
      <c r="F24" s="61" t="s">
        <v>91</v>
      </c>
    </row>
    <row r="25" spans="1:6" x14ac:dyDescent="0.35">
      <c r="A25" s="5" t="s">
        <v>230</v>
      </c>
      <c r="B25" s="5" t="s">
        <v>52</v>
      </c>
      <c r="C25" s="5" t="s">
        <v>231</v>
      </c>
      <c r="D25" s="5" t="s">
        <v>232</v>
      </c>
      <c r="E25" s="5" t="s">
        <v>82</v>
      </c>
      <c r="F25" s="61" t="s">
        <v>233</v>
      </c>
    </row>
    <row r="26" spans="1:6" x14ac:dyDescent="0.35">
      <c r="A26" s="5" t="s">
        <v>234</v>
      </c>
      <c r="B26" s="5" t="s">
        <v>119</v>
      </c>
      <c r="C26" s="5" t="s">
        <v>235</v>
      </c>
      <c r="D26" s="5" t="s">
        <v>236</v>
      </c>
      <c r="E26" s="5" t="s">
        <v>78</v>
      </c>
      <c r="F26" s="61" t="s">
        <v>50</v>
      </c>
    </row>
    <row r="27" spans="1:6" x14ac:dyDescent="0.35">
      <c r="A27" s="5" t="s">
        <v>234</v>
      </c>
      <c r="B27" s="5" t="s">
        <v>56</v>
      </c>
      <c r="C27" s="5" t="s">
        <v>235</v>
      </c>
      <c r="D27" s="5" t="s">
        <v>237</v>
      </c>
      <c r="E27" s="5" t="s">
        <v>80</v>
      </c>
      <c r="F27" s="61" t="s">
        <v>126</v>
      </c>
    </row>
    <row r="28" spans="1:6" x14ac:dyDescent="0.35">
      <c r="A28" s="5" t="s">
        <v>234</v>
      </c>
      <c r="B28" s="5" t="s">
        <v>57</v>
      </c>
      <c r="C28" s="5" t="s">
        <v>235</v>
      </c>
      <c r="D28" s="5" t="s">
        <v>238</v>
      </c>
      <c r="E28" s="5" t="s">
        <v>81</v>
      </c>
      <c r="F28" s="61" t="s">
        <v>126</v>
      </c>
    </row>
    <row r="29" spans="1:6" x14ac:dyDescent="0.35">
      <c r="A29" s="5" t="s">
        <v>234</v>
      </c>
      <c r="B29" s="5" t="s">
        <v>59</v>
      </c>
      <c r="C29" s="5" t="s">
        <v>235</v>
      </c>
      <c r="D29" s="5" t="s">
        <v>239</v>
      </c>
      <c r="E29" s="5" t="s">
        <v>80</v>
      </c>
      <c r="F29" s="61" t="s">
        <v>126</v>
      </c>
    </row>
    <row r="30" spans="1:6" x14ac:dyDescent="0.35">
      <c r="A30" s="5" t="s">
        <v>234</v>
      </c>
      <c r="B30" s="5" t="s">
        <v>62</v>
      </c>
      <c r="C30" s="5" t="s">
        <v>235</v>
      </c>
      <c r="D30" s="5" t="s">
        <v>240</v>
      </c>
      <c r="E30" s="5" t="s">
        <v>81</v>
      </c>
      <c r="F30" s="61" t="s">
        <v>126</v>
      </c>
    </row>
    <row r="31" spans="1:6" x14ac:dyDescent="0.35">
      <c r="A31" s="5" t="s">
        <v>241</v>
      </c>
      <c r="B31" s="5" t="s">
        <v>54</v>
      </c>
      <c r="C31" s="5" t="s">
        <v>242</v>
      </c>
      <c r="D31" s="5" t="s">
        <v>243</v>
      </c>
      <c r="E31" s="5" t="s">
        <v>194</v>
      </c>
      <c r="F31" s="61" t="s">
        <v>50</v>
      </c>
    </row>
    <row r="32" spans="1:6" x14ac:dyDescent="0.35">
      <c r="A32" s="5" t="s">
        <v>244</v>
      </c>
      <c r="B32" s="5" t="s">
        <v>55</v>
      </c>
      <c r="C32" s="5" t="s">
        <v>245</v>
      </c>
      <c r="D32" s="5" t="s">
        <v>246</v>
      </c>
      <c r="E32" s="5" t="s">
        <v>194</v>
      </c>
      <c r="F32" s="61" t="s">
        <v>50</v>
      </c>
    </row>
    <row r="33" spans="1:6" x14ac:dyDescent="0.35">
      <c r="A33" s="5" t="s">
        <v>244</v>
      </c>
      <c r="B33" s="5" t="s">
        <v>56</v>
      </c>
      <c r="C33" s="5" t="s">
        <v>245</v>
      </c>
      <c r="D33" s="5" t="s">
        <v>247</v>
      </c>
      <c r="E33" s="5" t="s">
        <v>78</v>
      </c>
      <c r="F33" s="61" t="s">
        <v>50</v>
      </c>
    </row>
    <row r="34" spans="1:6" x14ac:dyDescent="0.35">
      <c r="A34" s="5" t="s">
        <v>244</v>
      </c>
      <c r="B34" s="5" t="s">
        <v>57</v>
      </c>
      <c r="C34" s="5" t="s">
        <v>245</v>
      </c>
      <c r="D34" s="5" t="s">
        <v>248</v>
      </c>
      <c r="E34" s="5" t="s">
        <v>84</v>
      </c>
      <c r="F34" s="61" t="s">
        <v>91</v>
      </c>
    </row>
    <row r="35" spans="1:6" x14ac:dyDescent="0.35">
      <c r="A35" s="5" t="s">
        <v>249</v>
      </c>
      <c r="B35" s="5" t="s">
        <v>119</v>
      </c>
      <c r="C35" s="5" t="s">
        <v>250</v>
      </c>
      <c r="D35" s="5" t="s">
        <v>236</v>
      </c>
      <c r="E35" s="5" t="s">
        <v>78</v>
      </c>
      <c r="F35" s="61" t="s">
        <v>50</v>
      </c>
    </row>
    <row r="36" spans="1:6" x14ac:dyDescent="0.35">
      <c r="A36" s="5" t="s">
        <v>249</v>
      </c>
      <c r="B36" s="5" t="s">
        <v>56</v>
      </c>
      <c r="C36" s="5" t="s">
        <v>250</v>
      </c>
      <c r="D36" s="5" t="s">
        <v>237</v>
      </c>
      <c r="E36" s="5" t="s">
        <v>80</v>
      </c>
      <c r="F36" s="61" t="s">
        <v>126</v>
      </c>
    </row>
    <row r="37" spans="1:6" x14ac:dyDescent="0.35">
      <c r="A37" s="5" t="s">
        <v>249</v>
      </c>
      <c r="B37" s="5" t="s">
        <v>57</v>
      </c>
      <c r="C37" s="5" t="s">
        <v>250</v>
      </c>
      <c r="D37" s="5" t="s">
        <v>238</v>
      </c>
      <c r="E37" s="5" t="s">
        <v>81</v>
      </c>
      <c r="F37" s="61" t="s">
        <v>126</v>
      </c>
    </row>
    <row r="38" spans="1:6" x14ac:dyDescent="0.35">
      <c r="A38" s="5" t="s">
        <v>249</v>
      </c>
      <c r="B38" s="5" t="s">
        <v>59</v>
      </c>
      <c r="C38" s="5" t="s">
        <v>250</v>
      </c>
      <c r="D38" s="5" t="s">
        <v>239</v>
      </c>
      <c r="E38" s="5" t="s">
        <v>80</v>
      </c>
      <c r="F38" s="61" t="s">
        <v>126</v>
      </c>
    </row>
    <row r="39" spans="1:6" x14ac:dyDescent="0.35">
      <c r="A39" s="5" t="s">
        <v>249</v>
      </c>
      <c r="B39" s="5" t="s">
        <v>62</v>
      </c>
      <c r="C39" s="5" t="s">
        <v>250</v>
      </c>
      <c r="D39" s="5" t="s">
        <v>240</v>
      </c>
      <c r="E39" s="5" t="s">
        <v>81</v>
      </c>
      <c r="F39" s="61" t="s">
        <v>126</v>
      </c>
    </row>
    <row r="40" spans="1:6" x14ac:dyDescent="0.35">
      <c r="A40" s="5" t="s">
        <v>251</v>
      </c>
      <c r="B40" s="5" t="s">
        <v>55</v>
      </c>
      <c r="C40" s="5" t="s">
        <v>252</v>
      </c>
      <c r="D40" s="5" t="s">
        <v>253</v>
      </c>
      <c r="E40" s="5" t="s">
        <v>121</v>
      </c>
      <c r="F40" s="61" t="s">
        <v>50</v>
      </c>
    </row>
    <row r="41" spans="1:6" x14ac:dyDescent="0.35">
      <c r="A41" s="5" t="s">
        <v>251</v>
      </c>
      <c r="B41" s="5" t="s">
        <v>56</v>
      </c>
      <c r="C41" s="5" t="s">
        <v>252</v>
      </c>
      <c r="D41" s="5" t="s">
        <v>254</v>
      </c>
      <c r="E41" s="5" t="s">
        <v>78</v>
      </c>
      <c r="F41" s="61" t="s">
        <v>50</v>
      </c>
    </row>
    <row r="42" spans="1:6" x14ac:dyDescent="0.35">
      <c r="A42" s="5" t="s">
        <v>251</v>
      </c>
      <c r="B42" s="5" t="s">
        <v>57</v>
      </c>
      <c r="C42" s="5" t="s">
        <v>252</v>
      </c>
      <c r="D42" s="5" t="s">
        <v>254</v>
      </c>
      <c r="E42" s="5" t="s">
        <v>194</v>
      </c>
      <c r="F42" s="61" t="s">
        <v>50</v>
      </c>
    </row>
    <row r="43" spans="1:6" x14ac:dyDescent="0.35">
      <c r="A43" s="5" t="s">
        <v>251</v>
      </c>
      <c r="B43" s="5" t="s">
        <v>59</v>
      </c>
      <c r="C43" s="5" t="s">
        <v>252</v>
      </c>
      <c r="D43" s="5" t="s">
        <v>255</v>
      </c>
      <c r="E43" s="5" t="s">
        <v>84</v>
      </c>
      <c r="F43" s="61" t="s">
        <v>91</v>
      </c>
    </row>
    <row r="44" spans="1:6" x14ac:dyDescent="0.35">
      <c r="A44" s="5" t="s">
        <v>251</v>
      </c>
      <c r="B44" s="5" t="s">
        <v>62</v>
      </c>
      <c r="C44" s="5" t="s">
        <v>252</v>
      </c>
      <c r="D44" s="5" t="s">
        <v>256</v>
      </c>
      <c r="E44" s="5" t="s">
        <v>257</v>
      </c>
      <c r="F44" s="61" t="s">
        <v>91</v>
      </c>
    </row>
    <row r="45" spans="1:6" x14ac:dyDescent="0.35">
      <c r="A45" s="5" t="s">
        <v>251</v>
      </c>
      <c r="B45" s="5" t="s">
        <v>60</v>
      </c>
      <c r="C45" s="5" t="s">
        <v>252</v>
      </c>
      <c r="D45" s="5" t="s">
        <v>258</v>
      </c>
      <c r="E45" s="5" t="s">
        <v>226</v>
      </c>
      <c r="F45" s="61" t="s">
        <v>91</v>
      </c>
    </row>
    <row r="46" spans="1:6" x14ac:dyDescent="0.35">
      <c r="A46" s="5" t="s">
        <v>251</v>
      </c>
      <c r="B46" s="5" t="s">
        <v>61</v>
      </c>
      <c r="C46" s="5" t="s">
        <v>252</v>
      </c>
      <c r="D46" s="5" t="s">
        <v>259</v>
      </c>
      <c r="E46" s="5" t="s">
        <v>83</v>
      </c>
      <c r="F46" s="61" t="s">
        <v>233</v>
      </c>
    </row>
    <row r="47" spans="1:6" x14ac:dyDescent="0.35">
      <c r="A47" s="5" t="s">
        <v>251</v>
      </c>
      <c r="B47" s="5" t="s">
        <v>63</v>
      </c>
      <c r="C47" s="5" t="s">
        <v>252</v>
      </c>
      <c r="D47" s="5" t="s">
        <v>260</v>
      </c>
      <c r="E47" s="5" t="s">
        <v>80</v>
      </c>
      <c r="F47" s="61" t="s">
        <v>126</v>
      </c>
    </row>
    <row r="48" spans="1:6" x14ac:dyDescent="0.35">
      <c r="A48" s="5" t="s">
        <v>251</v>
      </c>
      <c r="B48" s="5" t="s">
        <v>64</v>
      </c>
      <c r="C48" s="5" t="s">
        <v>252</v>
      </c>
      <c r="D48" s="5" t="s">
        <v>261</v>
      </c>
      <c r="E48" s="5" t="s">
        <v>81</v>
      </c>
      <c r="F48" s="61" t="s">
        <v>126</v>
      </c>
    </row>
    <row r="49" spans="1:6" x14ac:dyDescent="0.35">
      <c r="A49" s="5" t="s">
        <v>251</v>
      </c>
      <c r="B49" s="5" t="s">
        <v>68</v>
      </c>
      <c r="C49" s="5" t="s">
        <v>252</v>
      </c>
      <c r="D49" s="5" t="s">
        <v>262</v>
      </c>
      <c r="E49" s="5" t="s">
        <v>121</v>
      </c>
      <c r="F49" s="61" t="s">
        <v>50</v>
      </c>
    </row>
    <row r="50" spans="1:6" x14ac:dyDescent="0.35">
      <c r="A50" s="5" t="s">
        <v>251</v>
      </c>
      <c r="B50" s="5" t="s">
        <v>69</v>
      </c>
      <c r="C50" s="5" t="s">
        <v>252</v>
      </c>
      <c r="D50" s="5" t="s">
        <v>263</v>
      </c>
      <c r="E50" s="5" t="s">
        <v>78</v>
      </c>
      <c r="F50" s="61" t="s">
        <v>50</v>
      </c>
    </row>
    <row r="51" spans="1:6" x14ac:dyDescent="0.35">
      <c r="A51" s="5" t="s">
        <v>251</v>
      </c>
      <c r="B51" s="5" t="s">
        <v>70</v>
      </c>
      <c r="C51" s="5" t="s">
        <v>252</v>
      </c>
      <c r="D51" s="5" t="s">
        <v>263</v>
      </c>
      <c r="E51" s="5" t="s">
        <v>194</v>
      </c>
      <c r="F51" s="61" t="s">
        <v>50</v>
      </c>
    </row>
    <row r="52" spans="1:6" x14ac:dyDescent="0.35">
      <c r="A52" s="5" t="s">
        <v>251</v>
      </c>
      <c r="B52" s="5" t="s">
        <v>72</v>
      </c>
      <c r="C52" s="5" t="s">
        <v>252</v>
      </c>
      <c r="D52" s="5" t="s">
        <v>264</v>
      </c>
      <c r="E52" s="5" t="s">
        <v>84</v>
      </c>
      <c r="F52" s="61" t="s">
        <v>91</v>
      </c>
    </row>
    <row r="53" spans="1:6" x14ac:dyDescent="0.35">
      <c r="A53" s="5" t="s">
        <v>251</v>
      </c>
      <c r="B53" s="5" t="s">
        <v>73</v>
      </c>
      <c r="C53" s="5" t="s">
        <v>252</v>
      </c>
      <c r="D53" s="5" t="s">
        <v>265</v>
      </c>
      <c r="E53" s="5" t="s">
        <v>257</v>
      </c>
      <c r="F53" s="61" t="s">
        <v>91</v>
      </c>
    </row>
    <row r="54" spans="1:6" x14ac:dyDescent="0.35">
      <c r="A54" s="5" t="s">
        <v>251</v>
      </c>
      <c r="B54" s="5" t="s">
        <v>115</v>
      </c>
      <c r="C54" s="5" t="s">
        <v>252</v>
      </c>
      <c r="D54" s="5" t="s">
        <v>266</v>
      </c>
      <c r="E54" s="5" t="s">
        <v>226</v>
      </c>
      <c r="F54" s="61" t="s">
        <v>91</v>
      </c>
    </row>
    <row r="55" spans="1:6" x14ac:dyDescent="0.35">
      <c r="A55" s="5" t="s">
        <v>251</v>
      </c>
      <c r="B55" s="5" t="s">
        <v>74</v>
      </c>
      <c r="C55" s="5" t="s">
        <v>252</v>
      </c>
      <c r="D55" s="5" t="s">
        <v>267</v>
      </c>
      <c r="E55" s="5" t="s">
        <v>83</v>
      </c>
      <c r="F55" s="61" t="s">
        <v>85</v>
      </c>
    </row>
    <row r="56" spans="1:6" x14ac:dyDescent="0.35">
      <c r="A56" s="5" t="s">
        <v>251</v>
      </c>
      <c r="B56" s="5" t="s">
        <v>75</v>
      </c>
      <c r="C56" s="5" t="s">
        <v>252</v>
      </c>
      <c r="D56" s="5" t="s">
        <v>268</v>
      </c>
      <c r="E56" s="5" t="s">
        <v>80</v>
      </c>
      <c r="F56" s="61" t="s">
        <v>126</v>
      </c>
    </row>
    <row r="57" spans="1:6" x14ac:dyDescent="0.35">
      <c r="A57" s="5" t="s">
        <v>251</v>
      </c>
      <c r="B57" s="5" t="s">
        <v>116</v>
      </c>
      <c r="C57" s="5" t="s">
        <v>252</v>
      </c>
      <c r="D57" s="5" t="s">
        <v>269</v>
      </c>
      <c r="E57" s="5" t="s">
        <v>81</v>
      </c>
      <c r="F57" s="61" t="s">
        <v>126</v>
      </c>
    </row>
    <row r="58" spans="1:6" x14ac:dyDescent="0.35">
      <c r="A58" s="5" t="s">
        <v>270</v>
      </c>
      <c r="B58" s="5" t="s">
        <v>52</v>
      </c>
      <c r="C58" s="5" t="s">
        <v>271</v>
      </c>
      <c r="D58" s="5" t="s">
        <v>272</v>
      </c>
      <c r="E58" s="5" t="s">
        <v>80</v>
      </c>
      <c r="F58" s="61" t="s">
        <v>126</v>
      </c>
    </row>
    <row r="59" spans="1:6" x14ac:dyDescent="0.35">
      <c r="A59" s="5" t="s">
        <v>270</v>
      </c>
      <c r="B59" s="5" t="s">
        <v>54</v>
      </c>
      <c r="C59" s="5" t="s">
        <v>271</v>
      </c>
      <c r="D59" s="5" t="s">
        <v>273</v>
      </c>
      <c r="E59" s="5" t="s">
        <v>81</v>
      </c>
      <c r="F59" s="61" t="s">
        <v>126</v>
      </c>
    </row>
    <row r="60" spans="1:6" x14ac:dyDescent="0.35">
      <c r="A60" s="5" t="s">
        <v>270</v>
      </c>
      <c r="B60" s="5" t="s">
        <v>58</v>
      </c>
      <c r="C60" s="5" t="s">
        <v>271</v>
      </c>
      <c r="D60" s="5" t="s">
        <v>274</v>
      </c>
      <c r="E60" s="5" t="s">
        <v>257</v>
      </c>
      <c r="F60" s="61" t="s">
        <v>91</v>
      </c>
    </row>
    <row r="61" spans="1:6" x14ac:dyDescent="0.35">
      <c r="A61" s="5" t="s">
        <v>270</v>
      </c>
      <c r="B61" s="5" t="s">
        <v>59</v>
      </c>
      <c r="C61" s="5" t="s">
        <v>271</v>
      </c>
      <c r="D61" s="5" t="s">
        <v>275</v>
      </c>
      <c r="E61" s="5" t="s">
        <v>79</v>
      </c>
      <c r="F61" s="61" t="s">
        <v>91</v>
      </c>
    </row>
    <row r="62" spans="1:6" x14ac:dyDescent="0.35">
      <c r="A62" s="5" t="s">
        <v>270</v>
      </c>
      <c r="B62" s="5" t="s">
        <v>60</v>
      </c>
      <c r="C62" s="5" t="s">
        <v>271</v>
      </c>
      <c r="D62" s="5" t="s">
        <v>276</v>
      </c>
      <c r="E62" s="5" t="s">
        <v>78</v>
      </c>
      <c r="F62" s="61" t="s">
        <v>50</v>
      </c>
    </row>
    <row r="63" spans="1:6" x14ac:dyDescent="0.35">
      <c r="A63" s="5" t="s">
        <v>270</v>
      </c>
      <c r="B63" s="5" t="s">
        <v>61</v>
      </c>
      <c r="C63" s="5" t="s">
        <v>271</v>
      </c>
      <c r="D63" s="5" t="s">
        <v>277</v>
      </c>
      <c r="E63" s="5" t="s">
        <v>83</v>
      </c>
      <c r="F63" s="61" t="s">
        <v>85</v>
      </c>
    </row>
    <row r="64" spans="1:6" x14ac:dyDescent="0.35">
      <c r="A64" s="5" t="s">
        <v>270</v>
      </c>
      <c r="B64" s="5" t="s">
        <v>278</v>
      </c>
      <c r="C64" s="5" t="s">
        <v>271</v>
      </c>
      <c r="D64" s="5" t="s">
        <v>279</v>
      </c>
      <c r="E64" s="5" t="s">
        <v>82</v>
      </c>
      <c r="F64" s="61" t="s">
        <v>85</v>
      </c>
    </row>
    <row r="65" spans="1:6" x14ac:dyDescent="0.35">
      <c r="A65" s="5" t="s">
        <v>280</v>
      </c>
      <c r="B65" s="5" t="s">
        <v>54</v>
      </c>
      <c r="C65" s="5" t="s">
        <v>281</v>
      </c>
      <c r="D65" s="5" t="s">
        <v>282</v>
      </c>
      <c r="E65" s="5" t="s">
        <v>283</v>
      </c>
      <c r="F65" s="61" t="s">
        <v>126</v>
      </c>
    </row>
    <row r="66" spans="1:6" x14ac:dyDescent="0.35">
      <c r="A66" s="5" t="s">
        <v>280</v>
      </c>
      <c r="B66" s="5" t="s">
        <v>56</v>
      </c>
      <c r="C66" s="5" t="s">
        <v>281</v>
      </c>
      <c r="D66" s="5" t="s">
        <v>284</v>
      </c>
      <c r="E66" s="5" t="s">
        <v>121</v>
      </c>
      <c r="F66" s="61" t="s">
        <v>50</v>
      </c>
    </row>
    <row r="67" spans="1:6" x14ac:dyDescent="0.35">
      <c r="A67" s="5" t="s">
        <v>280</v>
      </c>
      <c r="B67" s="5" t="s">
        <v>57</v>
      </c>
      <c r="C67" s="5" t="s">
        <v>281</v>
      </c>
      <c r="D67" s="5" t="s">
        <v>285</v>
      </c>
      <c r="E67" s="5" t="s">
        <v>286</v>
      </c>
      <c r="F67" s="61" t="s">
        <v>85</v>
      </c>
    </row>
    <row r="68" spans="1:6" x14ac:dyDescent="0.35">
      <c r="A68" s="5" t="s">
        <v>280</v>
      </c>
      <c r="B68" s="5" t="s">
        <v>58</v>
      </c>
      <c r="C68" s="5" t="s">
        <v>281</v>
      </c>
      <c r="D68" s="5" t="s">
        <v>287</v>
      </c>
      <c r="E68" s="5" t="s">
        <v>120</v>
      </c>
      <c r="F68" s="61" t="s">
        <v>91</v>
      </c>
    </row>
    <row r="69" spans="1:6" x14ac:dyDescent="0.35">
      <c r="A69" s="5" t="s">
        <v>280</v>
      </c>
      <c r="B69" s="5" t="s">
        <v>59</v>
      </c>
      <c r="C69" s="5" t="s">
        <v>281</v>
      </c>
      <c r="D69" s="5" t="s">
        <v>288</v>
      </c>
      <c r="E69" s="5" t="s">
        <v>289</v>
      </c>
      <c r="F69" s="61" t="s">
        <v>91</v>
      </c>
    </row>
    <row r="70" spans="1:6" x14ac:dyDescent="0.35">
      <c r="A70" s="5" t="s">
        <v>290</v>
      </c>
      <c r="B70" s="5" t="s">
        <v>55</v>
      </c>
      <c r="C70" s="5" t="s">
        <v>291</v>
      </c>
      <c r="D70" s="5" t="s">
        <v>292</v>
      </c>
      <c r="E70" s="5" t="s">
        <v>80</v>
      </c>
      <c r="F70" s="61" t="s">
        <v>126</v>
      </c>
    </row>
    <row r="71" spans="1:6" x14ac:dyDescent="0.35">
      <c r="A71" s="5" t="s">
        <v>290</v>
      </c>
      <c r="B71" s="5" t="s">
        <v>60</v>
      </c>
      <c r="C71" s="5" t="s">
        <v>291</v>
      </c>
      <c r="D71" s="5" t="s">
        <v>293</v>
      </c>
      <c r="E71" s="5" t="s">
        <v>294</v>
      </c>
      <c r="F71" s="61" t="s">
        <v>126</v>
      </c>
    </row>
    <row r="72" spans="1:6" x14ac:dyDescent="0.35">
      <c r="A72" s="5" t="s">
        <v>290</v>
      </c>
      <c r="B72" s="5" t="s">
        <v>66</v>
      </c>
      <c r="C72" s="5" t="s">
        <v>291</v>
      </c>
      <c r="D72" s="5" t="s">
        <v>295</v>
      </c>
      <c r="E72" s="5" t="s">
        <v>194</v>
      </c>
      <c r="F72" s="61" t="s">
        <v>50</v>
      </c>
    </row>
    <row r="73" spans="1:6" x14ac:dyDescent="0.35">
      <c r="A73" s="5" t="s">
        <v>290</v>
      </c>
      <c r="B73" s="5" t="s">
        <v>77</v>
      </c>
      <c r="C73" s="5" t="s">
        <v>291</v>
      </c>
      <c r="D73" s="5" t="s">
        <v>296</v>
      </c>
      <c r="E73" s="5" t="s">
        <v>226</v>
      </c>
      <c r="F73" s="61" t="s">
        <v>91</v>
      </c>
    </row>
    <row r="74" spans="1:6" x14ac:dyDescent="0.35">
      <c r="A74" s="5" t="s">
        <v>290</v>
      </c>
      <c r="B74" s="5" t="s">
        <v>297</v>
      </c>
      <c r="C74" s="5" t="s">
        <v>291</v>
      </c>
      <c r="D74" s="5" t="s">
        <v>298</v>
      </c>
      <c r="E74" s="5" t="s">
        <v>226</v>
      </c>
      <c r="F74" s="61" t="s">
        <v>91</v>
      </c>
    </row>
    <row r="75" spans="1:6" x14ac:dyDescent="0.35">
      <c r="A75" s="5" t="s">
        <v>290</v>
      </c>
      <c r="B75" s="5" t="s">
        <v>71</v>
      </c>
      <c r="C75" s="5" t="s">
        <v>291</v>
      </c>
      <c r="D75" s="5" t="s">
        <v>299</v>
      </c>
      <c r="E75" s="5" t="s">
        <v>82</v>
      </c>
      <c r="F75" s="61" t="s">
        <v>85</v>
      </c>
    </row>
    <row r="76" spans="1:6" x14ac:dyDescent="0.35">
      <c r="A76" s="5" t="s">
        <v>290</v>
      </c>
      <c r="B76" s="5" t="s">
        <v>72</v>
      </c>
      <c r="C76" s="5" t="s">
        <v>291</v>
      </c>
      <c r="D76" s="5" t="s">
        <v>300</v>
      </c>
      <c r="E76" s="5" t="s">
        <v>194</v>
      </c>
      <c r="F76" s="61" t="s">
        <v>50</v>
      </c>
    </row>
    <row r="77" spans="1:6" x14ac:dyDescent="0.35">
      <c r="A77" s="5" t="s">
        <v>301</v>
      </c>
      <c r="B77" s="5" t="s">
        <v>52</v>
      </c>
      <c r="C77" s="5" t="s">
        <v>302</v>
      </c>
      <c r="D77" s="5" t="s">
        <v>302</v>
      </c>
      <c r="E77" s="5" t="s">
        <v>82</v>
      </c>
      <c r="F77" s="61" t="s">
        <v>85</v>
      </c>
    </row>
    <row r="78" spans="1:6" x14ac:dyDescent="0.35">
      <c r="A78" s="5" t="s">
        <v>303</v>
      </c>
      <c r="B78" s="5" t="s">
        <v>52</v>
      </c>
      <c r="C78" s="5" t="s">
        <v>304</v>
      </c>
      <c r="D78" s="5" t="s">
        <v>304</v>
      </c>
      <c r="E78" s="5" t="s">
        <v>82</v>
      </c>
      <c r="F78" s="61" t="s">
        <v>85</v>
      </c>
    </row>
    <row r="79" spans="1:6" x14ac:dyDescent="0.35">
      <c r="A79" s="5" t="s">
        <v>305</v>
      </c>
      <c r="B79" s="5" t="s">
        <v>52</v>
      </c>
      <c r="C79" s="5" t="s">
        <v>306</v>
      </c>
      <c r="D79" s="5" t="s">
        <v>306</v>
      </c>
      <c r="E79" s="5" t="s">
        <v>82</v>
      </c>
      <c r="F79" s="61" t="s">
        <v>85</v>
      </c>
    </row>
    <row r="80" spans="1:6" x14ac:dyDescent="0.35">
      <c r="A80" s="5" t="s">
        <v>307</v>
      </c>
      <c r="B80" s="5" t="s">
        <v>52</v>
      </c>
      <c r="C80" s="5" t="s">
        <v>308</v>
      </c>
      <c r="D80" s="5" t="s">
        <v>308</v>
      </c>
      <c r="E80" s="5" t="s">
        <v>82</v>
      </c>
      <c r="F80" s="61" t="s">
        <v>85</v>
      </c>
    </row>
    <row r="81" spans="1:6" x14ac:dyDescent="0.35">
      <c r="A81" s="5" t="s">
        <v>309</v>
      </c>
      <c r="B81" s="5" t="s">
        <v>52</v>
      </c>
      <c r="C81" s="5" t="s">
        <v>310</v>
      </c>
      <c r="D81" s="5" t="s">
        <v>310</v>
      </c>
      <c r="E81" s="5" t="s">
        <v>194</v>
      </c>
      <c r="F81" s="61" t="s">
        <v>50</v>
      </c>
    </row>
    <row r="82" spans="1:6" x14ac:dyDescent="0.35">
      <c r="A82" s="5" t="s">
        <v>311</v>
      </c>
      <c r="B82" s="5" t="s">
        <v>53</v>
      </c>
      <c r="C82" s="5" t="s">
        <v>312</v>
      </c>
      <c r="D82" s="5" t="s">
        <v>313</v>
      </c>
      <c r="E82" s="5" t="s">
        <v>79</v>
      </c>
      <c r="F82" s="61" t="s">
        <v>91</v>
      </c>
    </row>
    <row r="83" spans="1:6" x14ac:dyDescent="0.35">
      <c r="A83" s="5" t="s">
        <v>311</v>
      </c>
      <c r="B83" s="5" t="s">
        <v>56</v>
      </c>
      <c r="C83" s="5" t="s">
        <v>312</v>
      </c>
      <c r="D83" s="5" t="s">
        <v>314</v>
      </c>
      <c r="E83" s="5" t="s">
        <v>194</v>
      </c>
      <c r="F83" s="61" t="s">
        <v>50</v>
      </c>
    </row>
    <row r="84" spans="1:6" x14ac:dyDescent="0.35">
      <c r="A84" s="5" t="s">
        <v>311</v>
      </c>
      <c r="B84" s="5" t="s">
        <v>57</v>
      </c>
      <c r="C84" s="5" t="s">
        <v>312</v>
      </c>
      <c r="D84" s="5" t="s">
        <v>315</v>
      </c>
      <c r="E84" s="5" t="s">
        <v>79</v>
      </c>
      <c r="F84" s="61" t="s">
        <v>91</v>
      </c>
    </row>
    <row r="85" spans="1:6" x14ac:dyDescent="0.35">
      <c r="A85" s="5" t="s">
        <v>316</v>
      </c>
      <c r="B85" s="5" t="s">
        <v>55</v>
      </c>
      <c r="C85" s="5" t="s">
        <v>317</v>
      </c>
      <c r="D85" s="5" t="s">
        <v>318</v>
      </c>
      <c r="E85" s="5" t="s">
        <v>80</v>
      </c>
      <c r="F85" s="61" t="s">
        <v>126</v>
      </c>
    </row>
    <row r="86" spans="1:6" x14ac:dyDescent="0.35">
      <c r="A86" s="5" t="s">
        <v>316</v>
      </c>
      <c r="B86" s="5" t="s">
        <v>59</v>
      </c>
      <c r="C86" s="5" t="s">
        <v>317</v>
      </c>
      <c r="D86" s="5" t="s">
        <v>319</v>
      </c>
      <c r="E86" s="5" t="s">
        <v>81</v>
      </c>
      <c r="F86" s="61" t="s">
        <v>126</v>
      </c>
    </row>
    <row r="87" spans="1:6" x14ac:dyDescent="0.35">
      <c r="A87" s="5" t="s">
        <v>316</v>
      </c>
      <c r="B87" s="5" t="s">
        <v>60</v>
      </c>
      <c r="C87" s="5" t="s">
        <v>317</v>
      </c>
      <c r="D87" s="5" t="s">
        <v>320</v>
      </c>
      <c r="E87" s="5" t="s">
        <v>78</v>
      </c>
      <c r="F87" s="61" t="s">
        <v>50</v>
      </c>
    </row>
    <row r="88" spans="1:6" x14ac:dyDescent="0.35">
      <c r="A88" s="5" t="s">
        <v>316</v>
      </c>
      <c r="B88" s="5" t="s">
        <v>61</v>
      </c>
      <c r="C88" s="5" t="s">
        <v>317</v>
      </c>
      <c r="D88" s="5" t="s">
        <v>321</v>
      </c>
      <c r="E88" s="5" t="s">
        <v>78</v>
      </c>
      <c r="F88" s="61" t="s">
        <v>50</v>
      </c>
    </row>
    <row r="89" spans="1:6" x14ac:dyDescent="0.35">
      <c r="A89" s="5" t="s">
        <v>316</v>
      </c>
      <c r="B89" s="5" t="s">
        <v>64</v>
      </c>
      <c r="C89" s="5" t="s">
        <v>317</v>
      </c>
      <c r="D89" s="5" t="s">
        <v>322</v>
      </c>
      <c r="E89" s="5" t="s">
        <v>80</v>
      </c>
      <c r="F89" s="61" t="s">
        <v>126</v>
      </c>
    </row>
    <row r="90" spans="1:6" x14ac:dyDescent="0.35">
      <c r="A90" s="5" t="s">
        <v>316</v>
      </c>
      <c r="B90" s="5" t="s">
        <v>323</v>
      </c>
      <c r="C90" s="5" t="s">
        <v>317</v>
      </c>
      <c r="D90" s="5" t="s">
        <v>324</v>
      </c>
      <c r="E90" s="5" t="s">
        <v>81</v>
      </c>
      <c r="F90" s="61" t="s">
        <v>126</v>
      </c>
    </row>
    <row r="91" spans="1:6" x14ac:dyDescent="0.35">
      <c r="A91" s="5" t="s">
        <v>316</v>
      </c>
      <c r="B91" s="5" t="s">
        <v>65</v>
      </c>
      <c r="C91" s="5" t="s">
        <v>317</v>
      </c>
      <c r="D91" s="5" t="s">
        <v>325</v>
      </c>
      <c r="E91" s="5" t="s">
        <v>83</v>
      </c>
      <c r="F91" s="61" t="s">
        <v>85</v>
      </c>
    </row>
    <row r="92" spans="1:6" x14ac:dyDescent="0.35">
      <c r="A92" s="5" t="s">
        <v>316</v>
      </c>
      <c r="B92" s="5" t="s">
        <v>66</v>
      </c>
      <c r="C92" s="5" t="s">
        <v>317</v>
      </c>
      <c r="D92" s="5" t="s">
        <v>295</v>
      </c>
      <c r="E92" s="5" t="s">
        <v>78</v>
      </c>
      <c r="F92" s="61" t="s">
        <v>50</v>
      </c>
    </row>
    <row r="93" spans="1:6" x14ac:dyDescent="0.35">
      <c r="A93" s="5" t="s">
        <v>316</v>
      </c>
      <c r="B93" s="5" t="s">
        <v>67</v>
      </c>
      <c r="C93" s="5" t="s">
        <v>317</v>
      </c>
      <c r="D93" s="5" t="s">
        <v>296</v>
      </c>
      <c r="E93" s="5" t="s">
        <v>79</v>
      </c>
      <c r="F93" s="61" t="s">
        <v>91</v>
      </c>
    </row>
    <row r="94" spans="1:6" x14ac:dyDescent="0.35">
      <c r="A94" s="5" t="s">
        <v>316</v>
      </c>
      <c r="B94" s="5" t="s">
        <v>70</v>
      </c>
      <c r="C94" s="5" t="s">
        <v>317</v>
      </c>
      <c r="D94" s="5" t="s">
        <v>326</v>
      </c>
      <c r="E94" s="5" t="s">
        <v>80</v>
      </c>
      <c r="F94" s="61" t="s">
        <v>126</v>
      </c>
    </row>
    <row r="95" spans="1:6" x14ac:dyDescent="0.35">
      <c r="A95" s="5" t="s">
        <v>316</v>
      </c>
      <c r="B95" s="5" t="s">
        <v>71</v>
      </c>
      <c r="C95" s="5" t="s">
        <v>317</v>
      </c>
      <c r="D95" s="5" t="s">
        <v>327</v>
      </c>
      <c r="E95" s="5" t="s">
        <v>81</v>
      </c>
      <c r="F95" s="61" t="s">
        <v>126</v>
      </c>
    </row>
    <row r="96" spans="1:6" x14ac:dyDescent="0.35">
      <c r="A96" s="5" t="s">
        <v>316</v>
      </c>
      <c r="B96" s="5" t="s">
        <v>72</v>
      </c>
      <c r="C96" s="5" t="s">
        <v>317</v>
      </c>
      <c r="D96" s="5" t="s">
        <v>298</v>
      </c>
      <c r="E96" s="5" t="s">
        <v>79</v>
      </c>
      <c r="F96" s="61" t="s">
        <v>91</v>
      </c>
    </row>
    <row r="97" spans="1:6" x14ac:dyDescent="0.35">
      <c r="A97" s="5" t="s">
        <v>316</v>
      </c>
      <c r="B97" s="5" t="s">
        <v>328</v>
      </c>
      <c r="C97" s="5" t="s">
        <v>317</v>
      </c>
      <c r="D97" s="5" t="s">
        <v>329</v>
      </c>
      <c r="E97" s="5" t="s">
        <v>78</v>
      </c>
      <c r="F97" s="61" t="s">
        <v>50</v>
      </c>
    </row>
    <row r="98" spans="1:6" x14ac:dyDescent="0.35">
      <c r="A98" s="5" t="s">
        <v>316</v>
      </c>
      <c r="B98" s="5" t="s">
        <v>74</v>
      </c>
      <c r="C98" s="5" t="s">
        <v>317</v>
      </c>
      <c r="D98" s="5" t="s">
        <v>330</v>
      </c>
      <c r="E98" s="5" t="s">
        <v>80</v>
      </c>
      <c r="F98" s="61" t="s">
        <v>126</v>
      </c>
    </row>
    <row r="99" spans="1:6" x14ac:dyDescent="0.35">
      <c r="A99" s="5" t="s">
        <v>316</v>
      </c>
      <c r="B99" s="5" t="s">
        <v>75</v>
      </c>
      <c r="C99" s="5" t="s">
        <v>317</v>
      </c>
      <c r="D99" s="5" t="s">
        <v>331</v>
      </c>
      <c r="E99" s="5" t="s">
        <v>81</v>
      </c>
      <c r="F99" s="61" t="s">
        <v>126</v>
      </c>
    </row>
    <row r="100" spans="1:6" x14ac:dyDescent="0.35">
      <c r="A100" s="5" t="s">
        <v>316</v>
      </c>
      <c r="B100" s="5" t="s">
        <v>116</v>
      </c>
      <c r="C100" s="5" t="s">
        <v>317</v>
      </c>
      <c r="D100" s="5" t="s">
        <v>332</v>
      </c>
      <c r="E100" s="5" t="s">
        <v>78</v>
      </c>
      <c r="F100" s="61" t="s">
        <v>50</v>
      </c>
    </row>
    <row r="101" spans="1:6" x14ac:dyDescent="0.35">
      <c r="A101" s="5" t="s">
        <v>316</v>
      </c>
      <c r="B101" s="5" t="s">
        <v>117</v>
      </c>
      <c r="C101" s="5" t="s">
        <v>317</v>
      </c>
      <c r="D101" s="5" t="s">
        <v>333</v>
      </c>
      <c r="E101" s="5" t="s">
        <v>83</v>
      </c>
      <c r="F101" s="61" t="s">
        <v>85</v>
      </c>
    </row>
    <row r="102" spans="1:6" x14ac:dyDescent="0.35">
      <c r="A102" s="5" t="s">
        <v>316</v>
      </c>
      <c r="B102" s="5" t="s">
        <v>76</v>
      </c>
      <c r="C102" s="5" t="s">
        <v>317</v>
      </c>
      <c r="D102" s="5" t="s">
        <v>300</v>
      </c>
      <c r="E102" s="5" t="s">
        <v>78</v>
      </c>
      <c r="F102" s="61" t="s">
        <v>50</v>
      </c>
    </row>
    <row r="103" spans="1:6" x14ac:dyDescent="0.35">
      <c r="A103" s="5" t="s">
        <v>316</v>
      </c>
      <c r="B103" s="5" t="s">
        <v>118</v>
      </c>
      <c r="C103" s="5" t="s">
        <v>317</v>
      </c>
      <c r="D103" s="5" t="s">
        <v>334</v>
      </c>
      <c r="E103" s="5" t="s">
        <v>83</v>
      </c>
      <c r="F103" s="61" t="s">
        <v>85</v>
      </c>
    </row>
    <row r="104" spans="1:6" x14ac:dyDescent="0.35">
      <c r="A104" s="5" t="s">
        <v>335</v>
      </c>
      <c r="B104" s="5" t="s">
        <v>119</v>
      </c>
      <c r="C104" s="5" t="s">
        <v>336</v>
      </c>
      <c r="D104" s="5" t="s">
        <v>337</v>
      </c>
      <c r="E104" s="5" t="s">
        <v>82</v>
      </c>
      <c r="F104" s="61" t="s">
        <v>85</v>
      </c>
    </row>
    <row r="105" spans="1:6" x14ac:dyDescent="0.35">
      <c r="A105" s="5" t="s">
        <v>335</v>
      </c>
      <c r="B105" s="5" t="s">
        <v>55</v>
      </c>
      <c r="C105" s="5" t="s">
        <v>336</v>
      </c>
      <c r="D105" s="5" t="s">
        <v>338</v>
      </c>
      <c r="E105" s="5" t="s">
        <v>82</v>
      </c>
      <c r="F105" s="61" t="s">
        <v>85</v>
      </c>
    </row>
    <row r="106" spans="1:6" x14ac:dyDescent="0.35">
      <c r="A106" s="5" t="s">
        <v>335</v>
      </c>
      <c r="B106" s="5" t="s">
        <v>56</v>
      </c>
      <c r="C106" s="5" t="s">
        <v>336</v>
      </c>
      <c r="D106" s="5" t="s">
        <v>339</v>
      </c>
      <c r="E106" s="5" t="s">
        <v>82</v>
      </c>
      <c r="F106" s="61" t="s">
        <v>85</v>
      </c>
    </row>
    <row r="107" spans="1:6" x14ac:dyDescent="0.35">
      <c r="A107" s="5" t="s">
        <v>335</v>
      </c>
      <c r="B107" s="5" t="s">
        <v>58</v>
      </c>
      <c r="C107" s="5" t="s">
        <v>336</v>
      </c>
      <c r="D107" s="5" t="s">
        <v>340</v>
      </c>
      <c r="E107" s="5" t="s">
        <v>80</v>
      </c>
      <c r="F107" s="61" t="s">
        <v>126</v>
      </c>
    </row>
    <row r="108" spans="1:6" x14ac:dyDescent="0.35">
      <c r="A108" s="5" t="s">
        <v>335</v>
      </c>
      <c r="B108" s="5" t="s">
        <v>59</v>
      </c>
      <c r="C108" s="5" t="s">
        <v>336</v>
      </c>
      <c r="D108" s="5" t="s">
        <v>341</v>
      </c>
      <c r="E108" s="5" t="s">
        <v>81</v>
      </c>
      <c r="F108" s="61" t="s">
        <v>126</v>
      </c>
    </row>
    <row r="109" spans="1:6" x14ac:dyDescent="0.35">
      <c r="A109" s="5" t="s">
        <v>342</v>
      </c>
      <c r="B109" s="5" t="s">
        <v>52</v>
      </c>
      <c r="C109" s="5" t="s">
        <v>343</v>
      </c>
      <c r="D109" s="5" t="s">
        <v>344</v>
      </c>
      <c r="E109" s="5" t="s">
        <v>82</v>
      </c>
      <c r="F109" s="61" t="s">
        <v>85</v>
      </c>
    </row>
    <row r="110" spans="1:6" x14ac:dyDescent="0.35">
      <c r="A110" s="5" t="s">
        <v>342</v>
      </c>
      <c r="B110" s="5" t="s">
        <v>55</v>
      </c>
      <c r="C110" s="5" t="s">
        <v>343</v>
      </c>
      <c r="D110" s="5" t="s">
        <v>345</v>
      </c>
      <c r="E110" s="5" t="s">
        <v>80</v>
      </c>
      <c r="F110" s="61" t="s">
        <v>126</v>
      </c>
    </row>
    <row r="111" spans="1:6" ht="17" customHeight="1" x14ac:dyDescent="0.35">
      <c r="A111" s="5" t="s">
        <v>342</v>
      </c>
      <c r="B111" s="5" t="s">
        <v>56</v>
      </c>
      <c r="C111" s="5" t="s">
        <v>343</v>
      </c>
      <c r="D111" s="5" t="s">
        <v>346</v>
      </c>
      <c r="E111" s="5" t="s">
        <v>81</v>
      </c>
      <c r="F111" s="61" t="s">
        <v>126</v>
      </c>
    </row>
    <row r="112" spans="1:6" x14ac:dyDescent="0.35">
      <c r="A112" s="5"/>
      <c r="B112" s="5"/>
      <c r="C112" s="5"/>
      <c r="D112" s="5"/>
      <c r="E112" s="5"/>
      <c r="F112" s="44"/>
    </row>
    <row r="113" spans="1:6" x14ac:dyDescent="0.35">
      <c r="A113" s="5"/>
      <c r="B113" s="5"/>
      <c r="C113" s="5"/>
      <c r="D113" s="5"/>
      <c r="E113" s="5"/>
      <c r="F113" s="5"/>
    </row>
    <row r="114" spans="1:6" x14ac:dyDescent="0.35">
      <c r="A114" s="5"/>
      <c r="B114" s="5"/>
      <c r="C114" s="5"/>
      <c r="D114" s="5"/>
      <c r="E114" s="5"/>
      <c r="F114" s="44"/>
    </row>
    <row r="115" spans="1:6" x14ac:dyDescent="0.35">
      <c r="A115" s="5"/>
      <c r="B115" s="5"/>
      <c r="C115" s="5"/>
      <c r="D115" s="5"/>
      <c r="E115" s="5"/>
    </row>
    <row r="116" spans="1:6" x14ac:dyDescent="0.35">
      <c r="A116" s="5"/>
      <c r="B116" s="5"/>
      <c r="C116" s="5"/>
      <c r="D116" s="5"/>
      <c r="E116" s="5"/>
      <c r="F116" s="5"/>
    </row>
    <row r="117" spans="1:6" x14ac:dyDescent="0.35">
      <c r="A117" s="5"/>
      <c r="B117" s="5"/>
      <c r="C117" s="5"/>
      <c r="D117" s="5"/>
      <c r="E117" s="5"/>
      <c r="F117" s="44"/>
    </row>
    <row r="118" spans="1:6" x14ac:dyDescent="0.35">
      <c r="A118" s="5"/>
      <c r="B118" s="5"/>
      <c r="C118" s="5"/>
      <c r="D118" s="5"/>
      <c r="E118" s="5"/>
    </row>
    <row r="119" spans="1:6" x14ac:dyDescent="0.35">
      <c r="A119" s="5"/>
      <c r="B119" s="5"/>
      <c r="C119" s="5"/>
      <c r="D119" s="5"/>
      <c r="E119" s="5"/>
      <c r="F119" s="44"/>
    </row>
    <row r="120" spans="1:6" x14ac:dyDescent="0.35">
      <c r="A120" s="5"/>
      <c r="B120" s="5"/>
      <c r="C120" s="5"/>
      <c r="D120" s="5"/>
      <c r="E120" s="5"/>
      <c r="F120" s="5"/>
    </row>
    <row r="121" spans="1:6" x14ac:dyDescent="0.35">
      <c r="A121" s="5"/>
      <c r="B121" s="5"/>
      <c r="C121" s="5"/>
      <c r="D121" s="5"/>
      <c r="E121" s="5"/>
      <c r="F121" s="44"/>
    </row>
    <row r="122" spans="1:6" x14ac:dyDescent="0.35">
      <c r="A122" s="5"/>
      <c r="B122" s="5"/>
      <c r="C122" s="5"/>
      <c r="D122" s="5"/>
      <c r="E122" s="5"/>
      <c r="F122" s="44"/>
    </row>
    <row r="123" spans="1:6" x14ac:dyDescent="0.35">
      <c r="A123" s="5"/>
      <c r="B123" s="5"/>
      <c r="C123" s="5"/>
      <c r="D123" s="5"/>
      <c r="E123" s="5"/>
    </row>
    <row r="124" spans="1:6" x14ac:dyDescent="0.35">
      <c r="A124" s="5"/>
      <c r="B124" s="5"/>
      <c r="C124" s="5"/>
      <c r="D124" s="5"/>
      <c r="E124" s="5"/>
      <c r="F124" s="5"/>
    </row>
    <row r="125" spans="1:6" x14ac:dyDescent="0.35">
      <c r="A125" s="5"/>
      <c r="B125" s="5"/>
      <c r="C125" s="5"/>
      <c r="D125" s="5"/>
      <c r="E125" s="5"/>
      <c r="F125" s="44"/>
    </row>
    <row r="126" spans="1:6" x14ac:dyDescent="0.35">
      <c r="A126" s="5"/>
      <c r="B126" s="5"/>
      <c r="C126" s="5"/>
      <c r="D126" s="5"/>
      <c r="E126" s="5"/>
    </row>
    <row r="127" spans="1:6" x14ac:dyDescent="0.35">
      <c r="A127" s="5"/>
      <c r="B127" s="5"/>
      <c r="C127" s="5"/>
      <c r="D127" s="5"/>
      <c r="E127" s="5"/>
      <c r="F127" s="44"/>
    </row>
    <row r="128" spans="1:6" x14ac:dyDescent="0.35">
      <c r="A128" s="5"/>
      <c r="B128" s="5"/>
      <c r="C128" s="5"/>
      <c r="D128" s="5"/>
      <c r="E128" s="5"/>
      <c r="F128" s="44"/>
    </row>
    <row r="129" spans="1:6" x14ac:dyDescent="0.35">
      <c r="A129" s="5"/>
      <c r="B129" s="5"/>
      <c r="C129" s="5"/>
      <c r="D129" s="5"/>
      <c r="E129" s="5"/>
    </row>
    <row r="130" spans="1:6" x14ac:dyDescent="0.35">
      <c r="A130" s="5"/>
      <c r="B130" s="5"/>
      <c r="C130" s="5"/>
      <c r="D130" s="5"/>
      <c r="E130" s="5"/>
      <c r="F130" s="44"/>
    </row>
    <row r="131" spans="1:6" x14ac:dyDescent="0.35">
      <c r="A131" s="5"/>
      <c r="B131" s="5"/>
      <c r="C131" s="5"/>
      <c r="D131" s="5"/>
      <c r="E131" s="5"/>
      <c r="F131" s="44"/>
    </row>
    <row r="132" spans="1:6" x14ac:dyDescent="0.35">
      <c r="A132" s="5"/>
      <c r="B132" s="5"/>
      <c r="C132" s="5"/>
      <c r="D132" s="5"/>
      <c r="E132" s="5"/>
      <c r="F132" s="44"/>
    </row>
    <row r="133" spans="1:6" x14ac:dyDescent="0.35">
      <c r="A133" s="5"/>
      <c r="B133" s="5"/>
      <c r="C133" s="5"/>
      <c r="D133" s="5"/>
      <c r="E133" s="5"/>
      <c r="F133" s="44"/>
    </row>
    <row r="134" spans="1:6" x14ac:dyDescent="0.35">
      <c r="A134" s="5"/>
      <c r="B134" s="5"/>
      <c r="C134" s="5"/>
      <c r="D134" s="5"/>
      <c r="E134" s="5"/>
      <c r="F134" s="44"/>
    </row>
    <row r="135" spans="1:6" x14ac:dyDescent="0.35">
      <c r="A135" s="5"/>
      <c r="B135" s="5"/>
      <c r="C135" s="5"/>
      <c r="D135" s="5"/>
      <c r="E135" s="5"/>
      <c r="F135" s="44"/>
    </row>
    <row r="136" spans="1:6" x14ac:dyDescent="0.35">
      <c r="A136" s="5"/>
      <c r="B136" s="5"/>
      <c r="C136" s="5"/>
      <c r="D136" s="5"/>
      <c r="E136" s="5"/>
      <c r="F136" s="44"/>
    </row>
    <row r="137" spans="1:6" x14ac:dyDescent="0.35">
      <c r="A137" s="5"/>
      <c r="B137" s="5"/>
      <c r="C137" s="5"/>
      <c r="D137" s="5"/>
      <c r="E137" s="5"/>
      <c r="F137" s="44"/>
    </row>
    <row r="138" spans="1:6" x14ac:dyDescent="0.35">
      <c r="A138" s="5"/>
      <c r="B138" s="5"/>
      <c r="C138" s="5"/>
      <c r="D138" s="5"/>
      <c r="E138" s="5"/>
      <c r="F138" s="44"/>
    </row>
    <row r="139" spans="1:6" x14ac:dyDescent="0.35">
      <c r="A139" s="5"/>
      <c r="B139" s="5"/>
      <c r="C139" s="5"/>
      <c r="D139" s="5"/>
      <c r="E139" s="5"/>
      <c r="F139" s="44"/>
    </row>
    <row r="140" spans="1:6" x14ac:dyDescent="0.35">
      <c r="A140" s="5"/>
      <c r="B140" s="5"/>
      <c r="C140" s="5"/>
      <c r="D140" s="5"/>
      <c r="E140" s="5"/>
      <c r="F140" s="44"/>
    </row>
    <row r="141" spans="1:6" x14ac:dyDescent="0.35">
      <c r="A141" s="5"/>
      <c r="B141" s="5"/>
      <c r="C141" s="5"/>
      <c r="D141" s="5"/>
      <c r="E141" s="5"/>
      <c r="F141" s="44"/>
    </row>
    <row r="142" spans="1:6" x14ac:dyDescent="0.35">
      <c r="A142" s="5"/>
      <c r="B142" s="5"/>
      <c r="C142" s="5"/>
      <c r="D142" s="5"/>
      <c r="E142" s="5"/>
      <c r="F142" s="44"/>
    </row>
    <row r="143" spans="1:6" x14ac:dyDescent="0.35">
      <c r="A143" s="5"/>
      <c r="B143" s="5"/>
      <c r="C143" s="5"/>
      <c r="D143" s="5"/>
      <c r="E143" s="5"/>
      <c r="F143" s="44"/>
    </row>
    <row r="144" spans="1:6" x14ac:dyDescent="0.35">
      <c r="A144" s="5"/>
      <c r="B144" s="5"/>
      <c r="C144" s="5"/>
      <c r="D144" s="5"/>
      <c r="E144" s="5"/>
      <c r="F144" s="44"/>
    </row>
    <row r="145" spans="1:6" x14ac:dyDescent="0.35">
      <c r="A145" s="5"/>
      <c r="B145" s="5"/>
      <c r="C145" s="5"/>
      <c r="D145" s="5"/>
      <c r="E145" s="5"/>
      <c r="F145" s="44"/>
    </row>
    <row r="146" spans="1:6" x14ac:dyDescent="0.35">
      <c r="A146" s="5"/>
      <c r="B146" s="5"/>
      <c r="C146" s="5"/>
      <c r="D146" s="5"/>
      <c r="E146" s="5"/>
    </row>
    <row r="147" spans="1:6" x14ac:dyDescent="0.35">
      <c r="A147" s="5"/>
      <c r="B147" s="5"/>
      <c r="C147" s="5"/>
      <c r="D147" s="5"/>
      <c r="E147" s="5"/>
      <c r="F147" s="5"/>
    </row>
    <row r="148" spans="1:6" x14ac:dyDescent="0.35">
      <c r="A148" s="5"/>
      <c r="B148" s="5"/>
      <c r="C148" s="5"/>
      <c r="D148" s="5"/>
      <c r="E148" s="5"/>
      <c r="F148" s="44"/>
    </row>
    <row r="149" spans="1:6" x14ac:dyDescent="0.35">
      <c r="A149" s="5"/>
      <c r="B149" s="5"/>
      <c r="C149" s="5"/>
      <c r="D149" s="5"/>
      <c r="E149" s="5"/>
      <c r="F149" s="44"/>
    </row>
    <row r="150" spans="1:6" x14ac:dyDescent="0.35">
      <c r="A150" s="5"/>
      <c r="B150" s="5"/>
      <c r="C150" s="5"/>
      <c r="D150" s="5"/>
      <c r="E150" s="5"/>
    </row>
    <row r="151" spans="1:6" x14ac:dyDescent="0.35">
      <c r="A151" s="5"/>
      <c r="B151" s="5"/>
      <c r="C151" s="5"/>
      <c r="D151" s="5"/>
      <c r="E151" s="5"/>
      <c r="F151" s="44"/>
    </row>
    <row r="152" spans="1:6" x14ac:dyDescent="0.35">
      <c r="A152" s="5"/>
      <c r="B152" s="5"/>
      <c r="C152" s="5"/>
      <c r="D152" s="5"/>
      <c r="E152" s="5"/>
      <c r="F152" s="44"/>
    </row>
    <row r="153" spans="1:6" x14ac:dyDescent="0.35">
      <c r="A153" s="5"/>
      <c r="B153" s="5"/>
      <c r="C153" s="5"/>
      <c r="D153" s="5"/>
      <c r="E153" s="5"/>
    </row>
    <row r="154" spans="1:6" x14ac:dyDescent="0.35">
      <c r="A154" s="5"/>
      <c r="B154" s="5"/>
      <c r="C154" s="5"/>
      <c r="D154" s="5"/>
      <c r="E154" s="5"/>
      <c r="F154" s="44"/>
    </row>
    <row r="155" spans="1:6" x14ac:dyDescent="0.35">
      <c r="A155" s="5"/>
      <c r="B155" s="5"/>
      <c r="C155" s="5"/>
      <c r="D155" s="5"/>
      <c r="E155" s="5"/>
      <c r="F155" s="44"/>
    </row>
    <row r="156" spans="1:6" x14ac:dyDescent="0.35">
      <c r="A156" s="5"/>
      <c r="B156" s="5"/>
      <c r="C156" s="5"/>
      <c r="D156" s="5"/>
      <c r="E156" s="5"/>
      <c r="F156" s="5"/>
    </row>
    <row r="157" spans="1:6" x14ac:dyDescent="0.35">
      <c r="A157" s="5"/>
      <c r="B157" s="5"/>
      <c r="C157" s="5"/>
      <c r="D157" s="5"/>
      <c r="E157" s="5"/>
      <c r="F157" s="44"/>
    </row>
    <row r="158" spans="1:6" x14ac:dyDescent="0.35">
      <c r="A158" s="5"/>
      <c r="B158" s="5"/>
      <c r="C158" s="5"/>
      <c r="D158" s="5"/>
      <c r="E158" s="5"/>
    </row>
    <row r="159" spans="1:6" x14ac:dyDescent="0.35">
      <c r="A159" s="5"/>
      <c r="B159" s="5"/>
      <c r="C159" s="5"/>
      <c r="D159" s="5"/>
      <c r="E159" s="5"/>
    </row>
    <row r="160" spans="1:6" x14ac:dyDescent="0.35">
      <c r="A160" s="5"/>
      <c r="B160" s="5"/>
      <c r="C160" s="5"/>
      <c r="D160" s="5"/>
      <c r="E160" s="5"/>
      <c r="F160" s="44"/>
    </row>
    <row r="161" spans="1:6" x14ac:dyDescent="0.35">
      <c r="A161" s="5"/>
      <c r="B161" s="5"/>
      <c r="C161" s="5"/>
      <c r="D161" s="5"/>
      <c r="E161" s="5"/>
      <c r="F161" s="44"/>
    </row>
    <row r="162" spans="1:6" x14ac:dyDescent="0.35">
      <c r="A162" s="5"/>
      <c r="B162" s="5"/>
      <c r="C162" s="5"/>
      <c r="D162" s="5"/>
      <c r="E162" s="5"/>
      <c r="F162" s="5"/>
    </row>
    <row r="163" spans="1:6" x14ac:dyDescent="0.35">
      <c r="A163" s="5"/>
      <c r="B163" s="5"/>
      <c r="C163" s="5"/>
      <c r="D163" s="5"/>
      <c r="E163" s="5"/>
      <c r="F163" s="5"/>
    </row>
    <row r="164" spans="1:6" x14ac:dyDescent="0.35">
      <c r="A164" s="5"/>
      <c r="B164" s="5"/>
      <c r="C164" s="5"/>
      <c r="D164" s="5"/>
      <c r="E164" s="5"/>
      <c r="F164" s="5"/>
    </row>
    <row r="165" spans="1:6" x14ac:dyDescent="0.35">
      <c r="A165" s="5"/>
      <c r="B165" s="5"/>
      <c r="C165" s="5"/>
      <c r="D165" s="5"/>
      <c r="E165" s="5"/>
      <c r="F165" s="5"/>
    </row>
    <row r="166" spans="1:6" x14ac:dyDescent="0.35">
      <c r="A166" s="5"/>
      <c r="B166" s="5"/>
      <c r="C166" s="5"/>
      <c r="D166" s="5"/>
      <c r="E166" s="5"/>
    </row>
    <row r="167" spans="1:6" x14ac:dyDescent="0.35">
      <c r="A167" s="5"/>
      <c r="B167" s="5"/>
      <c r="C167" s="5"/>
      <c r="D167" s="5"/>
      <c r="E167" s="5"/>
      <c r="F167" s="44"/>
    </row>
    <row r="168" spans="1:6" x14ac:dyDescent="0.35">
      <c r="A168" s="5"/>
      <c r="B168" s="5"/>
      <c r="C168" s="5"/>
      <c r="D168" s="5"/>
      <c r="E168" s="5"/>
      <c r="F168" s="44"/>
    </row>
    <row r="169" spans="1:6" x14ac:dyDescent="0.35">
      <c r="A169" s="5"/>
      <c r="B169" s="5"/>
      <c r="C169" s="5"/>
      <c r="D169" s="5"/>
      <c r="E169" s="5"/>
    </row>
    <row r="170" spans="1:6" x14ac:dyDescent="0.35">
      <c r="A170" s="5"/>
      <c r="B170" s="5"/>
      <c r="C170" s="5"/>
      <c r="D170" s="5"/>
      <c r="E170" s="5"/>
      <c r="F170" s="5"/>
    </row>
    <row r="171" spans="1:6" x14ac:dyDescent="0.35">
      <c r="A171" s="5"/>
      <c r="B171" s="5"/>
      <c r="C171" s="5"/>
      <c r="D171" s="5"/>
      <c r="E171" s="5"/>
      <c r="F171" s="5"/>
    </row>
    <row r="172" spans="1:6" x14ac:dyDescent="0.35">
      <c r="A172" s="5"/>
      <c r="B172" s="5"/>
      <c r="C172" s="5"/>
      <c r="D172" s="5"/>
      <c r="E172" s="5"/>
    </row>
    <row r="173" spans="1:6" x14ac:dyDescent="0.35">
      <c r="A173" s="5"/>
      <c r="B173" s="5"/>
      <c r="C173" s="5"/>
      <c r="D173" s="5"/>
      <c r="E173" s="5"/>
      <c r="F173" s="44"/>
    </row>
    <row r="174" spans="1:6" x14ac:dyDescent="0.35">
      <c r="A174" s="5"/>
      <c r="B174" s="5"/>
      <c r="C174" s="5"/>
      <c r="D174" s="5"/>
      <c r="E174" s="5"/>
    </row>
    <row r="175" spans="1:6" x14ac:dyDescent="0.35">
      <c r="A175" s="5"/>
      <c r="B175" s="5"/>
      <c r="C175" s="5"/>
      <c r="D175" s="5"/>
      <c r="E175" s="5"/>
      <c r="F175" s="5"/>
    </row>
    <row r="176" spans="1:6" x14ac:dyDescent="0.35">
      <c r="A176" s="5"/>
      <c r="B176" s="5"/>
      <c r="C176" s="5"/>
      <c r="D176" s="5"/>
      <c r="E176" s="5"/>
      <c r="F176" s="5"/>
    </row>
    <row r="177" spans="1:6" x14ac:dyDescent="0.35">
      <c r="A177" s="5"/>
      <c r="B177" s="5"/>
      <c r="C177" s="5"/>
      <c r="D177" s="5"/>
      <c r="E177" s="5"/>
      <c r="F177" s="5"/>
    </row>
    <row r="178" spans="1:6" x14ac:dyDescent="0.35">
      <c r="A178" s="5"/>
      <c r="B178" s="5"/>
      <c r="C178" s="5"/>
      <c r="D178" s="5"/>
      <c r="E178" s="5"/>
    </row>
    <row r="179" spans="1:6" x14ac:dyDescent="0.35">
      <c r="A179" s="5"/>
      <c r="B179" s="5"/>
      <c r="C179" s="5"/>
      <c r="D179" s="5"/>
      <c r="E179" s="5"/>
      <c r="F179" s="44"/>
    </row>
    <row r="180" spans="1:6" x14ac:dyDescent="0.35">
      <c r="A180" s="5"/>
      <c r="B180" s="5"/>
      <c r="C180" s="5"/>
      <c r="D180" s="5"/>
      <c r="E180" s="5"/>
      <c r="F180" s="44"/>
    </row>
    <row r="181" spans="1:6" x14ac:dyDescent="0.35">
      <c r="A181" s="5"/>
      <c r="B181" s="5"/>
      <c r="C181" s="5"/>
      <c r="D181" s="5"/>
      <c r="E181" s="5"/>
    </row>
    <row r="182" spans="1:6" x14ac:dyDescent="0.35">
      <c r="A182" s="5"/>
      <c r="B182" s="5"/>
      <c r="C182" s="5"/>
      <c r="D182" s="5"/>
      <c r="E182" s="5"/>
      <c r="F182" s="5"/>
    </row>
    <row r="183" spans="1:6" x14ac:dyDescent="0.35">
      <c r="A183" s="5"/>
      <c r="B183" s="5"/>
      <c r="C183" s="5"/>
      <c r="D183" s="5"/>
      <c r="E183" s="5"/>
    </row>
    <row r="184" spans="1:6" x14ac:dyDescent="0.35">
      <c r="A184" s="5"/>
      <c r="B184" s="5"/>
      <c r="C184" s="5"/>
      <c r="D184" s="5"/>
      <c r="E184" s="5"/>
      <c r="F184" s="5"/>
    </row>
    <row r="185" spans="1:6" x14ac:dyDescent="0.35">
      <c r="A185" s="5"/>
      <c r="B185" s="5"/>
      <c r="C185" s="5"/>
      <c r="D185" s="5"/>
      <c r="E185" s="5"/>
      <c r="F185" s="44"/>
    </row>
    <row r="186" spans="1:6" x14ac:dyDescent="0.35">
      <c r="A186" s="5"/>
      <c r="B186" s="5"/>
      <c r="C186" s="5"/>
      <c r="D186" s="5"/>
      <c r="E186" s="5"/>
    </row>
    <row r="187" spans="1:6" x14ac:dyDescent="0.35">
      <c r="A187" s="5"/>
      <c r="B187" s="5"/>
      <c r="C187" s="5"/>
      <c r="D187" s="5"/>
      <c r="E187" s="5"/>
      <c r="F187" s="44"/>
    </row>
    <row r="188" spans="1:6" x14ac:dyDescent="0.35">
      <c r="A188" s="5"/>
      <c r="B188" s="5"/>
      <c r="C188" s="5"/>
      <c r="D188" s="5"/>
      <c r="E188" s="5"/>
      <c r="F188" s="44"/>
    </row>
    <row r="189" spans="1:6" x14ac:dyDescent="0.35">
      <c r="A189" s="5"/>
      <c r="B189" s="5"/>
      <c r="C189" s="5"/>
      <c r="D189" s="5"/>
      <c r="E189" s="5"/>
    </row>
    <row r="190" spans="1:6" x14ac:dyDescent="0.35">
      <c r="A190" s="5"/>
      <c r="B190" s="5"/>
      <c r="C190" s="5"/>
      <c r="D190" s="5"/>
      <c r="E190" s="5"/>
    </row>
    <row r="191" spans="1:6" x14ac:dyDescent="0.35">
      <c r="A191" s="5"/>
      <c r="B191" s="5"/>
      <c r="C191" s="5"/>
      <c r="D191" s="5"/>
      <c r="E191" s="5"/>
    </row>
    <row r="192" spans="1:6" x14ac:dyDescent="0.35">
      <c r="A192" s="5"/>
      <c r="B192" s="5"/>
      <c r="C192" s="5"/>
      <c r="D192" s="5"/>
      <c r="E192" s="5"/>
      <c r="F192" s="44"/>
    </row>
    <row r="193" spans="1:6" x14ac:dyDescent="0.35">
      <c r="A193" s="5"/>
      <c r="B193" s="5"/>
      <c r="C193" s="5"/>
      <c r="D193" s="5"/>
      <c r="E193" s="5"/>
      <c r="F193" s="44"/>
    </row>
    <row r="194" spans="1:6" x14ac:dyDescent="0.35">
      <c r="A194" s="5"/>
      <c r="B194" s="5"/>
      <c r="C194" s="5"/>
      <c r="D194" s="5"/>
      <c r="E194" s="5"/>
    </row>
    <row r="195" spans="1:6" x14ac:dyDescent="0.35">
      <c r="A195" s="5"/>
      <c r="B195" s="5"/>
      <c r="C195" s="5"/>
      <c r="D195" s="5"/>
      <c r="E195" s="5"/>
    </row>
    <row r="196" spans="1:6" x14ac:dyDescent="0.35">
      <c r="A196" s="5"/>
      <c r="B196" s="5"/>
      <c r="C196" s="5"/>
      <c r="D196" s="5"/>
      <c r="E196" s="5"/>
      <c r="F196" s="44"/>
    </row>
    <row r="197" spans="1:6" x14ac:dyDescent="0.35">
      <c r="A197" s="5"/>
      <c r="B197" s="5"/>
      <c r="C197" s="5"/>
      <c r="D197" s="5"/>
      <c r="E197" s="5"/>
    </row>
    <row r="198" spans="1:6" x14ac:dyDescent="0.35">
      <c r="A198" s="5"/>
      <c r="B198" s="5"/>
      <c r="C198" s="5"/>
      <c r="D198" s="5"/>
      <c r="E198" s="5"/>
      <c r="F198" s="44"/>
    </row>
    <row r="199" spans="1:6" x14ac:dyDescent="0.35">
      <c r="A199" s="5"/>
      <c r="B199" s="5"/>
      <c r="C199" s="5"/>
      <c r="D199" s="5"/>
      <c r="E199" s="5"/>
      <c r="F199" s="44"/>
    </row>
    <row r="200" spans="1:6" x14ac:dyDescent="0.35">
      <c r="A200" s="5"/>
      <c r="B200" s="5"/>
      <c r="C200" s="5"/>
      <c r="D200" s="5"/>
      <c r="E200" s="5"/>
      <c r="F200" s="5"/>
    </row>
    <row r="201" spans="1:6" x14ac:dyDescent="0.35">
      <c r="A201" s="5"/>
      <c r="B201" s="5"/>
      <c r="C201" s="5"/>
      <c r="D201" s="5"/>
      <c r="E201" s="5"/>
      <c r="F201" s="44"/>
    </row>
    <row r="202" spans="1:6" x14ac:dyDescent="0.35">
      <c r="A202" s="5"/>
      <c r="B202" s="5"/>
      <c r="C202" s="5"/>
      <c r="D202" s="5"/>
      <c r="E202" s="5"/>
    </row>
    <row r="203" spans="1:6" x14ac:dyDescent="0.35">
      <c r="A203" s="5"/>
      <c r="B203" s="5"/>
      <c r="C203" s="5"/>
      <c r="D203" s="5"/>
      <c r="E203" s="5"/>
    </row>
    <row r="204" spans="1:6" x14ac:dyDescent="0.35">
      <c r="A204" s="5"/>
      <c r="B204" s="5"/>
      <c r="C204" s="5"/>
      <c r="D204" s="5"/>
      <c r="E204" s="5"/>
      <c r="F204" s="44"/>
    </row>
  </sheetData>
  <autoFilter ref="A1:F204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Vendor Entry Sheet</vt:lpstr>
      <vt:lpstr>Bulk Upload Tool (NML USE ONLY)</vt:lpstr>
      <vt:lpstr>Names</vt:lpstr>
      <vt:lpstr>Approval Box (OFFICE ONLY)</vt:lpstr>
      <vt:lpstr>Work Orders</vt:lpstr>
      <vt:lpstr>'Vendor Entry Sheet'!Print_Area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cp:lastPrinted>2026-02-15T04:38:05Z</cp:lastPrinted>
  <dcterms:created xsi:type="dcterms:W3CDTF">2017-07-05T00:07:10Z</dcterms:created>
  <dcterms:modified xsi:type="dcterms:W3CDTF">2026-03-14T01:08:02Z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